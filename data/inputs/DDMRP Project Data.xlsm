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5.bin" ContentType="application/vnd.openxmlformats-officedocument.spreadsheetml.customProperty"/>
  <Override PartName="/xl/customProperty6.bin" ContentType="application/vnd.openxmlformats-officedocument.spreadsheetml.customProperty"/>
  <Override PartName="/xl/drawings/drawing4.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7.bin" ContentType="application/vnd.openxmlformats-officedocument.spreadsheetml.customProperty"/>
  <Override PartName="/xl/drawings/drawing5.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codeName="ThisWorkbook" defaultThemeVersion="124226"/>
  <mc:AlternateContent xmlns:mc="http://schemas.openxmlformats.org/markup-compatibility/2006">
    <mc:Choice Requires="x15">
      <x15ac:absPath xmlns:x15ac="http://schemas.microsoft.com/office/spreadsheetml/2010/11/ac" url="C:\Users\szukicja\Downloads\DDMRP\"/>
    </mc:Choice>
  </mc:AlternateContent>
  <xr:revisionPtr revIDLastSave="0" documentId="13_ncr:1_{18557F10-9C01-4199-B171-C9BCD2C32AA5}" xr6:coauthVersionLast="47" xr6:coauthVersionMax="47" xr10:uidLastSave="{00000000-0000-0000-0000-000000000000}"/>
  <bookViews>
    <workbookView xWindow="-120" yWindow="-120" windowWidth="29040" windowHeight="15720" tabRatio="746" firstSheet="2" activeTab="4" xr2:uid="{00000000-000D-0000-FFFF-FFFF00000000}"/>
  </bookViews>
  <sheets>
    <sheet name="SapIbpChartFeeder" sheetId="6" state="hidden" r:id="rId1"/>
    <sheet name="IBPFormattingSheet" sheetId="9" state="hidden" r:id="rId2"/>
    <sheet name="Production Plan" sheetId="5" r:id="rId3"/>
    <sheet name="Historical Data" sheetId="61" r:id="rId4"/>
    <sheet name="Stock On Hand" sheetId="62" r:id="rId5"/>
  </sheets>
  <definedNames>
    <definedName name="__FPMExcelClient_CellBasedFunctionStatus" localSheetId="3" hidden="1">"2_1_2_2_2_2"</definedName>
    <definedName name="__FPMExcelClient_CellBasedFunctionStatus" localSheetId="2" hidden="1">"2_1_2_2_2_2"</definedName>
    <definedName name="__FPMExcelClient_CellBasedFunctionStatus" localSheetId="4" hidden="1">"2_1_2_2_2_2"</definedName>
    <definedName name="__FPMExcelClient_Connection" localSheetId="3">"{A63CB8EE-6674-452e-ACA5-65D5174D689E}_[https://my300167.scmibp1.ondemand.com/sap/sop/sopfnd/services/addin/excel/]_[SOP]_[BMIGLOBAL]_[]_[]_[false]_[True]\1"</definedName>
    <definedName name="__FPMExcelClient_Connection" localSheetId="2">"{A63CB8EE-6674-452e-ACA5-65D5174D689E}_[https://my300167.scmibp1.ondemand.com/sap/sop/sopfnd/services/addin/excel/]_[SOP]_[BMIGLOBAL]_[]_[]_[false]_[True]\1"</definedName>
    <definedName name="__FPMExcelClient_Connection" localSheetId="4">"{A63CB8EE-6674-452e-ACA5-65D5174D689E}_[https://my300167.scmibp1.ondemand.com/sap/sop/sopfnd/services/addin/excel/]_[SOP]_[BMIGLOBAL]_[]_[]_[false]_[True]\1"</definedName>
    <definedName name="_xlnm._FilterDatabase" localSheetId="3" hidden="1">'Historical Data'!$G$5:$DJ$5</definedName>
    <definedName name="_xlnm._FilterDatabase" localSheetId="2" hidden="1">'Production Plan'!$G$5:$BW$5</definedName>
    <definedName name="_xlnm._FilterDatabase" localSheetId="4" hidden="1">'Stock On Hand'!$G$5:$K$38</definedName>
    <definedName name="_ibpOfflineCondition_" localSheetId="3" hidden="1">1</definedName>
    <definedName name="_ibpOfflineCondition_" localSheetId="2" hidden="1">1</definedName>
    <definedName name="_ibpOfflineCondition_" localSheetId="4" hidden="1">1</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IBPFormattingSheet!$D$220</definedName>
    <definedName name="AddMemberFirst_1" localSheetId="1" hidden="1">IBPFormattingSheet!$D$95</definedName>
    <definedName name="AddMemberFirst_10" localSheetId="1" hidden="1">IBPFormattingSheet!$D$122</definedName>
    <definedName name="AddMemberFirst_11" localSheetId="1" hidden="1">IBPFormattingSheet!$D$125</definedName>
    <definedName name="AddMemberFirst_12" localSheetId="1" hidden="1">IBPFormattingSheet!$D$128</definedName>
    <definedName name="AddMemberFirst_13" localSheetId="1" hidden="1">IBPFormattingSheet!$D$131</definedName>
    <definedName name="AddMemberFirst_14" localSheetId="1" hidden="1">IBPFormattingSheet!$D$134</definedName>
    <definedName name="AddMemberFirst_15" localSheetId="1" hidden="1">IBPFormattingSheet!$D$137</definedName>
    <definedName name="AddMemberFirst_16" localSheetId="1" hidden="1">IBPFormattingSheet!$D$140</definedName>
    <definedName name="AddMemberFirst_17" localSheetId="1" hidden="1">IBPFormattingSheet!$D$143</definedName>
    <definedName name="AddMemberFirst_18" localSheetId="1" hidden="1">IBPFormattingSheet!$D$146</definedName>
    <definedName name="AddMemberFirst_19" localSheetId="1" hidden="1">IBPFormattingSheet!$D$149</definedName>
    <definedName name="AddMemberFirst_2" localSheetId="1" hidden="1">IBPFormattingSheet!$D$98</definedName>
    <definedName name="AddMemberFirst_20" localSheetId="1" hidden="1">IBPFormattingSheet!$D$152</definedName>
    <definedName name="AddMemberFirst_21" localSheetId="1" hidden="1">IBPFormattingSheet!$D$155</definedName>
    <definedName name="AddMemberFirst_22" localSheetId="1" hidden="1">IBPFormattingSheet!$D$158</definedName>
    <definedName name="AddMemberFirst_23" localSheetId="1" hidden="1">IBPFormattingSheet!$D$161</definedName>
    <definedName name="AddMemberFirst_24" localSheetId="1" hidden="1">IBPFormattingSheet!$D$164</definedName>
    <definedName name="AddMemberFirst_25" localSheetId="1" hidden="1">IBPFormattingSheet!$D$167</definedName>
    <definedName name="AddMemberFirst_26" localSheetId="1" hidden="1">IBPFormattingSheet!$D$170</definedName>
    <definedName name="AddMemberFirst_27" localSheetId="1" hidden="1">IBPFormattingSheet!$D$173</definedName>
    <definedName name="AddMemberFirst_28" localSheetId="1" hidden="1">IBPFormattingSheet!$D$176</definedName>
    <definedName name="AddMemberFirst_29" localSheetId="1" hidden="1">IBPFormattingSheet!$D$179</definedName>
    <definedName name="AddMemberFirst_3" localSheetId="1" hidden="1">IBPFormattingSheet!$D$101</definedName>
    <definedName name="AddMemberFirst_30" localSheetId="1" hidden="1">IBPFormattingSheet!$D$182</definedName>
    <definedName name="AddMemberFirst_31" localSheetId="1" hidden="1">IBPFormattingSheet!$D$185</definedName>
    <definedName name="AddMemberFirst_32" localSheetId="1" hidden="1">IBPFormattingSheet!$D$188</definedName>
    <definedName name="AddMemberFirst_33" localSheetId="1" hidden="1">IBPFormattingSheet!$D$191</definedName>
    <definedName name="AddMemberFirst_34" localSheetId="1" hidden="1">IBPFormattingSheet!$D$194</definedName>
    <definedName name="AddMemberFirst_35" localSheetId="1" hidden="1">IBPFormattingSheet!$D$197</definedName>
    <definedName name="AddMemberFirst_36" localSheetId="1" hidden="1">IBPFormattingSheet!$D$200</definedName>
    <definedName name="AddMemberFirst_37" localSheetId="1" hidden="1">IBPFormattingSheet!$D$203</definedName>
    <definedName name="AddMemberFirst_38" localSheetId="1" hidden="1">IBPFormattingSheet!$D$206</definedName>
    <definedName name="AddMemberFirst_39" localSheetId="1" hidden="1">IBPFormattingSheet!$D$209</definedName>
    <definedName name="AddMemberFirst_4" localSheetId="1" hidden="1">IBPFormattingSheet!$D$104</definedName>
    <definedName name="AddMemberFirst_40" localSheetId="1" hidden="1">IBPFormattingSheet!$D$212</definedName>
    <definedName name="AddMemberFirst_41" localSheetId="1" hidden="1">IBPFormattingSheet!$D$215</definedName>
    <definedName name="AddMemberFirst_42" localSheetId="1" hidden="1">IBPFormattingSheet!$D$218</definedName>
    <definedName name="AddMemberFirst_5" localSheetId="1" hidden="1">IBPFormattingSheet!$D$107</definedName>
    <definedName name="AddMemberFirst_6" localSheetId="1" hidden="1">IBPFormattingSheet!$D$110</definedName>
    <definedName name="AddMemberFirst_7" localSheetId="1" hidden="1">IBPFormattingSheet!$D$113</definedName>
    <definedName name="AddMemberFirst_8" localSheetId="1" hidden="1">IBPFormattingSheet!$D$116</definedName>
    <definedName name="AddMemberFirst_9" localSheetId="1" hidden="1">IBPFormattingSheet!$D$119</definedName>
    <definedName name="AddMemberSecond" localSheetId="1" hidden="1">IBPFormattingSheet!$D$76</definedName>
    <definedName name="AddMemberSecond_1" localSheetId="1" hidden="1">IBPFormattingSheet!$D$41</definedName>
    <definedName name="AddMemberSecond_10" localSheetId="1" hidden="1">IBPFormattingSheet!$D$68</definedName>
    <definedName name="AddMemberSecond_11" localSheetId="1" hidden="1">IBPFormattingSheet!$D$71</definedName>
    <definedName name="AddMemberSecond_12" localSheetId="1" hidden="1">IBPFormattingSheet!$D$74</definedName>
    <definedName name="AddMemberSecond_2" localSheetId="1" hidden="1">IBPFormattingSheet!$D$44</definedName>
    <definedName name="AddMemberSecond_3" localSheetId="1" hidden="1">IBPFormattingSheet!$D$47</definedName>
    <definedName name="AddMemberSecond_4" localSheetId="1" hidden="1">IBPFormattingSheet!$D$50</definedName>
    <definedName name="AddMemberSecond_5" localSheetId="1" hidden="1">IBPFormattingSheet!$D$53</definedName>
    <definedName name="AddMemberSecond_6" localSheetId="1" hidden="1">IBPFormattingSheet!$D$56</definedName>
    <definedName name="AddMemberSecond_7" localSheetId="1" hidden="1">IBPFormattingSheet!$D$59</definedName>
    <definedName name="AddMemberSecond_8" localSheetId="1" hidden="1">IBPFormattingSheet!$D$62</definedName>
    <definedName name="AddMemberSecond_9" localSheetId="1" hidden="1">IBPFormattingSheet!$D$65</definedName>
    <definedName name="DataFirst" localSheetId="1" hidden="1">IBPFormattingSheet!$E$79:$G$79</definedName>
    <definedName name="DataSecond" localSheetId="1" hidden="1">IBPFormattingSheet!$E$235:$G$235</definedName>
    <definedName name="DataUseFirst" localSheetId="1" hidden="1">IBPFormattingSheet!$H$79</definedName>
    <definedName name="DataUseSecond" localSheetId="1" hidden="1">IBPFormattingSheet!$H$235</definedName>
    <definedName name="EPMWorkbookOptions_1" hidden="1">"HwEAAB+LCAAAAAAAAAqFjz0PgjAURXcT/0PTHQqaOBAog44aTBh0rfD4CNCS9kH5+aJREnVwve+cvHvDeOpaMoI2tZIR9V2PEpCZymtZRnTAwvF3NObrVXhRurkp1SQ9zqghsydNMJk6ohViHzBmrXXt1lW6ZBvP89n1dEyzCjrh1NKgkBnQxcr/W3T+Ski4b0Hog0CRyFSMwFEPELLv9Im+K561QsgQcl6I1sz07+GTtzlhj40L+BrJ73Sm"</definedName>
    <definedName name="EPMWorkbookOptions_2" hidden="1">"O+0fAQAA"</definedName>
    <definedName name="EvenDataFirst" localSheetId="1" hidden="1">IBPFormattingSheet!$F$232</definedName>
    <definedName name="EvenDataSecond" localSheetId="1" hidden="1">IBPFormattingSheet!$F$240</definedName>
    <definedName name="EvenDataUseFirst" localSheetId="1" hidden="1">IBPFormattingSheet!$H$232</definedName>
    <definedName name="EvenDataUseSecond" localSheetId="1" hidden="1">IBPFormattingSheet!$H$240</definedName>
    <definedName name="EvenHeaderFirst" localSheetId="1" hidden="1">IBPFormattingSheet!$J$232</definedName>
    <definedName name="EvenHeaderSecond" localSheetId="1" hidden="1">IBPFormattingSheet!$J$240</definedName>
    <definedName name="EvenHeaderUseFirst" localSheetId="1" hidden="1">IBPFormattingSheet!$L$232</definedName>
    <definedName name="EvenHeaderUseSecond" localSheetId="1" hidden="1">IBPFormattingSheet!$L$240</definedName>
    <definedName name="HeaderFirst" localSheetId="1" hidden="1">IBPFormattingSheet!$I$79:$K$79</definedName>
    <definedName name="HeaderSecond" localSheetId="1" hidden="1">IBPFormattingSheet!$I$235:$K$235</definedName>
    <definedName name="HeaderSmallGrid" localSheetId="1" hidden="1">IBPFormattingSheet!$A$1</definedName>
    <definedName name="HeaderUseFirst" localSheetId="1" hidden="1">IBPFormattingSheet!$L$79</definedName>
    <definedName name="HeaderUseSecond" localSheetId="1" hidden="1">IBPFormattingSheet!$L$235</definedName>
    <definedName name="HeaderUseSmallGrid" localSheetId="1" hidden="1">IBPFormattingSheet!$A$1</definedName>
    <definedName name="IBPClientFormattingSheet" localSheetId="1" hidden="1">"3_3"</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IBPFormattingSheet!$B$222</definedName>
    <definedName name="MemberFirstBlock" localSheetId="1" hidden="1">IBPFormattingSheet!$B$78:$B$221</definedName>
    <definedName name="MemberFirstDataCalculated" localSheetId="1" hidden="1">IBPFormattingSheet!$F$81</definedName>
    <definedName name="MemberFirstDataChanged" localSheetId="1" hidden="1">IBPFormattingSheet!$F$90</definedName>
    <definedName name="MemberFirstDataCustom" localSheetId="1" hidden="1">IBPFormattingSheet!#REF!</definedName>
    <definedName name="MemberFirstDataInputable" localSheetId="1" hidden="1">IBPFormattingSheet!$F$84</definedName>
    <definedName name="MemberFirstDataItem_1" localSheetId="1" hidden="1">IBPFormattingSheet!$F$95</definedName>
    <definedName name="MemberFirstDataItem_10" localSheetId="1" hidden="1">IBPFormattingSheet!$F$122</definedName>
    <definedName name="MemberFirstDataItem_11" localSheetId="1" hidden="1">IBPFormattingSheet!$F$125</definedName>
    <definedName name="MemberFirstDataItem_12" localSheetId="1" hidden="1">IBPFormattingSheet!$F$128</definedName>
    <definedName name="MemberFirstDataItem_13" localSheetId="1" hidden="1">IBPFormattingSheet!$F$131</definedName>
    <definedName name="MemberFirstDataItem_14" localSheetId="1" hidden="1">IBPFormattingSheet!$F$134</definedName>
    <definedName name="MemberFirstDataItem_15" localSheetId="1" hidden="1">IBPFormattingSheet!$F$137</definedName>
    <definedName name="MemberFirstDataItem_16" localSheetId="1" hidden="1">IBPFormattingSheet!$F$140</definedName>
    <definedName name="MemberFirstDataItem_17" localSheetId="1" hidden="1">IBPFormattingSheet!$F$143</definedName>
    <definedName name="MemberFirstDataItem_18" localSheetId="1" hidden="1">IBPFormattingSheet!$F$146</definedName>
    <definedName name="MemberFirstDataItem_19" localSheetId="1" hidden="1">IBPFormattingSheet!$F$149</definedName>
    <definedName name="MemberFirstDataItem_2" localSheetId="1" hidden="1">IBPFormattingSheet!$F$98</definedName>
    <definedName name="MemberFirstDataItem_20" localSheetId="1" hidden="1">IBPFormattingSheet!$F$152</definedName>
    <definedName name="MemberFirstDataItem_21" localSheetId="1" hidden="1">IBPFormattingSheet!$F$155</definedName>
    <definedName name="MemberFirstDataItem_22" localSheetId="1" hidden="1">IBPFormattingSheet!$F$158</definedName>
    <definedName name="MemberFirstDataItem_23" localSheetId="1" hidden="1">IBPFormattingSheet!$F$161</definedName>
    <definedName name="MemberFirstDataItem_24" localSheetId="1" hidden="1">IBPFormattingSheet!$F$164</definedName>
    <definedName name="MemberFirstDataItem_25" localSheetId="1" hidden="1">IBPFormattingSheet!$F$167</definedName>
    <definedName name="MemberFirstDataItem_26" localSheetId="1" hidden="1">IBPFormattingSheet!$F$170</definedName>
    <definedName name="MemberFirstDataItem_27" localSheetId="1" hidden="1">IBPFormattingSheet!$F$173</definedName>
    <definedName name="MemberFirstDataItem_28" localSheetId="1" hidden="1">IBPFormattingSheet!$F$176</definedName>
    <definedName name="MemberFirstDataItem_29" localSheetId="1" hidden="1">IBPFormattingSheet!$F$179</definedName>
    <definedName name="MemberFirstDataItem_3" localSheetId="1" hidden="1">IBPFormattingSheet!$F$101</definedName>
    <definedName name="MemberFirstDataItem_30" localSheetId="1" hidden="1">IBPFormattingSheet!$F$182</definedName>
    <definedName name="MemberFirstDataItem_31" localSheetId="1" hidden="1">IBPFormattingSheet!$F$185</definedName>
    <definedName name="MemberFirstDataItem_32" localSheetId="1" hidden="1">IBPFormattingSheet!$F$188</definedName>
    <definedName name="MemberFirstDataItem_33" localSheetId="1" hidden="1">IBPFormattingSheet!$F$191</definedName>
    <definedName name="MemberFirstDataItem_34" localSheetId="1" hidden="1">IBPFormattingSheet!$F$194</definedName>
    <definedName name="MemberFirstDataItem_35" localSheetId="1" hidden="1">IBPFormattingSheet!$F$197</definedName>
    <definedName name="MemberFirstDataItem_36" localSheetId="1" hidden="1">IBPFormattingSheet!$F$200</definedName>
    <definedName name="MemberFirstDataItem_37" localSheetId="1" hidden="1">IBPFormattingSheet!$F$203</definedName>
    <definedName name="MemberFirstDataItem_38" localSheetId="1" hidden="1">IBPFormattingSheet!$F$206</definedName>
    <definedName name="MemberFirstDataItem_39" localSheetId="1" hidden="1">IBPFormattingSheet!$F$209</definedName>
    <definedName name="MemberFirstDataItem_4" localSheetId="1" hidden="1">IBPFormattingSheet!$F$104</definedName>
    <definedName name="MemberFirstDataItem_40" localSheetId="1" hidden="1">IBPFormattingSheet!$F$212</definedName>
    <definedName name="MemberFirstDataItem_41" localSheetId="1" hidden="1">IBPFormattingSheet!$F$215</definedName>
    <definedName name="MemberFirstDataItem_42" localSheetId="1" hidden="1">IBPFormattingSheet!$F$218</definedName>
    <definedName name="MemberFirstDataItem_5" localSheetId="1" hidden="1">IBPFormattingSheet!$F$107</definedName>
    <definedName name="MemberFirstDataItem_6" localSheetId="1" hidden="1">IBPFormattingSheet!$F$110</definedName>
    <definedName name="MemberFirstDataItem_7" localSheetId="1" hidden="1">IBPFormattingSheet!$F$113</definedName>
    <definedName name="MemberFirstDataItem_8" localSheetId="1" hidden="1">IBPFormattingSheet!$F$116</definedName>
    <definedName name="MemberFirstDataItem_9" localSheetId="1" hidden="1">IBPFormattingSheet!$F$119</definedName>
    <definedName name="MemberFirstDataLocal" localSheetId="1" hidden="1">IBPFormattingSheet!$F$87</definedName>
    <definedName name="MemberFirstDataUseCalculated" localSheetId="1" hidden="1">IBPFormattingSheet!$H$81</definedName>
    <definedName name="MemberFirstDataUseChanged" localSheetId="1" hidden="1">IBPFormattingSheet!$H$90</definedName>
    <definedName name="MemberFirstDataUseCustom" localSheetId="1" hidden="1">IBPFormattingSheet!#REF!</definedName>
    <definedName name="MemberFirstDataUseInputable" localSheetId="1" hidden="1">IBPFormattingSheet!$H$84</definedName>
    <definedName name="MemberFirstDataUseItem_1" localSheetId="1" hidden="1">IBPFormattingSheet!$H$95</definedName>
    <definedName name="MemberFirstDataUseItem_10" localSheetId="1" hidden="1">IBPFormattingSheet!$H$122</definedName>
    <definedName name="MemberFirstDataUseItem_11" localSheetId="1" hidden="1">IBPFormattingSheet!$H$125</definedName>
    <definedName name="MemberFirstDataUseItem_12" localSheetId="1" hidden="1">IBPFormattingSheet!$H$128</definedName>
    <definedName name="MemberFirstDataUseItem_13" localSheetId="1" hidden="1">IBPFormattingSheet!$H$131</definedName>
    <definedName name="MemberFirstDataUseItem_14" localSheetId="1" hidden="1">IBPFormattingSheet!$H$134</definedName>
    <definedName name="MemberFirstDataUseItem_15" localSheetId="1" hidden="1">IBPFormattingSheet!$H$137</definedName>
    <definedName name="MemberFirstDataUseItem_16" localSheetId="1" hidden="1">IBPFormattingSheet!$H$140</definedName>
    <definedName name="MemberFirstDataUseItem_17" localSheetId="1" hidden="1">IBPFormattingSheet!$H$143</definedName>
    <definedName name="MemberFirstDataUseItem_18" localSheetId="1" hidden="1">IBPFormattingSheet!$H$146</definedName>
    <definedName name="MemberFirstDataUseItem_19" localSheetId="1" hidden="1">IBPFormattingSheet!$H$149</definedName>
    <definedName name="MemberFirstDataUseItem_2" localSheetId="1" hidden="1">IBPFormattingSheet!$H$98</definedName>
    <definedName name="MemberFirstDataUseItem_20" localSheetId="1" hidden="1">IBPFormattingSheet!$H$152</definedName>
    <definedName name="MemberFirstDataUseItem_21" localSheetId="1" hidden="1">IBPFormattingSheet!$H$155</definedName>
    <definedName name="MemberFirstDataUseItem_22" localSheetId="1" hidden="1">IBPFormattingSheet!$H$158</definedName>
    <definedName name="MemberFirstDataUseItem_23" localSheetId="1" hidden="1">IBPFormattingSheet!$H$161</definedName>
    <definedName name="MemberFirstDataUseItem_24" localSheetId="1" hidden="1">IBPFormattingSheet!$H$164</definedName>
    <definedName name="MemberFirstDataUseItem_25" localSheetId="1" hidden="1">IBPFormattingSheet!$H$167</definedName>
    <definedName name="MemberFirstDataUseItem_26" localSheetId="1" hidden="1">IBPFormattingSheet!$H$170</definedName>
    <definedName name="MemberFirstDataUseItem_27" localSheetId="1" hidden="1">IBPFormattingSheet!$H$173</definedName>
    <definedName name="MemberFirstDataUseItem_28" localSheetId="1" hidden="1">IBPFormattingSheet!$H$176</definedName>
    <definedName name="MemberFirstDataUseItem_29" localSheetId="1" hidden="1">IBPFormattingSheet!$H$179</definedName>
    <definedName name="MemberFirstDataUseItem_3" localSheetId="1" hidden="1">IBPFormattingSheet!$H$101</definedName>
    <definedName name="MemberFirstDataUseItem_30" localSheetId="1" hidden="1">IBPFormattingSheet!$H$182</definedName>
    <definedName name="MemberFirstDataUseItem_31" localSheetId="1" hidden="1">IBPFormattingSheet!$H$185</definedName>
    <definedName name="MemberFirstDataUseItem_32" localSheetId="1" hidden="1">IBPFormattingSheet!$H$188</definedName>
    <definedName name="MemberFirstDataUseItem_33" localSheetId="1" hidden="1">IBPFormattingSheet!$H$191</definedName>
    <definedName name="MemberFirstDataUseItem_34" localSheetId="1" hidden="1">IBPFormattingSheet!$H$194</definedName>
    <definedName name="MemberFirstDataUseItem_35" localSheetId="1" hidden="1">IBPFormattingSheet!$H$197</definedName>
    <definedName name="MemberFirstDataUseItem_36" localSheetId="1" hidden="1">IBPFormattingSheet!$H$200</definedName>
    <definedName name="MemberFirstDataUseItem_37" localSheetId="1" hidden="1">IBPFormattingSheet!$H$203</definedName>
    <definedName name="MemberFirstDataUseItem_38" localSheetId="1" hidden="1">IBPFormattingSheet!$H$206</definedName>
    <definedName name="MemberFirstDataUseItem_39" localSheetId="1" hidden="1">IBPFormattingSheet!$H$209</definedName>
    <definedName name="MemberFirstDataUseItem_4" localSheetId="1" hidden="1">IBPFormattingSheet!$H$104</definedName>
    <definedName name="MemberFirstDataUseItem_40" localSheetId="1" hidden="1">IBPFormattingSheet!$H$212</definedName>
    <definedName name="MemberFirstDataUseItem_41" localSheetId="1" hidden="1">IBPFormattingSheet!$H$215</definedName>
    <definedName name="MemberFirstDataUseItem_42" localSheetId="1" hidden="1">IBPFormattingSheet!$H$218</definedName>
    <definedName name="MemberFirstDataUseItem_5" localSheetId="1" hidden="1">IBPFormattingSheet!$H$107</definedName>
    <definedName name="MemberFirstDataUseItem_6" localSheetId="1" hidden="1">IBPFormattingSheet!$H$110</definedName>
    <definedName name="MemberFirstDataUseItem_7" localSheetId="1" hidden="1">IBPFormattingSheet!$H$113</definedName>
    <definedName name="MemberFirstDataUseItem_8" localSheetId="1" hidden="1">IBPFormattingSheet!$H$116</definedName>
    <definedName name="MemberFirstDataUseItem_9" localSheetId="1" hidden="1">IBPFormattingSheet!$H$119</definedName>
    <definedName name="MemberFirstDataUseLocal" localSheetId="1" hidden="1">IBPFormattingSheet!$H$87</definedName>
    <definedName name="MemberFirstHeaderCalculated" localSheetId="1" hidden="1">IBPFormattingSheet!$J$81</definedName>
    <definedName name="MemberFirstHeaderChanged" localSheetId="1" hidden="1">IBPFormattingSheet!$J$90</definedName>
    <definedName name="MemberFirstHeaderCustom" localSheetId="1" hidden="1">IBPFormattingSheet!#REF!</definedName>
    <definedName name="MemberFirstHeaderInputable" localSheetId="1" hidden="1">IBPFormattingSheet!$J$84</definedName>
    <definedName name="MemberFirstHeaderItem_1" localSheetId="1" hidden="1">IBPFormattingSheet!$J$95</definedName>
    <definedName name="MemberFirstHeaderItem_10" localSheetId="1" hidden="1">IBPFormattingSheet!$J$122</definedName>
    <definedName name="MemberFirstHeaderItem_11" localSheetId="1" hidden="1">IBPFormattingSheet!$J$125</definedName>
    <definedName name="MemberFirstHeaderItem_12" localSheetId="1" hidden="1">IBPFormattingSheet!$J$128</definedName>
    <definedName name="MemberFirstHeaderItem_13" localSheetId="1" hidden="1">IBPFormattingSheet!$J$131</definedName>
    <definedName name="MemberFirstHeaderItem_14" localSheetId="1" hidden="1">IBPFormattingSheet!$J$134</definedName>
    <definedName name="MemberFirstHeaderItem_15" localSheetId="1" hidden="1">IBPFormattingSheet!$J$137</definedName>
    <definedName name="MemberFirstHeaderItem_16" localSheetId="1" hidden="1">IBPFormattingSheet!$J$140</definedName>
    <definedName name="MemberFirstHeaderItem_17" localSheetId="1" hidden="1">IBPFormattingSheet!$J$143</definedName>
    <definedName name="MemberFirstHeaderItem_18" localSheetId="1" hidden="1">IBPFormattingSheet!$J$146</definedName>
    <definedName name="MemberFirstHeaderItem_19" localSheetId="1" hidden="1">IBPFormattingSheet!$J$149</definedName>
    <definedName name="MemberFirstHeaderItem_2" localSheetId="1" hidden="1">IBPFormattingSheet!$J$98</definedName>
    <definedName name="MemberFirstHeaderItem_20" localSheetId="1" hidden="1">IBPFormattingSheet!$J$152</definedName>
    <definedName name="MemberFirstHeaderItem_21" localSheetId="1" hidden="1">IBPFormattingSheet!$J$155</definedName>
    <definedName name="MemberFirstHeaderItem_22" localSheetId="1" hidden="1">IBPFormattingSheet!$J$158</definedName>
    <definedName name="MemberFirstHeaderItem_23" localSheetId="1" hidden="1">IBPFormattingSheet!$J$161</definedName>
    <definedName name="MemberFirstHeaderItem_24" localSheetId="1" hidden="1">IBPFormattingSheet!$J$164</definedName>
    <definedName name="MemberFirstHeaderItem_25" localSheetId="1" hidden="1">IBPFormattingSheet!$J$167</definedName>
    <definedName name="MemberFirstHeaderItem_26" localSheetId="1" hidden="1">IBPFormattingSheet!$J$170</definedName>
    <definedName name="MemberFirstHeaderItem_27" localSheetId="1" hidden="1">IBPFormattingSheet!$J$173</definedName>
    <definedName name="MemberFirstHeaderItem_28" localSheetId="1" hidden="1">IBPFormattingSheet!$J$176</definedName>
    <definedName name="MemberFirstHeaderItem_29" localSheetId="1" hidden="1">IBPFormattingSheet!$J$179</definedName>
    <definedName name="MemberFirstHeaderItem_3" localSheetId="1" hidden="1">IBPFormattingSheet!$J$101</definedName>
    <definedName name="MemberFirstHeaderItem_30" localSheetId="1" hidden="1">IBPFormattingSheet!$J$182</definedName>
    <definedName name="MemberFirstHeaderItem_31" localSheetId="1" hidden="1">IBPFormattingSheet!$J$185</definedName>
    <definedName name="MemberFirstHeaderItem_32" localSheetId="1" hidden="1">IBPFormattingSheet!$J$188</definedName>
    <definedName name="MemberFirstHeaderItem_33" localSheetId="1" hidden="1">IBPFormattingSheet!$J$191</definedName>
    <definedName name="MemberFirstHeaderItem_34" localSheetId="1" hidden="1">IBPFormattingSheet!$J$194</definedName>
    <definedName name="MemberFirstHeaderItem_35" localSheetId="1" hidden="1">IBPFormattingSheet!$J$197</definedName>
    <definedName name="MemberFirstHeaderItem_36" localSheetId="1" hidden="1">IBPFormattingSheet!$J$200</definedName>
    <definedName name="MemberFirstHeaderItem_37" localSheetId="1" hidden="1">IBPFormattingSheet!$J$203</definedName>
    <definedName name="MemberFirstHeaderItem_38" localSheetId="1" hidden="1">IBPFormattingSheet!$J$206</definedName>
    <definedName name="MemberFirstHeaderItem_39" localSheetId="1" hidden="1">IBPFormattingSheet!$J$209</definedName>
    <definedName name="MemberFirstHeaderItem_4" localSheetId="1" hidden="1">IBPFormattingSheet!$J$104</definedName>
    <definedName name="MemberFirstHeaderItem_40" localSheetId="1" hidden="1">IBPFormattingSheet!$J$212</definedName>
    <definedName name="MemberFirstHeaderItem_41" localSheetId="1" hidden="1">IBPFormattingSheet!$J$215</definedName>
    <definedName name="MemberFirstHeaderItem_42" localSheetId="1" hidden="1">IBPFormattingSheet!$J$218</definedName>
    <definedName name="MemberFirstHeaderItem_5" localSheetId="1" hidden="1">IBPFormattingSheet!$J$107</definedName>
    <definedName name="MemberFirstHeaderItem_6" localSheetId="1" hidden="1">IBPFormattingSheet!$J$110</definedName>
    <definedName name="MemberFirstHeaderItem_7" localSheetId="1" hidden="1">IBPFormattingSheet!$J$113</definedName>
    <definedName name="MemberFirstHeaderItem_8" localSheetId="1" hidden="1">IBPFormattingSheet!$J$116</definedName>
    <definedName name="MemberFirstHeaderItem_9" localSheetId="1" hidden="1">IBPFormattingSheet!$J$119</definedName>
    <definedName name="MemberFirstHeaderLocal" localSheetId="1" hidden="1">IBPFormattingSheet!$J$87</definedName>
    <definedName name="MemberFirstHeaderUseCalculated" localSheetId="1" hidden="1">IBPFormattingSheet!$L$81</definedName>
    <definedName name="MemberFirstHeaderUseChanged" localSheetId="1" hidden="1">IBPFormattingSheet!$L$90</definedName>
    <definedName name="MemberFirstHeaderUseCustom" localSheetId="1" hidden="1">IBPFormattingSheet!#REF!</definedName>
    <definedName name="MemberFirstHeaderUseInputable" localSheetId="1" hidden="1">IBPFormattingSheet!$L$84</definedName>
    <definedName name="MemberFirstHeaderUseItem_1" localSheetId="1" hidden="1">IBPFormattingSheet!$L$95</definedName>
    <definedName name="MemberFirstHeaderUseItem_10" localSheetId="1" hidden="1">IBPFormattingSheet!$L$122</definedName>
    <definedName name="MemberFirstHeaderUseItem_11" localSheetId="1" hidden="1">IBPFormattingSheet!$L$125</definedName>
    <definedName name="MemberFirstHeaderUseItem_12" localSheetId="1" hidden="1">IBPFormattingSheet!$L$128</definedName>
    <definedName name="MemberFirstHeaderUseItem_13" localSheetId="1" hidden="1">IBPFormattingSheet!$L$131</definedName>
    <definedName name="MemberFirstHeaderUseItem_14" localSheetId="1" hidden="1">IBPFormattingSheet!$L$134</definedName>
    <definedName name="MemberFirstHeaderUseItem_15" localSheetId="1" hidden="1">IBPFormattingSheet!$L$137</definedName>
    <definedName name="MemberFirstHeaderUseItem_16" localSheetId="1" hidden="1">IBPFormattingSheet!$L$140</definedName>
    <definedName name="MemberFirstHeaderUseItem_17" localSheetId="1" hidden="1">IBPFormattingSheet!$L$143</definedName>
    <definedName name="MemberFirstHeaderUseItem_18" localSheetId="1" hidden="1">IBPFormattingSheet!$L$146</definedName>
    <definedName name="MemberFirstHeaderUseItem_19" localSheetId="1" hidden="1">IBPFormattingSheet!$L$149</definedName>
    <definedName name="MemberFirstHeaderUseItem_2" localSheetId="1" hidden="1">IBPFormattingSheet!$L$98</definedName>
    <definedName name="MemberFirstHeaderUseItem_20" localSheetId="1" hidden="1">IBPFormattingSheet!$L$152</definedName>
    <definedName name="MemberFirstHeaderUseItem_21" localSheetId="1" hidden="1">IBPFormattingSheet!$L$155</definedName>
    <definedName name="MemberFirstHeaderUseItem_22" localSheetId="1" hidden="1">IBPFormattingSheet!$L$158</definedName>
    <definedName name="MemberFirstHeaderUseItem_23" localSheetId="1" hidden="1">IBPFormattingSheet!$L$161</definedName>
    <definedName name="MemberFirstHeaderUseItem_24" localSheetId="1" hidden="1">IBPFormattingSheet!$L$164</definedName>
    <definedName name="MemberFirstHeaderUseItem_25" localSheetId="1" hidden="1">IBPFormattingSheet!$L$167</definedName>
    <definedName name="MemberFirstHeaderUseItem_26" localSheetId="1" hidden="1">IBPFormattingSheet!$L$170</definedName>
    <definedName name="MemberFirstHeaderUseItem_27" localSheetId="1" hidden="1">IBPFormattingSheet!$L$173</definedName>
    <definedName name="MemberFirstHeaderUseItem_28" localSheetId="1" hidden="1">IBPFormattingSheet!$L$176</definedName>
    <definedName name="MemberFirstHeaderUseItem_29" localSheetId="1" hidden="1">IBPFormattingSheet!$L$179</definedName>
    <definedName name="MemberFirstHeaderUseItem_3" localSheetId="1" hidden="1">IBPFormattingSheet!$L$101</definedName>
    <definedName name="MemberFirstHeaderUseItem_30" localSheetId="1" hidden="1">IBPFormattingSheet!$L$182</definedName>
    <definedName name="MemberFirstHeaderUseItem_31" localSheetId="1" hidden="1">IBPFormattingSheet!$L$185</definedName>
    <definedName name="MemberFirstHeaderUseItem_32" localSheetId="1" hidden="1">IBPFormattingSheet!$L$188</definedName>
    <definedName name="MemberFirstHeaderUseItem_33" localSheetId="1" hidden="1">IBPFormattingSheet!$L$191</definedName>
    <definedName name="MemberFirstHeaderUseItem_34" localSheetId="1" hidden="1">IBPFormattingSheet!$L$194</definedName>
    <definedName name="MemberFirstHeaderUseItem_35" localSheetId="1" hidden="1">IBPFormattingSheet!$L$197</definedName>
    <definedName name="MemberFirstHeaderUseItem_36" localSheetId="1" hidden="1">IBPFormattingSheet!$L$200</definedName>
    <definedName name="MemberFirstHeaderUseItem_37" localSheetId="1" hidden="1">IBPFormattingSheet!$L$203</definedName>
    <definedName name="MemberFirstHeaderUseItem_38" localSheetId="1" hidden="1">IBPFormattingSheet!$L$206</definedName>
    <definedName name="MemberFirstHeaderUseItem_39" localSheetId="1" hidden="1">IBPFormattingSheet!$L$209</definedName>
    <definedName name="MemberFirstHeaderUseItem_4" localSheetId="1" hidden="1">IBPFormattingSheet!$L$104</definedName>
    <definedName name="MemberFirstHeaderUseItem_40" localSheetId="1" hidden="1">IBPFormattingSheet!$L$212</definedName>
    <definedName name="MemberFirstHeaderUseItem_41" localSheetId="1" hidden="1">IBPFormattingSheet!$L$215</definedName>
    <definedName name="MemberFirstHeaderUseItem_42" localSheetId="1" hidden="1">IBPFormattingSheet!$L$218</definedName>
    <definedName name="MemberFirstHeaderUseItem_5" localSheetId="1" hidden="1">IBPFormattingSheet!$L$107</definedName>
    <definedName name="MemberFirstHeaderUseItem_6" localSheetId="1" hidden="1">IBPFormattingSheet!$L$110</definedName>
    <definedName name="MemberFirstHeaderUseItem_7" localSheetId="1" hidden="1">IBPFormattingSheet!$L$113</definedName>
    <definedName name="MemberFirstHeaderUseItem_8" localSheetId="1" hidden="1">IBPFormattingSheet!$L$116</definedName>
    <definedName name="MemberFirstHeaderUseItem_9" localSheetId="1" hidden="1">IBPFormattingSheet!$L$119</definedName>
    <definedName name="MemberFirstHeaderUseLocal" localSheetId="1" hidden="1">IBPFormattingSheet!$L$87</definedName>
    <definedName name="MemberSecondBlock" localSheetId="1" hidden="1">IBPFormattingSheet!$B$24:$B$77</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Item_1" localSheetId="1" hidden="1">IBPFormattingSheet!$F$41</definedName>
    <definedName name="MemberSecondDataItem_10" localSheetId="1" hidden="1">IBPFormattingSheet!$F$68</definedName>
    <definedName name="MemberSecondDataItem_11" localSheetId="1" hidden="1">IBPFormattingSheet!$F$71</definedName>
    <definedName name="MemberSecondDataItem_12" localSheetId="1" hidden="1">IBPFormattingSheet!$F$74</definedName>
    <definedName name="MemberSecondDataItem_2" localSheetId="1" hidden="1">IBPFormattingSheet!$F$44</definedName>
    <definedName name="MemberSecondDataItem_3" localSheetId="1" hidden="1">IBPFormattingSheet!$F$47</definedName>
    <definedName name="MemberSecondDataItem_4" localSheetId="1" hidden="1">IBPFormattingSheet!$F$50</definedName>
    <definedName name="MemberSecondDataItem_5" localSheetId="1" hidden="1">IBPFormattingSheet!$F$53</definedName>
    <definedName name="MemberSecondDataItem_6" localSheetId="1" hidden="1">IBPFormattingSheet!$F$56</definedName>
    <definedName name="MemberSecondDataItem_7" localSheetId="1" hidden="1">IBPFormattingSheet!$F$59</definedName>
    <definedName name="MemberSecondDataItem_8" localSheetId="1" hidden="1">IBPFormattingSheet!$F$62</definedName>
    <definedName name="MemberSecondDataItem_9" localSheetId="1" hidden="1">IBPFormattingSheet!$F$65</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Item_1" localSheetId="1" hidden="1">IBPFormattingSheet!$H$41</definedName>
    <definedName name="MemberSecondDataUseItem_10" localSheetId="1" hidden="1">IBPFormattingSheet!$H$68</definedName>
    <definedName name="MemberSecondDataUseItem_11" localSheetId="1" hidden="1">IBPFormattingSheet!$H$71</definedName>
    <definedName name="MemberSecondDataUseItem_12" localSheetId="1" hidden="1">IBPFormattingSheet!$H$74</definedName>
    <definedName name="MemberSecondDataUseItem_2" localSheetId="1" hidden="1">IBPFormattingSheet!$H$44</definedName>
    <definedName name="MemberSecondDataUseItem_3" localSheetId="1" hidden="1">IBPFormattingSheet!$H$47</definedName>
    <definedName name="MemberSecondDataUseItem_4" localSheetId="1" hidden="1">IBPFormattingSheet!$H$50</definedName>
    <definedName name="MemberSecondDataUseItem_5" localSheetId="1" hidden="1">IBPFormattingSheet!$H$53</definedName>
    <definedName name="MemberSecondDataUseItem_6" localSheetId="1" hidden="1">IBPFormattingSheet!$H$56</definedName>
    <definedName name="MemberSecondDataUseItem_7" localSheetId="1" hidden="1">IBPFormattingSheet!$H$59</definedName>
    <definedName name="MemberSecondDataUseItem_8" localSheetId="1" hidden="1">IBPFormattingSheet!$H$62</definedName>
    <definedName name="MemberSecondDataUseItem_9" localSheetId="1" hidden="1">IBPFormattingSheet!$H$65</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Item_1" localSheetId="1" hidden="1">IBPFormattingSheet!$J$41</definedName>
    <definedName name="MemberSecondHeaderItem_10" localSheetId="1" hidden="1">IBPFormattingSheet!$J$68</definedName>
    <definedName name="MemberSecondHeaderItem_11" localSheetId="1" hidden="1">IBPFormattingSheet!$J$71</definedName>
    <definedName name="MemberSecondHeaderItem_12" localSheetId="1" hidden="1">IBPFormattingSheet!$J$74</definedName>
    <definedName name="MemberSecondHeaderItem_2" localSheetId="1" hidden="1">IBPFormattingSheet!$J$44</definedName>
    <definedName name="MemberSecondHeaderItem_3" localSheetId="1" hidden="1">IBPFormattingSheet!$J$47</definedName>
    <definedName name="MemberSecondHeaderItem_4" localSheetId="1" hidden="1">IBPFormattingSheet!$J$50</definedName>
    <definedName name="MemberSecondHeaderItem_5" localSheetId="1" hidden="1">IBPFormattingSheet!$J$53</definedName>
    <definedName name="MemberSecondHeaderItem_6" localSheetId="1" hidden="1">IBPFormattingSheet!$J$56</definedName>
    <definedName name="MemberSecondHeaderItem_7" localSheetId="1" hidden="1">IBPFormattingSheet!$J$59</definedName>
    <definedName name="MemberSecondHeaderItem_8" localSheetId="1" hidden="1">IBPFormattingSheet!$J$62</definedName>
    <definedName name="MemberSecondHeaderItem_9" localSheetId="1" hidden="1">IBPFormattingSheet!$J$65</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Item_1" localSheetId="1" hidden="1">IBPFormattingSheet!$L$41</definedName>
    <definedName name="MemberSecondHeaderUseItem_10" localSheetId="1" hidden="1">IBPFormattingSheet!$L$68</definedName>
    <definedName name="MemberSecondHeaderUseItem_11" localSheetId="1" hidden="1">IBPFormattingSheet!$L$71</definedName>
    <definedName name="MemberSecondHeaderUseItem_12" localSheetId="1" hidden="1">IBPFormattingSheet!$L$74</definedName>
    <definedName name="MemberSecondHeaderUseItem_2" localSheetId="1" hidden="1">IBPFormattingSheet!$L$44</definedName>
    <definedName name="MemberSecondHeaderUseItem_3" localSheetId="1" hidden="1">IBPFormattingSheet!$L$47</definedName>
    <definedName name="MemberSecondHeaderUseItem_4" localSheetId="1" hidden="1">IBPFormattingSheet!$L$50</definedName>
    <definedName name="MemberSecondHeaderUseItem_5" localSheetId="1" hidden="1">IBPFormattingSheet!$L$53</definedName>
    <definedName name="MemberSecondHeaderUseItem_6" localSheetId="1" hidden="1">IBPFormattingSheet!$L$56</definedName>
    <definedName name="MemberSecondHeaderUseItem_7" localSheetId="1" hidden="1">IBPFormattingSheet!$L$59</definedName>
    <definedName name="MemberSecondHeaderUseItem_8" localSheetId="1" hidden="1">IBPFormattingSheet!$L$62</definedName>
    <definedName name="MemberSecondHeaderUseItem_9" localSheetId="1" hidden="1">IBPFormattingSheet!$L$65</definedName>
    <definedName name="MemberSecondHeaderUseLocal" localSheetId="1" hidden="1">IBPFormattingSheet!$L$33</definedName>
    <definedName name="OddDataFirst" localSheetId="1" hidden="1">IBPFormattingSheet!$F$229</definedName>
    <definedName name="OddDataSecond" localSheetId="1" hidden="1">IBPFormattingSheet!$F$237</definedName>
    <definedName name="OddDataUseFirst" localSheetId="1" hidden="1">IBPFormattingSheet!$H$229</definedName>
    <definedName name="OddDataUseSecond" localSheetId="1" hidden="1">IBPFormattingSheet!$H$237</definedName>
    <definedName name="OddEvenEndBlock" localSheetId="1" hidden="1">IBPFormattingSheet!$B$242</definedName>
    <definedName name="OddEvenFirstBlock" localSheetId="1" hidden="1">IBPFormattingSheet!$B$226:$B$233</definedName>
    <definedName name="OddEvenSecondBlock" localSheetId="1" hidden="1">IBPFormattingSheet!$B$234:$B$241</definedName>
    <definedName name="OddHeaderFirst" localSheetId="1" hidden="1">IBPFormattingSheet!$J$229</definedName>
    <definedName name="OddHeaderSecond" localSheetId="1" hidden="1">IBPFormattingSheet!$J$237</definedName>
    <definedName name="OddHeaderUseFirst" localSheetId="1" hidden="1">IBPFormattingSheet!$L$229</definedName>
    <definedName name="OddHeaderUseSecond" localSheetId="1" hidden="1">IBPFormattingSheet!$L$237</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"PD6"</definedName>
    <definedName name="SOP_Connection_Name">"DACH IBP"</definedName>
    <definedName name="SOP_Favorite_Name">"DDMRP Project Data"</definedName>
    <definedName name="SOP_Filter" localSheetId="3">{" "}</definedName>
    <definedName name="SOP_Filter" localSheetId="1">{" "}</definedName>
    <definedName name="SOP_Filter" localSheetId="2">{" "}</definedName>
    <definedName name="SOP_Filter" localSheetId="4">{" "}</definedName>
    <definedName name="SOP_Filter">{" "}</definedName>
    <definedName name="SOP_Filter_Criteria_Count" localSheetId="3">0</definedName>
    <definedName name="SOP_Filter_Criteria_Count" localSheetId="2">0</definedName>
    <definedName name="SOP_Filter_Criteria_Count" localSheetId="4">0</definedName>
    <definedName name="SOP_Filter_Name" localSheetId="3">"(None)"</definedName>
    <definedName name="SOP_Filter_Name" localSheetId="2">"(None)"</definedName>
    <definedName name="SOP_Filter_Name" localSheetId="4">"(None)"</definedName>
    <definedName name="SOP_Heading1" localSheetId="3">"Key Figure"</definedName>
    <definedName name="SOP_Heading1" localSheetId="2">"Key Figure"</definedName>
    <definedName name="SOP_Heading1" localSheetId="4">"Key Figure"</definedName>
    <definedName name="SOP_Heading10" localSheetId="3">" "</definedName>
    <definedName name="SOP_Heading10" localSheetId="2">" "</definedName>
    <definedName name="SOP_Heading10" localSheetId="4">" "</definedName>
    <definedName name="SOP_Heading11" localSheetId="3">" "</definedName>
    <definedName name="SOP_Heading11" localSheetId="2">" "</definedName>
    <definedName name="SOP_Heading11" localSheetId="4">" "</definedName>
    <definedName name="SOP_Heading12" localSheetId="3">" "</definedName>
    <definedName name="SOP_Heading12" localSheetId="2">" "</definedName>
    <definedName name="SOP_Heading12" localSheetId="4">" "</definedName>
    <definedName name="SOP_Heading13" localSheetId="3">" "</definedName>
    <definedName name="SOP_Heading13" localSheetId="2">" "</definedName>
    <definedName name="SOP_Heading13" localSheetId="4">" "</definedName>
    <definedName name="SOP_Heading14" localSheetId="3">" "</definedName>
    <definedName name="SOP_Heading14" localSheetId="2">" "</definedName>
    <definedName name="SOP_Heading14" localSheetId="4">" "</definedName>
    <definedName name="SOP_Heading15" localSheetId="3">" "</definedName>
    <definedName name="SOP_Heading15" localSheetId="2">" "</definedName>
    <definedName name="SOP_Heading15" localSheetId="4">" "</definedName>
    <definedName name="SOP_Heading2" localSheetId="3">"MRP Type Indicator"</definedName>
    <definedName name="SOP_Heading2" localSheetId="2">"MRP Type Indicator"</definedName>
    <definedName name="SOP_Heading2" localSheetId="4">"MRP Type Indicator"</definedName>
    <definedName name="SOP_Heading3" localSheetId="3">"Product Desc"</definedName>
    <definedName name="SOP_Heading3" localSheetId="2">"Product Desc"</definedName>
    <definedName name="SOP_Heading3" localSheetId="4">"Product Desc"</definedName>
    <definedName name="SOP_Heading4" localSheetId="3">"Product ID"</definedName>
    <definedName name="SOP_Heading4" localSheetId="2">"Product ID"</definedName>
    <definedName name="SOP_Heading4" localSheetId="4">"Product ID"</definedName>
    <definedName name="SOP_Heading5" localSheetId="3">" "</definedName>
    <definedName name="SOP_Heading5" localSheetId="2">" "</definedName>
    <definedName name="SOP_Heading5" localSheetId="4">" "</definedName>
    <definedName name="SOP_Heading6" localSheetId="3">" "</definedName>
    <definedName name="SOP_Heading6" localSheetId="2">" "</definedName>
    <definedName name="SOP_Heading6" localSheetId="4">" "</definedName>
    <definedName name="SOP_Heading7" localSheetId="3">" "</definedName>
    <definedName name="SOP_Heading7" localSheetId="2">" "</definedName>
    <definedName name="SOP_Heading7" localSheetId="4">" "</definedName>
    <definedName name="SOP_Heading8" localSheetId="3">" "</definedName>
    <definedName name="SOP_Heading8" localSheetId="2">" "</definedName>
    <definedName name="SOP_Heading8" localSheetId="4">" "</definedName>
    <definedName name="SOP_Heading9" localSheetId="3">" "</definedName>
    <definedName name="SOP_Heading9" localSheetId="2">" "</definedName>
    <definedName name="SOP_Heading9" localSheetId="4">" "</definedName>
    <definedName name="SOP_Planning_Area">"BMIDACHGLB"</definedName>
    <definedName name="SOP_Planning_Scope">"No Planning Unit selected | Base Version | Baseline"</definedName>
    <definedName name="SOP_Planning_Scope_v2">"W06 2026 - W05 2028 | Base Version | Baseline"</definedName>
    <definedName name="SOP_Refresh_Timestamp" localSheetId="1">43129.8290046296</definedName>
    <definedName name="SOP_Refresh_Timestamp">46056.3569444444</definedName>
    <definedName name="SOP_TargetCurrency" localSheetId="3">"EUR"</definedName>
    <definedName name="SOP_TargetCurrency" localSheetId="2">"EUR"</definedName>
    <definedName name="SOP_TargetCurrency" localSheetId="4">"EUR"</definedName>
    <definedName name="SOP_TargetUoM" localSheetId="3">"ZUM"</definedName>
    <definedName name="SOP_TargetUoM" localSheetId="2">"ZUM"</definedName>
    <definedName name="SOP_TargetUoM" localSheetId="4">"ZUM"</definedName>
    <definedName name="SOP_Template_Name">"2-Supply Planning"</definedName>
    <definedName name="SOP_Value_Based_Filter" localSheetId="3">{" "}</definedName>
    <definedName name="SOP_Value_Based_Filter" localSheetId="2">{"Production Receipt (Adjusted by PLT) is greater than 0 in at least one period from W06 2026 to W32 2027."}</definedName>
    <definedName name="SOP_Value_Based_Filter" localSheetId="4">{" "}</definedName>
    <definedName name="SOP_Value_Based_Filter_Name" localSheetId="3">"(None)"</definedName>
    <definedName name="SOP_Value_Based_Filter_Name" localSheetId="2">"(Ad Hoc Filter)"</definedName>
    <definedName name="SOP_Value_Based_Filter_Name" localSheetId="4">"(None)"</definedName>
    <definedName name="SOP_WB_Filter">{"Source of Supply L1 = FGR-PLUS15680001","Location ID = 1568 - Berlin"}</definedName>
    <definedName name="SOP_WB_Filter_Criteria_Count">2</definedName>
    <definedName name="SOP_WB_Filter_Name">"(Ad Hoc Filter)"</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1" i="62" l="1"/>
  <c r="Q1" i="62"/>
  <c r="H2" i="62"/>
  <c r="H3" i="62"/>
  <c r="K3" i="62"/>
  <c r="A5" i="62"/>
  <c r="B5" i="62"/>
  <c r="C5" i="62"/>
  <c r="D5" i="62"/>
  <c r="E5" i="62"/>
  <c r="F5" i="62"/>
  <c r="G5" i="62"/>
  <c r="H5" i="62"/>
  <c r="I5" i="62"/>
  <c r="J5" i="62"/>
  <c r="K5" i="62"/>
  <c r="G6" i="62"/>
  <c r="H6" i="62"/>
  <c r="I6" i="62"/>
  <c r="J6" i="62"/>
  <c r="G7" i="62"/>
  <c r="H7" i="62"/>
  <c r="I7" i="62"/>
  <c r="J7" i="62"/>
  <c r="G8" i="62"/>
  <c r="H8" i="62"/>
  <c r="I8" i="62"/>
  <c r="J8" i="62"/>
  <c r="G9" i="62"/>
  <c r="H9" i="62"/>
  <c r="I9" i="62"/>
  <c r="J9" i="62"/>
  <c r="G10" i="62"/>
  <c r="H10" i="62"/>
  <c r="I10" i="62"/>
  <c r="J10" i="62"/>
  <c r="G11" i="62"/>
  <c r="H11" i="62"/>
  <c r="I11" i="62"/>
  <c r="J11" i="62"/>
  <c r="G12" i="62"/>
  <c r="H12" i="62"/>
  <c r="I12" i="62"/>
  <c r="J12" i="62"/>
  <c r="G13" i="62"/>
  <c r="H13" i="62"/>
  <c r="I13" i="62"/>
  <c r="J13" i="62"/>
  <c r="G14" i="62"/>
  <c r="H14" i="62"/>
  <c r="I14" i="62"/>
  <c r="J14" i="62"/>
  <c r="G15" i="62"/>
  <c r="H15" i="62"/>
  <c r="I15" i="62"/>
  <c r="J15" i="62"/>
  <c r="G16" i="62"/>
  <c r="H16" i="62"/>
  <c r="I16" i="62"/>
  <c r="J16" i="62"/>
  <c r="G17" i="62"/>
  <c r="H17" i="62"/>
  <c r="I17" i="62"/>
  <c r="J17" i="62"/>
  <c r="G18" i="62"/>
  <c r="H18" i="62"/>
  <c r="I18" i="62"/>
  <c r="J18" i="62"/>
  <c r="G19" i="62"/>
  <c r="H19" i="62"/>
  <c r="I19" i="62"/>
  <c r="J19" i="62"/>
  <c r="G20" i="62"/>
  <c r="H20" i="62"/>
  <c r="I20" i="62"/>
  <c r="J20" i="62"/>
  <c r="G21" i="62"/>
  <c r="H21" i="62"/>
  <c r="I21" i="62"/>
  <c r="J21" i="62"/>
  <c r="G22" i="62"/>
  <c r="H22" i="62"/>
  <c r="I22" i="62"/>
  <c r="J22" i="62"/>
  <c r="G23" i="62"/>
  <c r="H23" i="62"/>
  <c r="I23" i="62"/>
  <c r="J23" i="62"/>
  <c r="G24" i="62"/>
  <c r="H24" i="62"/>
  <c r="I24" i="62"/>
  <c r="J24" i="62"/>
  <c r="G25" i="62"/>
  <c r="H25" i="62"/>
  <c r="I25" i="62"/>
  <c r="J25" i="62"/>
  <c r="G26" i="62"/>
  <c r="H26" i="62"/>
  <c r="I26" i="62"/>
  <c r="J26" i="62"/>
  <c r="G27" i="62"/>
  <c r="H27" i="62"/>
  <c r="I27" i="62"/>
  <c r="J27" i="62"/>
  <c r="G28" i="62"/>
  <c r="H28" i="62"/>
  <c r="I28" i="62"/>
  <c r="J28" i="62"/>
  <c r="G29" i="62"/>
  <c r="H29" i="62"/>
  <c r="I29" i="62"/>
  <c r="J29" i="62"/>
  <c r="G30" i="62"/>
  <c r="H30" i="62"/>
  <c r="I30" i="62"/>
  <c r="J30" i="62"/>
  <c r="G31" i="62"/>
  <c r="H31" i="62"/>
  <c r="I31" i="62"/>
  <c r="J31" i="62"/>
  <c r="G32" i="62"/>
  <c r="H32" i="62"/>
  <c r="I32" i="62"/>
  <c r="J32" i="62"/>
  <c r="G33" i="62"/>
  <c r="H33" i="62"/>
  <c r="I33" i="62"/>
  <c r="J33" i="62"/>
  <c r="G34" i="62"/>
  <c r="H34" i="62"/>
  <c r="I34" i="62"/>
  <c r="J34" i="62"/>
  <c r="G35" i="62"/>
  <c r="H35" i="62"/>
  <c r="I35" i="62"/>
  <c r="J35" i="62"/>
  <c r="G36" i="62"/>
  <c r="H36" i="62"/>
  <c r="I36" i="62"/>
  <c r="J36" i="62"/>
  <c r="G37" i="62"/>
  <c r="H37" i="62"/>
  <c r="I37" i="62"/>
  <c r="J37" i="62"/>
  <c r="G38" i="62"/>
  <c r="H38" i="62"/>
  <c r="I38" i="62"/>
  <c r="J38" i="62"/>
  <c r="K1" i="61"/>
  <c r="Q1" i="61"/>
  <c r="H2" i="61"/>
  <c r="H3" i="61"/>
  <c r="K3" i="61"/>
  <c r="A5" i="61"/>
  <c r="B5" i="61"/>
  <c r="C5" i="61"/>
  <c r="D5" i="61"/>
  <c r="E5" i="61"/>
  <c r="F5" i="61"/>
  <c r="G5" i="61"/>
  <c r="H5" i="61"/>
  <c r="I5" i="61"/>
  <c r="J5" i="61"/>
  <c r="K5" i="61"/>
  <c r="L5" i="61"/>
  <c r="M5" i="61"/>
  <c r="N5" i="61"/>
  <c r="O5" i="61"/>
  <c r="P5" i="61"/>
  <c r="Q5" i="61"/>
  <c r="R5" i="61"/>
  <c r="S5" i="61"/>
  <c r="T5" i="61"/>
  <c r="U5" i="61"/>
  <c r="V5" i="61"/>
  <c r="W5" i="61"/>
  <c r="X5" i="61"/>
  <c r="Y5" i="61"/>
  <c r="Z5" i="61"/>
  <c r="AA5" i="61"/>
  <c r="AB5" i="61"/>
  <c r="AC5" i="61"/>
  <c r="AD5" i="61"/>
  <c r="AE5" i="61"/>
  <c r="AF5" i="61"/>
  <c r="AG5" i="61"/>
  <c r="AH5" i="61"/>
  <c r="AI5" i="61"/>
  <c r="AJ5" i="61"/>
  <c r="AK5" i="61"/>
  <c r="AL5" i="61"/>
  <c r="AM5" i="61"/>
  <c r="AN5" i="61"/>
  <c r="AO5" i="61"/>
  <c r="AP5" i="61"/>
  <c r="AQ5" i="61"/>
  <c r="AR5" i="61"/>
  <c r="AS5" i="61"/>
  <c r="AT5" i="61"/>
  <c r="AU5" i="61"/>
  <c r="AV5" i="61"/>
  <c r="AW5" i="61"/>
  <c r="AX5" i="61"/>
  <c r="AY5" i="61"/>
  <c r="AZ5" i="61"/>
  <c r="BA5" i="61"/>
  <c r="BB5" i="61"/>
  <c r="BC5" i="61"/>
  <c r="BD5" i="61"/>
  <c r="BE5" i="61"/>
  <c r="BF5" i="61"/>
  <c r="BG5" i="61"/>
  <c r="BH5" i="61"/>
  <c r="BI5" i="61"/>
  <c r="BJ5" i="61"/>
  <c r="BK5" i="61"/>
  <c r="BL5" i="61"/>
  <c r="BM5" i="61"/>
  <c r="BN5" i="61"/>
  <c r="BO5" i="61"/>
  <c r="BP5" i="61"/>
  <c r="BQ5" i="61"/>
  <c r="BR5" i="61"/>
  <c r="BS5" i="61"/>
  <c r="BT5" i="61"/>
  <c r="BU5" i="61"/>
  <c r="BV5" i="61"/>
  <c r="BW5" i="61"/>
  <c r="BX5" i="61"/>
  <c r="BY5" i="61"/>
  <c r="BZ5" i="61"/>
  <c r="CA5" i="61"/>
  <c r="CB5" i="61"/>
  <c r="CC5" i="61"/>
  <c r="CD5" i="61"/>
  <c r="CE5" i="61"/>
  <c r="CF5" i="61"/>
  <c r="CG5" i="61"/>
  <c r="CH5" i="61"/>
  <c r="CI5" i="61"/>
  <c r="CJ5" i="61"/>
  <c r="CK5" i="61"/>
  <c r="CL5" i="61"/>
  <c r="CM5" i="61"/>
  <c r="CN5" i="61"/>
  <c r="CO5" i="61"/>
  <c r="CP5" i="61"/>
  <c r="CQ5" i="61"/>
  <c r="CR5" i="61"/>
  <c r="CS5" i="61"/>
  <c r="CT5" i="61"/>
  <c r="CU5" i="61"/>
  <c r="CV5" i="61"/>
  <c r="CW5" i="61"/>
  <c r="CX5" i="61"/>
  <c r="CY5" i="61"/>
  <c r="CZ5" i="61"/>
  <c r="DA5" i="61"/>
  <c r="DB5" i="61"/>
  <c r="DC5" i="61"/>
  <c r="DD5" i="61"/>
  <c r="DE5" i="61"/>
  <c r="DF5" i="61"/>
  <c r="DG5" i="61"/>
  <c r="DH5" i="61"/>
  <c r="DI5" i="61"/>
  <c r="DJ5" i="61"/>
  <c r="G6" i="61"/>
  <c r="H6" i="61"/>
  <c r="I6" i="61"/>
  <c r="J6" i="61"/>
  <c r="G7" i="61"/>
  <c r="H7" i="61"/>
  <c r="I7" i="61"/>
  <c r="J7" i="61"/>
  <c r="G8" i="61"/>
  <c r="H8" i="61"/>
  <c r="I8" i="61"/>
  <c r="J8" i="61"/>
  <c r="G9" i="61"/>
  <c r="H9" i="61"/>
  <c r="I9" i="61"/>
  <c r="J9" i="61"/>
  <c r="G10" i="61"/>
  <c r="H10" i="61"/>
  <c r="I10" i="61"/>
  <c r="J10" i="61"/>
  <c r="G11" i="61"/>
  <c r="H11" i="61"/>
  <c r="I11" i="61"/>
  <c r="J11" i="61"/>
  <c r="G12" i="61"/>
  <c r="H12" i="61"/>
  <c r="I12" i="61"/>
  <c r="J12" i="61"/>
  <c r="G13" i="61"/>
  <c r="H13" i="61"/>
  <c r="I13" i="61"/>
  <c r="J13" i="61"/>
  <c r="G14" i="61"/>
  <c r="H14" i="61"/>
  <c r="I14" i="61"/>
  <c r="J14" i="61"/>
  <c r="G15" i="61"/>
  <c r="H15" i="61"/>
  <c r="I15" i="61"/>
  <c r="J15" i="61"/>
  <c r="G16" i="61"/>
  <c r="H16" i="61"/>
  <c r="I16" i="61"/>
  <c r="J16" i="61"/>
  <c r="G17" i="61"/>
  <c r="H17" i="61"/>
  <c r="I17" i="61"/>
  <c r="J17" i="61"/>
  <c r="G18" i="61"/>
  <c r="H18" i="61"/>
  <c r="I18" i="61"/>
  <c r="J18" i="61"/>
  <c r="G19" i="61"/>
  <c r="H19" i="61"/>
  <c r="I19" i="61"/>
  <c r="J19" i="61"/>
  <c r="G20" i="61"/>
  <c r="H20" i="61"/>
  <c r="I20" i="61"/>
  <c r="J20" i="61"/>
  <c r="G21" i="61"/>
  <c r="H21" i="61"/>
  <c r="I21" i="61"/>
  <c r="J21" i="61"/>
  <c r="G22" i="61"/>
  <c r="H22" i="61"/>
  <c r="I22" i="61"/>
  <c r="J22" i="61"/>
  <c r="G23" i="61"/>
  <c r="H23" i="61"/>
  <c r="I23" i="61"/>
  <c r="J23" i="61"/>
  <c r="G24" i="61"/>
  <c r="H24" i="61"/>
  <c r="I24" i="61"/>
  <c r="J24" i="61"/>
  <c r="G25" i="61"/>
  <c r="H25" i="61"/>
  <c r="I25" i="61"/>
  <c r="J25" i="61"/>
  <c r="G26" i="61"/>
  <c r="H26" i="61"/>
  <c r="I26" i="61"/>
  <c r="J26" i="61"/>
  <c r="G27" i="61"/>
  <c r="H27" i="61"/>
  <c r="I27" i="61"/>
  <c r="J27" i="61"/>
  <c r="G28" i="61"/>
  <c r="H28" i="61"/>
  <c r="I28" i="61"/>
  <c r="J28" i="61"/>
  <c r="G29" i="61"/>
  <c r="H29" i="61"/>
  <c r="I29" i="61"/>
  <c r="J29" i="61"/>
  <c r="G30" i="61"/>
  <c r="H30" i="61"/>
  <c r="I30" i="61"/>
  <c r="J30" i="61"/>
  <c r="G31" i="61"/>
  <c r="H31" i="61"/>
  <c r="I31" i="61"/>
  <c r="J31" i="61"/>
  <c r="G32" i="61"/>
  <c r="H32" i="61"/>
  <c r="I32" i="61"/>
  <c r="J32" i="61"/>
  <c r="G33" i="61"/>
  <c r="H33" i="61"/>
  <c r="I33" i="61"/>
  <c r="J33" i="61"/>
  <c r="G34" i="61"/>
  <c r="H34" i="61"/>
  <c r="I34" i="61"/>
  <c r="J34" i="61"/>
  <c r="G35" i="61"/>
  <c r="H35" i="61"/>
  <c r="I35" i="61"/>
  <c r="J35" i="61"/>
  <c r="G36" i="61"/>
  <c r="H36" i="61"/>
  <c r="I36" i="61"/>
  <c r="J36" i="61"/>
  <c r="G37" i="61"/>
  <c r="H37" i="61"/>
  <c r="I37" i="61"/>
  <c r="J37" i="61"/>
  <c r="G38" i="61"/>
  <c r="H38" i="61"/>
  <c r="I38" i="61"/>
  <c r="J38" i="61"/>
  <c r="G39" i="61"/>
  <c r="H39" i="61"/>
  <c r="I39" i="61"/>
  <c r="J39" i="61"/>
  <c r="G40" i="61"/>
  <c r="H40" i="61"/>
  <c r="I40" i="61"/>
  <c r="J40" i="61"/>
  <c r="G41" i="61"/>
  <c r="H41" i="61"/>
  <c r="I41" i="61"/>
  <c r="J41" i="61"/>
  <c r="G42" i="61"/>
  <c r="H42" i="61"/>
  <c r="I42" i="61"/>
  <c r="J42" i="61"/>
  <c r="G43" i="61"/>
  <c r="H43" i="61"/>
  <c r="I43" i="61"/>
  <c r="J43" i="61"/>
  <c r="G44" i="61"/>
  <c r="H44" i="61"/>
  <c r="I44" i="61"/>
  <c r="J44" i="61"/>
  <c r="G45" i="61"/>
  <c r="H45" i="61"/>
  <c r="I45" i="61"/>
  <c r="J45" i="61"/>
  <c r="G46" i="61"/>
  <c r="H46" i="61"/>
  <c r="I46" i="61"/>
  <c r="J46" i="61"/>
  <c r="G47" i="61"/>
  <c r="H47" i="61"/>
  <c r="I47" i="61"/>
  <c r="J47" i="61"/>
  <c r="G48" i="61"/>
  <c r="H48" i="61"/>
  <c r="I48" i="61"/>
  <c r="J48" i="61"/>
  <c r="G49" i="61"/>
  <c r="H49" i="61"/>
  <c r="I49" i="61"/>
  <c r="J49" i="61"/>
  <c r="G50" i="61"/>
  <c r="H50" i="61"/>
  <c r="I50" i="61"/>
  <c r="J50" i="61"/>
  <c r="G51" i="61"/>
  <c r="H51" i="61"/>
  <c r="I51" i="61"/>
  <c r="J51" i="61"/>
  <c r="G52" i="61"/>
  <c r="H52" i="61"/>
  <c r="I52" i="61"/>
  <c r="J52" i="61"/>
  <c r="G53" i="61"/>
  <c r="H53" i="61"/>
  <c r="I53" i="61"/>
  <c r="J53" i="61"/>
  <c r="G54" i="61"/>
  <c r="H54" i="61"/>
  <c r="I54" i="61"/>
  <c r="J54" i="61"/>
  <c r="G55" i="61"/>
  <c r="H55" i="61"/>
  <c r="I55" i="61"/>
  <c r="J55" i="61"/>
  <c r="G56" i="61"/>
  <c r="H56" i="61"/>
  <c r="I56" i="61"/>
  <c r="J56" i="61"/>
  <c r="G57" i="61"/>
  <c r="H57" i="61"/>
  <c r="I57" i="61"/>
  <c r="J57" i="61"/>
  <c r="G58" i="61"/>
  <c r="H58" i="61"/>
  <c r="I58" i="61"/>
  <c r="J58" i="61"/>
  <c r="G59" i="61"/>
  <c r="H59" i="61"/>
  <c r="I59" i="61"/>
  <c r="J59" i="61"/>
  <c r="G60" i="61"/>
  <c r="H60" i="61"/>
  <c r="I60" i="61"/>
  <c r="J60" i="61"/>
  <c r="G61" i="61"/>
  <c r="H61" i="61"/>
  <c r="I61" i="61"/>
  <c r="J61" i="61"/>
  <c r="G62" i="61"/>
  <c r="H62" i="61"/>
  <c r="I62" i="61"/>
  <c r="J62" i="61"/>
  <c r="G63" i="61"/>
  <c r="H63" i="61"/>
  <c r="I63" i="61"/>
  <c r="J63" i="61"/>
  <c r="G64" i="61"/>
  <c r="H64" i="61"/>
  <c r="I64" i="61"/>
  <c r="J64" i="61"/>
  <c r="G65" i="61"/>
  <c r="H65" i="61"/>
  <c r="I65" i="61"/>
  <c r="J65" i="61"/>
  <c r="G66" i="61"/>
  <c r="H66" i="61"/>
  <c r="I66" i="61"/>
  <c r="J66" i="61"/>
  <c r="G67" i="61"/>
  <c r="H67" i="61"/>
  <c r="I67" i="61"/>
  <c r="J67" i="61"/>
  <c r="G68" i="61"/>
  <c r="H68" i="61"/>
  <c r="I68" i="61"/>
  <c r="J68" i="61"/>
  <c r="G69" i="61"/>
  <c r="H69" i="61"/>
  <c r="I69" i="61"/>
  <c r="J69" i="61"/>
  <c r="G70" i="61"/>
  <c r="H70" i="61"/>
  <c r="I70" i="61"/>
  <c r="J70" i="61"/>
  <c r="G71" i="61"/>
  <c r="H71" i="61"/>
  <c r="I71" i="61"/>
  <c r="J71" i="61"/>
  <c r="G72" i="61"/>
  <c r="H72" i="61"/>
  <c r="I72" i="61"/>
  <c r="J72" i="61"/>
  <c r="G73" i="61"/>
  <c r="H73" i="61"/>
  <c r="I73" i="61"/>
  <c r="J73" i="61"/>
  <c r="G74" i="61"/>
  <c r="H74" i="61"/>
  <c r="I74" i="61"/>
  <c r="J74" i="61"/>
  <c r="G75" i="61"/>
  <c r="H75" i="61"/>
  <c r="I75" i="61"/>
  <c r="J75" i="61"/>
  <c r="G76" i="61"/>
  <c r="H76" i="61"/>
  <c r="I76" i="61"/>
  <c r="J76" i="61"/>
  <c r="G77" i="61"/>
  <c r="H77" i="61"/>
  <c r="I77" i="61"/>
  <c r="J77" i="61"/>
  <c r="G78" i="61"/>
  <c r="H78" i="61"/>
  <c r="I78" i="61"/>
  <c r="J78" i="61"/>
  <c r="G79" i="61"/>
  <c r="H79" i="61"/>
  <c r="I79" i="61"/>
  <c r="J79" i="61"/>
  <c r="G80" i="61"/>
  <c r="H80" i="61"/>
  <c r="I80" i="61"/>
  <c r="J80" i="61"/>
  <c r="G81" i="61"/>
  <c r="H81" i="61"/>
  <c r="I81" i="61"/>
  <c r="J81" i="61"/>
  <c r="G82" i="61"/>
  <c r="H82" i="61"/>
  <c r="I82" i="61"/>
  <c r="J82" i="61"/>
  <c r="G83" i="61"/>
  <c r="H83" i="61"/>
  <c r="I83" i="61"/>
  <c r="J83" i="61"/>
  <c r="G84" i="61"/>
  <c r="H84" i="61"/>
  <c r="I84" i="61"/>
  <c r="J84" i="61"/>
  <c r="G85" i="61"/>
  <c r="H85" i="61"/>
  <c r="I85" i="61"/>
  <c r="J85" i="61"/>
  <c r="G86" i="61"/>
  <c r="H86" i="61"/>
  <c r="I86" i="61"/>
  <c r="J86" i="61"/>
  <c r="G87" i="61"/>
  <c r="H87" i="61"/>
  <c r="I87" i="61"/>
  <c r="J87" i="61"/>
  <c r="G88" i="61"/>
  <c r="H88" i="61"/>
  <c r="I88" i="61"/>
  <c r="J88" i="61"/>
  <c r="G89" i="61"/>
  <c r="H89" i="61"/>
  <c r="I89" i="61"/>
  <c r="J89" i="61"/>
  <c r="G90" i="61"/>
  <c r="H90" i="61"/>
  <c r="I90" i="61"/>
  <c r="J90" i="61"/>
  <c r="G91" i="61"/>
  <c r="H91" i="61"/>
  <c r="I91" i="61"/>
  <c r="J91" i="61"/>
  <c r="G92" i="61"/>
  <c r="H92" i="61"/>
  <c r="I92" i="61"/>
  <c r="J92" i="61"/>
  <c r="G93" i="61"/>
  <c r="H93" i="61"/>
  <c r="I93" i="61"/>
  <c r="J93" i="61"/>
  <c r="G94" i="61"/>
  <c r="H94" i="61"/>
  <c r="I94" i="61"/>
  <c r="J94" i="61"/>
  <c r="G95" i="61"/>
  <c r="H95" i="61"/>
  <c r="I95" i="61"/>
  <c r="J95" i="61"/>
  <c r="G96" i="61"/>
  <c r="H96" i="61"/>
  <c r="I96" i="61"/>
  <c r="J96" i="61"/>
  <c r="G97" i="61"/>
  <c r="H97" i="61"/>
  <c r="I97" i="61"/>
  <c r="J97" i="61"/>
  <c r="G98" i="61"/>
  <c r="H98" i="61"/>
  <c r="I98" i="61"/>
  <c r="J98" i="61"/>
  <c r="G99" i="61"/>
  <c r="H99" i="61"/>
  <c r="I99" i="61"/>
  <c r="J99" i="61"/>
  <c r="G100" i="61"/>
  <c r="H100" i="61"/>
  <c r="I100" i="61"/>
  <c r="J100" i="61"/>
  <c r="G101" i="61"/>
  <c r="H101" i="61"/>
  <c r="I101" i="61"/>
  <c r="J101" i="61"/>
  <c r="G102" i="61"/>
  <c r="H102" i="61"/>
  <c r="I102" i="61"/>
  <c r="J102" i="61"/>
  <c r="G103" i="61"/>
  <c r="H103" i="61"/>
  <c r="I103" i="61"/>
  <c r="J103" i="61"/>
  <c r="G104" i="61"/>
  <c r="H104" i="61"/>
  <c r="I104" i="61"/>
  <c r="J104" i="61"/>
  <c r="K1" i="5"/>
  <c r="Q1" i="5"/>
  <c r="H2" i="5"/>
  <c r="H3" i="5"/>
  <c r="K3" i="5"/>
  <c r="A5" i="5"/>
  <c r="B5" i="5"/>
  <c r="C5" i="5"/>
  <c r="D5" i="5"/>
  <c r="E5" i="5"/>
  <c r="F5" i="5"/>
  <c r="G5" i="5"/>
  <c r="H5" i="5"/>
  <c r="I5" i="5"/>
  <c r="J5" i="5"/>
  <c r="K5" i="5"/>
  <c r="L5" i="5"/>
  <c r="M5" i="5"/>
  <c r="N5" i="5"/>
  <c r="O5" i="5"/>
  <c r="P5" i="5"/>
  <c r="Q5" i="5"/>
  <c r="R5" i="5"/>
  <c r="S5" i="5"/>
  <c r="T5" i="5"/>
  <c r="U5" i="5"/>
  <c r="V5" i="5"/>
  <c r="W5" i="5"/>
  <c r="X5" i="5"/>
  <c r="Y5" i="5"/>
  <c r="Z5" i="5"/>
  <c r="AA5" i="5"/>
  <c r="AB5" i="5"/>
  <c r="AC5" i="5"/>
  <c r="AD5" i="5"/>
  <c r="AE5" i="5"/>
  <c r="AF5" i="5"/>
  <c r="AG5" i="5"/>
  <c r="AH5" i="5"/>
  <c r="AI5" i="5"/>
  <c r="AJ5" i="5"/>
  <c r="AK5" i="5"/>
  <c r="AL5" i="5"/>
  <c r="AM5" i="5"/>
  <c r="AN5" i="5"/>
  <c r="AO5" i="5"/>
  <c r="AP5" i="5"/>
  <c r="AQ5" i="5"/>
  <c r="AR5" i="5"/>
  <c r="AS5" i="5"/>
  <c r="AT5" i="5"/>
  <c r="AU5" i="5"/>
  <c r="AV5" i="5"/>
  <c r="AW5" i="5"/>
  <c r="AX5" i="5"/>
  <c r="AY5" i="5"/>
  <c r="AZ5" i="5"/>
  <c r="BA5" i="5"/>
  <c r="BB5" i="5"/>
  <c r="BC5" i="5"/>
  <c r="BD5" i="5"/>
  <c r="BE5" i="5"/>
  <c r="BF5" i="5"/>
  <c r="BG5" i="5"/>
  <c r="BH5" i="5"/>
  <c r="BI5" i="5"/>
  <c r="BJ5" i="5"/>
  <c r="BK5" i="5"/>
  <c r="BL5" i="5"/>
  <c r="BM5" i="5"/>
  <c r="BN5" i="5"/>
  <c r="BO5" i="5"/>
  <c r="BP5" i="5"/>
  <c r="BQ5" i="5"/>
  <c r="BR5" i="5"/>
  <c r="BS5" i="5"/>
  <c r="BT5" i="5"/>
  <c r="BU5" i="5"/>
  <c r="BV5" i="5"/>
  <c r="BW5" i="5"/>
  <c r="G6" i="5"/>
  <c r="H6" i="5"/>
  <c r="I6" i="5"/>
  <c r="J6" i="5"/>
  <c r="G7" i="5"/>
  <c r="H7" i="5"/>
  <c r="I7" i="5"/>
  <c r="J7" i="5"/>
  <c r="G8" i="5"/>
  <c r="H8" i="5"/>
  <c r="I8" i="5"/>
  <c r="J8" i="5"/>
  <c r="G9" i="5"/>
  <c r="H9" i="5"/>
  <c r="I9" i="5"/>
  <c r="J9" i="5"/>
  <c r="G10" i="5"/>
  <c r="H10" i="5"/>
  <c r="I10" i="5"/>
  <c r="J10" i="5"/>
  <c r="G11" i="5"/>
  <c r="H11" i="5"/>
  <c r="I11" i="5"/>
  <c r="J11" i="5"/>
  <c r="G12" i="5"/>
  <c r="H12" i="5"/>
  <c r="I12" i="5"/>
  <c r="J12" i="5"/>
  <c r="G13" i="5"/>
  <c r="H13" i="5"/>
  <c r="I13" i="5"/>
  <c r="J13" i="5"/>
  <c r="G14" i="5"/>
  <c r="H14" i="5"/>
  <c r="I14" i="5"/>
  <c r="J14" i="5"/>
  <c r="G15" i="5"/>
  <c r="H15" i="5"/>
  <c r="I15" i="5"/>
  <c r="J15" i="5"/>
  <c r="G16" i="5"/>
  <c r="H16" i="5"/>
  <c r="I16" i="5"/>
  <c r="J16" i="5"/>
  <c r="G17" i="5"/>
  <c r="H17" i="5"/>
  <c r="I17" i="5"/>
  <c r="J17" i="5"/>
  <c r="G18" i="5"/>
  <c r="H18" i="5"/>
  <c r="I18" i="5"/>
  <c r="J18" i="5"/>
  <c r="G19" i="5"/>
  <c r="H19" i="5"/>
  <c r="I19" i="5"/>
  <c r="J19" i="5"/>
  <c r="G20" i="5"/>
  <c r="H20" i="5"/>
  <c r="I20" i="5"/>
  <c r="J20" i="5"/>
  <c r="G21" i="5"/>
  <c r="H21" i="5"/>
  <c r="I21" i="5"/>
  <c r="J21" i="5"/>
  <c r="G22" i="5"/>
  <c r="H22" i="5"/>
  <c r="I22" i="5"/>
  <c r="J22" i="5"/>
  <c r="G23" i="5"/>
  <c r="H23" i="5"/>
  <c r="I23" i="5"/>
  <c r="J23" i="5"/>
  <c r="G24" i="5"/>
  <c r="H24" i="5"/>
  <c r="I24" i="5"/>
  <c r="J24" i="5"/>
  <c r="G25" i="5"/>
  <c r="H25" i="5"/>
  <c r="I25" i="5"/>
  <c r="J25" i="5"/>
  <c r="G26" i="5"/>
  <c r="H26" i="5"/>
  <c r="I26" i="5"/>
  <c r="J26" i="5"/>
  <c r="G27" i="5"/>
  <c r="H27" i="5"/>
  <c r="I27" i="5"/>
  <c r="J27" i="5"/>
  <c r="G28" i="5"/>
  <c r="H28" i="5"/>
  <c r="I28" i="5"/>
  <c r="J28" i="5"/>
  <c r="G29" i="5"/>
  <c r="H29" i="5"/>
  <c r="I29" i="5"/>
  <c r="J29" i="5"/>
  <c r="G30" i="5"/>
  <c r="H30" i="5"/>
  <c r="I30" i="5"/>
  <c r="J30" i="5"/>
  <c r="G31" i="5"/>
  <c r="H31" i="5"/>
  <c r="I31" i="5"/>
  <c r="J31" i="5"/>
  <c r="G32" i="5"/>
  <c r="H32" i="5"/>
  <c r="I32" i="5"/>
  <c r="J32" i="5"/>
  <c r="G33" i="5"/>
  <c r="H33" i="5"/>
  <c r="I33" i="5"/>
  <c r="J33" i="5"/>
  <c r="G34" i="5"/>
  <c r="H34" i="5"/>
  <c r="I34" i="5"/>
  <c r="J34" i="5"/>
  <c r="G35" i="5"/>
  <c r="H35" i="5"/>
  <c r="I35" i="5"/>
  <c r="J35" i="5"/>
  <c r="G36" i="5"/>
  <c r="H36" i="5"/>
  <c r="I36" i="5"/>
  <c r="J36" i="5"/>
  <c r="G37" i="5"/>
  <c r="H37" i="5"/>
  <c r="I37" i="5"/>
  <c r="J37" i="5"/>
  <c r="G38" i="5"/>
  <c r="H38" i="5"/>
  <c r="I38" i="5"/>
  <c r="J38" i="5"/>
  <c r="G39" i="5"/>
  <c r="H39" i="5"/>
  <c r="I39" i="5"/>
  <c r="J39" i="5"/>
  <c r="G40" i="5"/>
  <c r="H40" i="5"/>
  <c r="I40" i="5"/>
  <c r="J40" i="5"/>
  <c r="G41" i="5"/>
  <c r="H41" i="5"/>
  <c r="I41" i="5"/>
  <c r="J41" i="5"/>
  <c r="G42" i="5"/>
  <c r="H42" i="5"/>
  <c r="I42" i="5"/>
  <c r="J42" i="5"/>
  <c r="G43" i="5"/>
  <c r="H43" i="5"/>
  <c r="I43" i="5"/>
  <c r="J43" i="5"/>
  <c r="G44" i="5"/>
  <c r="H44" i="5"/>
  <c r="I44" i="5"/>
  <c r="J44" i="5"/>
  <c r="G45" i="5"/>
  <c r="H45" i="5"/>
  <c r="I45" i="5"/>
  <c r="J45" i="5"/>
  <c r="G46" i="5"/>
  <c r="H46" i="5"/>
  <c r="I46" i="5"/>
  <c r="J46" i="5"/>
  <c r="G47" i="5"/>
  <c r="H47" i="5"/>
  <c r="I47" i="5"/>
  <c r="J47" i="5"/>
  <c r="G48" i="5"/>
  <c r="H48" i="5"/>
  <c r="I48" i="5"/>
  <c r="J48" i="5"/>
  <c r="G49" i="5"/>
  <c r="H49" i="5"/>
  <c r="I49" i="5"/>
  <c r="J49" i="5"/>
  <c r="G50" i="5"/>
  <c r="H50" i="5"/>
  <c r="I50" i="5"/>
  <c r="J50" i="5"/>
  <c r="G51" i="5"/>
  <c r="H51" i="5"/>
  <c r="I51" i="5"/>
  <c r="J51" i="5"/>
  <c r="G52" i="5"/>
  <c r="H52" i="5"/>
  <c r="I52" i="5"/>
  <c r="J52" i="5"/>
  <c r="G53" i="5"/>
  <c r="H53" i="5"/>
  <c r="I53" i="5"/>
  <c r="J53" i="5"/>
  <c r="G54" i="5"/>
  <c r="H54" i="5"/>
  <c r="I54" i="5"/>
  <c r="J54" i="5"/>
  <c r="G55" i="5"/>
  <c r="H55" i="5"/>
  <c r="I55" i="5"/>
  <c r="J55" i="5"/>
  <c r="G56" i="5"/>
  <c r="H56" i="5"/>
  <c r="I56" i="5"/>
  <c r="J56" i="5"/>
  <c r="G57" i="5"/>
  <c r="H57" i="5"/>
  <c r="I57" i="5"/>
  <c r="J57" i="5"/>
  <c r="G58" i="5"/>
  <c r="H58" i="5"/>
  <c r="I58" i="5"/>
  <c r="J58" i="5"/>
  <c r="G59" i="5"/>
  <c r="H59" i="5"/>
  <c r="I59" i="5"/>
  <c r="J59" i="5"/>
  <c r="G60" i="5"/>
  <c r="H60" i="5"/>
  <c r="I60" i="5"/>
  <c r="J60" i="5"/>
  <c r="G61" i="5"/>
  <c r="H61" i="5"/>
  <c r="I61" i="5"/>
  <c r="J61" i="5"/>
  <c r="G62" i="5"/>
  <c r="H62" i="5"/>
  <c r="I62" i="5"/>
  <c r="J62" i="5"/>
  <c r="G63" i="5"/>
  <c r="H63" i="5"/>
  <c r="I63" i="5"/>
  <c r="J63" i="5"/>
  <c r="G64" i="5"/>
  <c r="H64" i="5"/>
  <c r="I64" i="5"/>
  <c r="J64" i="5"/>
  <c r="G65" i="5"/>
  <c r="H65" i="5"/>
  <c r="I65" i="5"/>
  <c r="J65" i="5"/>
  <c r="G66" i="5"/>
  <c r="H66" i="5"/>
  <c r="I66" i="5"/>
  <c r="J66" i="5"/>
  <c r="G67" i="5"/>
  <c r="H67" i="5"/>
  <c r="I67" i="5"/>
  <c r="J67" i="5"/>
  <c r="G68" i="5"/>
  <c r="H68" i="5"/>
  <c r="I68" i="5"/>
  <c r="J68" i="5"/>
  <c r="G69" i="5"/>
  <c r="H69" i="5"/>
  <c r="I69" i="5"/>
  <c r="J69" i="5"/>
  <c r="G70" i="5"/>
  <c r="H70" i="5"/>
  <c r="I70" i="5"/>
  <c r="J70" i="5"/>
  <c r="G71" i="5"/>
  <c r="H71" i="5"/>
  <c r="I71" i="5"/>
  <c r="J71" i="5"/>
  <c r="G72" i="5"/>
  <c r="H72" i="5"/>
  <c r="I72" i="5"/>
  <c r="J72" i="5"/>
  <c r="G73" i="5"/>
  <c r="H73" i="5"/>
  <c r="I73" i="5"/>
  <c r="J73" i="5"/>
  <c r="G74" i="5"/>
  <c r="H74" i="5"/>
  <c r="I74" i="5"/>
  <c r="J74" i="5"/>
  <c r="G75" i="5"/>
  <c r="H75" i="5"/>
  <c r="I75" i="5"/>
  <c r="J75" i="5"/>
  <c r="G76" i="5"/>
  <c r="H76" i="5"/>
  <c r="I76" i="5"/>
  <c r="J76" i="5"/>
  <c r="G77" i="5"/>
  <c r="H77" i="5"/>
  <c r="I77" i="5"/>
  <c r="J77" i="5"/>
  <c r="G78" i="5"/>
  <c r="H78" i="5"/>
  <c r="I78" i="5"/>
  <c r="J78" i="5"/>
  <c r="G79" i="5"/>
  <c r="H79" i="5"/>
  <c r="I79" i="5"/>
  <c r="J79" i="5"/>
  <c r="G80" i="5"/>
  <c r="H80" i="5"/>
  <c r="I80" i="5"/>
  <c r="J80" i="5"/>
  <c r="G81" i="5"/>
  <c r="H81" i="5"/>
  <c r="I81" i="5"/>
  <c r="J81" i="5"/>
  <c r="G82" i="5"/>
  <c r="H82" i="5"/>
  <c r="I82" i="5"/>
  <c r="J82" i="5"/>
  <c r="G83" i="5"/>
  <c r="H83" i="5"/>
  <c r="I83" i="5"/>
  <c r="J83" i="5"/>
  <c r="G84" i="5"/>
  <c r="H84" i="5"/>
  <c r="I84" i="5"/>
  <c r="J84" i="5"/>
  <c r="G85" i="5"/>
  <c r="H85" i="5"/>
  <c r="I85" i="5"/>
  <c r="J85" i="5"/>
  <c r="G86" i="5"/>
  <c r="H86" i="5"/>
  <c r="I86" i="5"/>
  <c r="J86" i="5"/>
  <c r="G87" i="5"/>
  <c r="H87" i="5"/>
  <c r="I87" i="5"/>
  <c r="J87" i="5"/>
  <c r="G88" i="5"/>
  <c r="H88" i="5"/>
  <c r="I88" i="5"/>
  <c r="J88" i="5"/>
  <c r="G89" i="5"/>
  <c r="H89" i="5"/>
  <c r="I89" i="5"/>
  <c r="J89" i="5"/>
  <c r="G90" i="5"/>
  <c r="H90" i="5"/>
  <c r="I90" i="5"/>
  <c r="J90" i="5"/>
  <c r="G91" i="5"/>
  <c r="H91" i="5"/>
  <c r="I91" i="5"/>
  <c r="J91" i="5"/>
  <c r="G92" i="5"/>
  <c r="H92" i="5"/>
  <c r="I92" i="5"/>
  <c r="J92" i="5"/>
  <c r="G93" i="5"/>
  <c r="H93" i="5"/>
  <c r="I93" i="5"/>
  <c r="J93" i="5"/>
  <c r="G94" i="5"/>
  <c r="H94" i="5"/>
  <c r="I94" i="5"/>
  <c r="J94" i="5"/>
  <c r="G95" i="5"/>
  <c r="H95" i="5"/>
  <c r="I95" i="5"/>
  <c r="J95" i="5"/>
  <c r="G96" i="5"/>
  <c r="H96" i="5"/>
  <c r="I96" i="5"/>
  <c r="J96" i="5"/>
  <c r="G97" i="5"/>
  <c r="H97" i="5"/>
  <c r="I97" i="5"/>
  <c r="J97" i="5"/>
  <c r="G98" i="5"/>
  <c r="H98" i="5"/>
  <c r="I98" i="5"/>
  <c r="J98" i="5"/>
  <c r="G99" i="5"/>
  <c r="H99" i="5"/>
  <c r="I99" i="5"/>
  <c r="J99" i="5"/>
  <c r="G100" i="5"/>
  <c r="H100" i="5"/>
  <c r="I100" i="5"/>
  <c r="J100" i="5"/>
  <c r="G101" i="5"/>
  <c r="H101" i="5"/>
  <c r="I101" i="5"/>
  <c r="J101" i="5"/>
  <c r="G102" i="5"/>
  <c r="H102" i="5"/>
  <c r="I102" i="5"/>
  <c r="J102" i="5"/>
  <c r="G103" i="5"/>
  <c r="H103" i="5"/>
  <c r="I103" i="5"/>
  <c r="J103" i="5"/>
  <c r="G104" i="5"/>
  <c r="H104" i="5"/>
  <c r="I104" i="5"/>
  <c r="J104" i="5"/>
  <c r="G105" i="5"/>
  <c r="H105" i="5"/>
  <c r="I105" i="5"/>
  <c r="J105" i="5"/>
  <c r="G106" i="5"/>
  <c r="H106" i="5"/>
  <c r="I106" i="5"/>
  <c r="J106" i="5"/>
  <c r="G107" i="5"/>
  <c r="H107" i="5"/>
  <c r="I107" i="5"/>
  <c r="J107" i="5"/>
  <c r="G108" i="5"/>
  <c r="H108" i="5"/>
  <c r="I108" i="5"/>
  <c r="J108" i="5"/>
  <c r="G109" i="5"/>
  <c r="H109" i="5"/>
  <c r="I109" i="5"/>
  <c r="J109" i="5"/>
  <c r="G110" i="5"/>
  <c r="H110" i="5"/>
  <c r="I110" i="5"/>
  <c r="J110" i="5"/>
  <c r="G111" i="5"/>
  <c r="H111" i="5"/>
  <c r="I111" i="5"/>
  <c r="J111" i="5"/>
  <c r="G112" i="5"/>
  <c r="H112" i="5"/>
  <c r="I112" i="5"/>
  <c r="J112" i="5"/>
  <c r="G113" i="5"/>
  <c r="H113" i="5"/>
  <c r="I113" i="5"/>
  <c r="J11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Sharma24</author>
    <author>Jose Daza Linares</author>
  </authors>
  <commentList>
    <comment ref="D41" authorId="0" shapeId="0" xr:uid="{C4F9DD81-3DC7-4DC3-8E0E-E346D3FBA430}">
      <text>
        <r>
          <rPr>
            <b/>
            <sz val="9"/>
            <color indexed="81"/>
            <rFont val="Tahoma"/>
            <family val="2"/>
          </rPr>
          <t>Property#PERIODID#TIMELEVEL#Equals#TOTAL</t>
        </r>
      </text>
    </comment>
    <comment ref="D44" authorId="0" shapeId="0" xr:uid="{21B0168F-C357-4371-8FA6-3FBDFDDBC05F}">
      <text>
        <r>
          <rPr>
            <b/>
            <sz val="9"/>
            <color indexed="81"/>
            <rFont val="Tahoma"/>
            <family val="2"/>
          </rPr>
          <t>Property#PERIODID#TIMELEVEL#Equals#PERIODID0</t>
        </r>
      </text>
    </comment>
    <comment ref="D47" authorId="0" shapeId="0" xr:uid="{B7FF4C23-F641-44B2-9E6C-E882E1CCDB5B}">
      <text>
        <r>
          <rPr>
            <b/>
            <sz val="9"/>
            <color indexed="81"/>
            <rFont val="Tahoma"/>
            <family val="2"/>
          </rPr>
          <t>Property#PERIODID#TIMELEVEL#Equals#PERIODID1</t>
        </r>
      </text>
    </comment>
    <comment ref="D50" authorId="0" shapeId="0" xr:uid="{B67F7735-E91A-4FA4-9AA4-42283CA764EC}">
      <text>
        <r>
          <rPr>
            <b/>
            <sz val="9"/>
            <color indexed="81"/>
            <rFont val="Tahoma"/>
            <family val="2"/>
          </rPr>
          <t>Property#PERIODID#TIMELEVEL#Equals#PERIODID2</t>
        </r>
      </text>
    </comment>
    <comment ref="D53" authorId="0" shapeId="0" xr:uid="{C2CEC98A-0EE3-4E85-9DA1-61BFBD5FD3C7}">
      <text>
        <r>
          <rPr>
            <b/>
            <sz val="9"/>
            <color indexed="81"/>
            <rFont val="Tahoma"/>
            <family val="2"/>
          </rPr>
          <t>Property#PERIODID#TIMELEVEL#Equals#PERIODID3</t>
        </r>
      </text>
    </comment>
    <comment ref="D56" authorId="0" shapeId="0" xr:uid="{2BA5E7F4-9206-465C-889B-1ED98D111B8A}">
      <text>
        <r>
          <rPr>
            <b/>
            <sz val="9"/>
            <color indexed="81"/>
            <rFont val="Tahoma"/>
            <family val="2"/>
          </rPr>
          <t>Property#PERIODID#TIMELEVEL#Equals#PERIODID4</t>
        </r>
      </text>
    </comment>
    <comment ref="D59" authorId="0" shapeId="0" xr:uid="{A1168E9C-C0AE-4438-AEF0-560C5073036A}">
      <text>
        <r>
          <rPr>
            <b/>
            <sz val="9"/>
            <color indexed="81"/>
            <rFont val="Tahoma"/>
            <family val="2"/>
          </rPr>
          <t>Property#PERIODID#TIMELEVEL#Equals#PERIODID5</t>
        </r>
      </text>
    </comment>
    <comment ref="D62" authorId="0" shapeId="0" xr:uid="{08CFDD5C-BADA-45AC-AD37-35F06B7E34A0}">
      <text>
        <r>
          <rPr>
            <b/>
            <sz val="9"/>
            <color indexed="81"/>
            <rFont val="Tahoma"/>
            <family val="2"/>
          </rPr>
          <t>Property#PERIODID4#RELATIVE#Equals#0</t>
        </r>
      </text>
    </comment>
    <comment ref="D65" authorId="0" shapeId="0" xr:uid="{9C97894B-8293-4017-A253-B87368C6557C}">
      <text>
        <r>
          <rPr>
            <b/>
            <sz val="9"/>
            <color indexed="81"/>
            <rFont val="Tahoma"/>
            <family val="2"/>
          </rPr>
          <t>Property#PERIODID4#RELATIVE#Equals#1</t>
        </r>
      </text>
    </comment>
    <comment ref="D68" authorId="0" shapeId="0" xr:uid="{32AAB541-AB26-49D7-80EC-54C7B2788AC0}">
      <text>
        <r>
          <rPr>
            <b/>
            <sz val="9"/>
            <color indexed="81"/>
            <rFont val="Tahoma"/>
            <family val="2"/>
          </rPr>
          <t>Property#PERIODID5#RELATIVE#Equals#0</t>
        </r>
      </text>
    </comment>
    <comment ref="D71" authorId="0" shapeId="0" xr:uid="{A46FD841-4120-499F-9076-458326A2B64E}">
      <text>
        <r>
          <rPr>
            <b/>
            <sz val="9"/>
            <color indexed="81"/>
            <rFont val="Tahoma"/>
            <family val="2"/>
          </rPr>
          <t>Property#PERIODID5#RELATIVE#Equals#1</t>
        </r>
      </text>
    </comment>
    <comment ref="D74" authorId="0" shapeId="0" xr:uid="{32F303B4-C202-4AE0-9C10-9C482AB414AA}">
      <text>
        <r>
          <rPr>
            <b/>
            <sz val="9"/>
            <color indexed="81"/>
            <rFont val="Tahoma"/>
            <family val="2"/>
          </rPr>
          <t>Property#PERIODID3#RELATIVE#Equals#0</t>
        </r>
      </text>
    </comment>
    <comment ref="D95" authorId="0" shapeId="0" xr:uid="{264A8ECB-6E35-43F6-A7AC-4AA9747A0C97}">
      <text>
        <r>
          <rPr>
            <b/>
            <sz val="9"/>
            <color indexed="81"/>
            <rFont val="Tahoma"/>
            <family val="2"/>
          </rPr>
          <t>Property#KEY_FIGURES#EDITABLE#Equals#ALL</t>
        </r>
      </text>
    </comment>
    <comment ref="D98" authorId="0" shapeId="0" xr:uid="{8A77C062-E04C-409A-8799-F50342119FA6}">
      <text>
        <r>
          <rPr>
            <b/>
            <sz val="9"/>
            <color indexed="81"/>
            <rFont val="Tahoma"/>
            <family val="2"/>
          </rPr>
          <t>(Property#KEY_FIGURES#EDITABLE#Equals#FUTURE)&amp;&amp;(Property#PERIODID0#PASTCURRENTFUTURE#Equals#C)</t>
        </r>
      </text>
    </comment>
    <comment ref="D101" authorId="0" shapeId="0" xr:uid="{21F6E3A8-9B9E-444B-979A-ABC2217EBD10}">
      <text>
        <r>
          <rPr>
            <b/>
            <sz val="9"/>
            <color indexed="81"/>
            <rFont val="Tahoma"/>
            <family val="2"/>
          </rPr>
          <t>(Property#KEY_FIGURES#EDITABLE#Equals#FUTURE)&amp;&amp;(Property#PERIODID#PASTCURRENTFUTURE#Equals#C)</t>
        </r>
      </text>
    </comment>
    <comment ref="D104" authorId="0" shapeId="0" xr:uid="{F67927A1-9AA7-4EA1-BC6D-B295B969BE72}">
      <text>
        <r>
          <rPr>
            <b/>
            <sz val="9"/>
            <color indexed="81"/>
            <rFont val="Tahoma"/>
            <family val="2"/>
          </rPr>
          <t>(Property#KEY_FIGURES#EDITABLE#Equals#FUTURE)&amp;&amp;(Property#PERIODID1#PASTCURRENTFUTURE#Equals#CF)</t>
        </r>
      </text>
    </comment>
    <comment ref="D107" authorId="0" shapeId="0" xr:uid="{439BA116-DA52-41A0-892D-9ECCBCC40E70}">
      <text>
        <r>
          <rPr>
            <b/>
            <sz val="9"/>
            <color indexed="81"/>
            <rFont val="Tahoma"/>
            <family val="2"/>
          </rPr>
          <t>(Property#KEY_FIGURES#EDITABLE#Equals#FUTURE)&amp;&amp;(Property#PERIODID2#PASTCURRENTFUTURE#Equals#CF)</t>
        </r>
      </text>
    </comment>
    <comment ref="D110" authorId="0" shapeId="0" xr:uid="{5F6D8805-9A9E-4C83-BE1F-2CFDF3412C2A}">
      <text>
        <r>
          <rPr>
            <b/>
            <sz val="9"/>
            <color indexed="81"/>
            <rFont val="Tahoma"/>
            <family val="2"/>
          </rPr>
          <t>(Property#KEY_FIGURES#EDITABLE#Equals#FUTURE)&amp;&amp;(Property#PERIODID3#PASTCURRENTFUTURE#Equals#CF)</t>
        </r>
      </text>
    </comment>
    <comment ref="D113" authorId="0" shapeId="0" xr:uid="{2FD3129A-EB51-445E-9362-7FE0B7AE727D}">
      <text>
        <r>
          <rPr>
            <b/>
            <sz val="9"/>
            <color indexed="81"/>
            <rFont val="Tahoma"/>
            <family val="2"/>
          </rPr>
          <t>(Property#KEY_FIGURES#EDITABLE#Equals#FUTURE)&amp;&amp;(Property#PERIODID4#PASTCURRENTFUTURE#Equals#CF)</t>
        </r>
      </text>
    </comment>
    <comment ref="D116" authorId="0" shapeId="0" xr:uid="{0517EA16-AD22-423E-9FF9-A8C3DE0AD147}">
      <text>
        <r>
          <rPr>
            <b/>
            <sz val="9"/>
            <color indexed="81"/>
            <rFont val="Tahoma"/>
            <family val="2"/>
          </rPr>
          <t>(Property#KEY_FIGURES#EDITABLE#Equals#FUTURE)&amp;&amp;(Property#PERIODID5#PASTCURRENTFUTURE#Equals#CF)</t>
        </r>
      </text>
    </comment>
    <comment ref="D119" authorId="0" shapeId="0" xr:uid="{2C35434B-D522-4738-AE59-0041F9536EF7}">
      <text>
        <r>
          <rPr>
            <b/>
            <sz val="9"/>
            <color indexed="81"/>
            <rFont val="Tahoma"/>
            <family val="2"/>
          </rPr>
          <t>(Property#KEY_FIGURES#EDITABLE#Equals#FUTURE)&amp;&amp;(Property#PERIODID#PASTCURRENTFUTURE#Equals#CF)</t>
        </r>
      </text>
    </comment>
    <comment ref="D122" authorId="0" shapeId="0" xr:uid="{9BCCA951-0605-495A-B697-38988323759E}">
      <text>
        <r>
          <rPr>
            <b/>
            <sz val="9"/>
            <color indexed="81"/>
            <rFont val="Tahoma"/>
            <family val="2"/>
          </rPr>
          <t>(Property#KEY_FIGURES#EDITABLE#Equals#FUTURE)&amp;&amp;(Property#PERIODID0#PASTCURRENTFUTURE#Equals#F)</t>
        </r>
      </text>
    </comment>
    <comment ref="D125" authorId="0" shapeId="0" xr:uid="{01FB1130-C508-4788-9814-6C4D66405709}">
      <text>
        <r>
          <rPr>
            <b/>
            <sz val="9"/>
            <color indexed="81"/>
            <rFont val="Tahoma"/>
            <family val="2"/>
          </rPr>
          <t>(Property#KEY_FIGURES#EDITABLE#Equals#FUTURE)&amp;&amp;(Property#PERIODID1#PASTCURRENTFUTURE#Equals#F)</t>
        </r>
      </text>
    </comment>
    <comment ref="D128" authorId="0" shapeId="0" xr:uid="{0BF7136B-976D-45A1-835B-FC0CE15E900D}">
      <text>
        <r>
          <rPr>
            <b/>
            <sz val="9"/>
            <color indexed="81"/>
            <rFont val="Tahoma"/>
            <family val="2"/>
          </rPr>
          <t>(Property#KEY_FIGURES#EDITABLE#Equals#FUTURE)&amp;&amp;(Property#PERIODID2#PASTCURRENTFUTURE#Equals#F)</t>
        </r>
      </text>
    </comment>
    <comment ref="D131" authorId="0" shapeId="0" xr:uid="{83B04791-BAA4-4BF1-AC10-7DDDDB326820}">
      <text>
        <r>
          <rPr>
            <b/>
            <sz val="9"/>
            <color indexed="81"/>
            <rFont val="Tahoma"/>
            <family val="2"/>
          </rPr>
          <t>(Property#KEY_FIGURES#EDITABLE#Equals#FUTURE)&amp;&amp;(Property#PERIODID3#PASTCURRENTFUTURE#Equals#F)</t>
        </r>
      </text>
    </comment>
    <comment ref="D134" authorId="0" shapeId="0" xr:uid="{019512DF-A944-4BB1-A6D4-837D33EAF82B}">
      <text>
        <r>
          <rPr>
            <b/>
            <sz val="9"/>
            <color indexed="81"/>
            <rFont val="Tahoma"/>
            <family val="2"/>
          </rPr>
          <t>(Property#KEY_FIGURES#EDITABLE#Equals#FUTURE)&amp;&amp;(Property#PERIODID4#PASTCURRENTFUTURE#Equals#F)</t>
        </r>
      </text>
    </comment>
    <comment ref="D137" authorId="0" shapeId="0" xr:uid="{95CAFA4E-BC33-480A-9C58-D5022258FB88}">
      <text>
        <r>
          <rPr>
            <b/>
            <sz val="9"/>
            <color indexed="81"/>
            <rFont val="Tahoma"/>
            <family val="2"/>
          </rPr>
          <t>(Property#KEY_FIGURES#EDITABLE#Equals#FUTURE)&amp;&amp;(Property#PERIODID5#PASTCURRENTFUTURE#Equals#F)</t>
        </r>
      </text>
    </comment>
    <comment ref="D140" authorId="0" shapeId="0" xr:uid="{12EBA847-4CC8-4076-BFCE-29933A28DE36}">
      <text>
        <r>
          <rPr>
            <b/>
            <sz val="9"/>
            <color indexed="81"/>
            <rFont val="Tahoma"/>
            <family val="2"/>
          </rPr>
          <t>(Property#KEY_FIGURES#EDITABLE#Equals#FUTURE)&amp;&amp;(Property#PERIODID#PASTCURRENTFUTURE#Equals#F)</t>
        </r>
      </text>
    </comment>
    <comment ref="D143" authorId="0" shapeId="0" xr:uid="{DB06A1A5-6F76-4E88-9651-C11E25C571B2}">
      <text>
        <r>
          <rPr>
            <b/>
            <sz val="9"/>
            <color indexed="81"/>
            <rFont val="Tahoma"/>
            <family val="2"/>
          </rPr>
          <t>(Property#KEY_FIGURES#EDITABLE#Equals#PAST)&amp;&amp;(Property#PERIODID0#PASTCURRENTFUTURE#Equals#P)</t>
        </r>
      </text>
    </comment>
    <comment ref="D146" authorId="0" shapeId="0" xr:uid="{EAF9E237-24E4-4C96-89FD-013D11942CF5}">
      <text>
        <r>
          <rPr>
            <b/>
            <sz val="9"/>
            <color indexed="81"/>
            <rFont val="Tahoma"/>
            <family val="2"/>
          </rPr>
          <t>(Property#KEY_FIGURES#EDITABLE#Equals#PAST)&amp;&amp;(Property#PERIODID1#PASTCURRENTFUTURE#Equals#P)</t>
        </r>
      </text>
    </comment>
    <comment ref="D149" authorId="0" shapeId="0" xr:uid="{1A2F98F7-994E-464E-A1CA-45C66168AAE8}">
      <text>
        <r>
          <rPr>
            <b/>
            <sz val="9"/>
            <color indexed="81"/>
            <rFont val="Tahoma"/>
            <family val="2"/>
          </rPr>
          <t>(Property#KEY_FIGURES#EDITABLE#Equals#PAST)&amp;&amp;(Property#PERIODID2#PASTCURRENTFUTURE#Equals#P)</t>
        </r>
      </text>
    </comment>
    <comment ref="D152" authorId="0" shapeId="0" xr:uid="{6A5AF2C5-BDDC-4E09-8C61-801D8C542AD2}">
      <text>
        <r>
          <rPr>
            <b/>
            <sz val="9"/>
            <color indexed="81"/>
            <rFont val="Tahoma"/>
            <family val="2"/>
          </rPr>
          <t>(Property#KEY_FIGURES#EDITABLE#Equals#PAST)&amp;&amp;(Property#PERIODID3#PASTCURRENTFUTURE#Equals#P)</t>
        </r>
      </text>
    </comment>
    <comment ref="D155" authorId="0" shapeId="0" xr:uid="{9A74DA55-D21C-41BA-98F9-5F31CE1AF526}">
      <text>
        <r>
          <rPr>
            <b/>
            <sz val="9"/>
            <color indexed="81"/>
            <rFont val="Tahoma"/>
            <family val="2"/>
          </rPr>
          <t>(Property#KEY_FIGURES#EDITABLE#Equals#PAST)&amp;&amp;(Property#PERIODID4#PASTCURRENTFUTURE#Equals#P)</t>
        </r>
      </text>
    </comment>
    <comment ref="D158" authorId="0" shapeId="0" xr:uid="{654569B6-A59B-49A7-BDE5-0C50A27B931D}">
      <text>
        <r>
          <rPr>
            <b/>
            <sz val="9"/>
            <color indexed="81"/>
            <rFont val="Tahoma"/>
            <family val="2"/>
          </rPr>
          <t>(Property#KEY_FIGURES#EDITABLE#Equals#PAST)&amp;&amp;(Property#PERIODID5#PASTCURRENTFUTURE#Equals#P)</t>
        </r>
      </text>
    </comment>
    <comment ref="D161" authorId="0" shapeId="0" xr:uid="{25B61845-CDC9-45DA-A547-3093B41D85FF}">
      <text>
        <r>
          <rPr>
            <b/>
            <sz val="9"/>
            <color indexed="81"/>
            <rFont val="Tahoma"/>
            <family val="2"/>
          </rPr>
          <t>(Property#KEY_FIGURES#EDITABLE#Equals#PAST)&amp;&amp;(Property#PERIODID#PASTCURRENTFUTURE#Equals#P)</t>
        </r>
      </text>
    </comment>
    <comment ref="D164" authorId="0" shapeId="0" xr:uid="{11111FE0-8C4D-4419-8B25-B7DF92A74265}">
      <text>
        <r>
          <rPr>
            <b/>
            <sz val="9"/>
            <color indexed="81"/>
            <rFont val="Tahoma"/>
            <family val="2"/>
          </rPr>
          <t>TotalMember</t>
        </r>
      </text>
    </comment>
    <comment ref="D167" authorId="0" shapeId="0" xr:uid="{BD6425B4-831E-41CC-A59B-6361B9171E65}">
      <text>
        <r>
          <rPr>
            <b/>
            <sz val="9"/>
            <color indexed="81"/>
            <rFont val="Tahoma"/>
            <family val="2"/>
          </rPr>
          <t>Property#KEY_FIGURES#FIXING#Equals#Y</t>
        </r>
      </text>
    </comment>
    <comment ref="D170" authorId="0" shapeId="0" xr:uid="{124E4FBD-0721-48FF-93FF-6C09D1EE5C74}">
      <text>
        <r>
          <rPr>
            <b/>
            <sz val="9"/>
            <color indexed="81"/>
            <rFont val="Tahoma"/>
            <family val="2"/>
          </rPr>
          <t>(Property#KEY_FIGURES#EDITOFFSET#Equals#0#Type of Value)&amp;&amp;(Property#PERIODID3#RELATIVE#Equals#0)</t>
        </r>
      </text>
    </comment>
    <comment ref="D173" authorId="0" shapeId="0" xr:uid="{1041F690-2AFF-4F8C-8E1B-3E1B87951E41}">
      <text>
        <r>
          <rPr>
            <b/>
            <sz val="9"/>
            <color indexed="81"/>
            <rFont val="Tahoma"/>
            <family val="2"/>
          </rPr>
          <t>(Property#KEY_FIGURES#EDITOFFSET#Equals#0#Type of Value)&amp;&amp;(Property#PERIODID4#RELATIVE#Equals#0)</t>
        </r>
      </text>
    </comment>
    <comment ref="D176" authorId="0" shapeId="0" xr:uid="{5B9FD855-3EC7-4631-8702-530CC4AFAE01}">
      <text>
        <r>
          <rPr>
            <b/>
            <sz val="9"/>
            <color indexed="81"/>
            <rFont val="Tahoma"/>
            <family val="2"/>
          </rPr>
          <t>(Property#KEY_FIGURES#EDITOFFSET#Equals#0#Type of Value)&amp;&amp;(Property#PERIODID5#RELATIVE#Equals#0)</t>
        </r>
      </text>
    </comment>
    <comment ref="D179" authorId="0" shapeId="0" xr:uid="{1AD262AA-7BB9-4BDD-BC56-F6C33C65B8C4}">
      <text>
        <r>
          <rPr>
            <b/>
            <sz val="9"/>
            <color indexed="81"/>
            <rFont val="Tahoma"/>
            <family val="2"/>
          </rPr>
          <t>Members#[KEY_FIGURES].[].[ZCONSENSUSDEMANDQTY]</t>
        </r>
      </text>
    </comment>
    <comment ref="D182" authorId="0" shapeId="0" xr:uid="{0F58C5DD-431E-491C-A3F5-C3D776992CE0}">
      <text>
        <r>
          <rPr>
            <b/>
            <sz val="9"/>
            <color indexed="81"/>
            <rFont val="Tahoma"/>
            <family val="2"/>
          </rPr>
          <t>Members#[KEY_FIGURES].[].[INDEPENDENTDEMAND]</t>
        </r>
      </text>
    </comment>
    <comment ref="D185" authorId="0" shapeId="0" xr:uid="{25E4AC1D-3ACB-49D0-B392-D8EB3E57DE0E}">
      <text>
        <r>
          <rPr>
            <b/>
            <sz val="9"/>
            <color indexed="81"/>
            <rFont val="Tahoma"/>
            <family val="2"/>
          </rPr>
          <t>(Members#[KEY_FIGURES].[].[CAPASUPPLY])&amp;&amp;(Members#[KEY_FIGURES].[].[MAXAGGPRODUCTION])&amp;&amp;(Members#[KEY_FIGURES].[].[ZWORKDAYSLOC])</t>
        </r>
      </text>
    </comment>
    <comment ref="D188" authorId="0" shapeId="0" xr:uid="{A6149365-60C9-4335-BC98-5DB6581B2EBE}">
      <text>
        <r>
          <rPr>
            <b/>
            <sz val="9"/>
            <color indexed="81"/>
            <rFont val="Tahoma"/>
            <family val="2"/>
          </rPr>
          <t>Members#[KEY_FIGURES].[].[BMIMINCAPARATE]</t>
        </r>
      </text>
    </comment>
    <comment ref="D191" authorId="0" shapeId="0" xr:uid="{73F05A29-38C0-47AC-8C62-C27F1DE3E14A}">
      <text>
        <r>
          <rPr>
            <b/>
            <sz val="9"/>
            <color indexed="81"/>
            <rFont val="Tahoma"/>
            <family val="2"/>
          </rPr>
          <t>Members#[KEY_FIGURES].[].[MAXPRODUCTION]</t>
        </r>
      </text>
    </comment>
    <comment ref="D194" authorId="0" shapeId="0" xr:uid="{E90436C1-E214-43E7-AD1A-C58864CFA57F}">
      <text>
        <r>
          <rPr>
            <b/>
            <sz val="9"/>
            <color indexed="81"/>
            <rFont val="Tahoma"/>
            <family val="2"/>
          </rPr>
          <t>Members#[KEY_FIGURES].[].[COVERAGE]</t>
        </r>
      </text>
    </comment>
    <comment ref="D197" authorId="0" shapeId="0" xr:uid="{DCD78C8F-6194-4F45-BB81-20E922A117D0}">
      <text>
        <r>
          <rPr>
            <b/>
            <sz val="9"/>
            <color indexed="81"/>
            <rFont val="Tahoma"/>
            <family val="2"/>
          </rPr>
          <t>(Members#[KEY_FIGURES].[].[PRODUCTION])&amp;&amp;(Members#[KEY_FIGURES].[].[TRANSPORT]#[KEY_FIGURES].[].[NETDEMAND])</t>
        </r>
      </text>
    </comment>
    <comment ref="D200" authorId="0" shapeId="0" xr:uid="{F2B1DCC4-909B-4500-AF6C-6B7C1851AB83}">
      <text>
        <r>
          <rPr>
            <b/>
            <sz val="9"/>
            <color indexed="81"/>
            <rFont val="Tahoma"/>
            <family val="2"/>
          </rPr>
          <t>Members#[KEY_FIGURES].[].[UTILIZATIONPCT]</t>
        </r>
      </text>
    </comment>
    <comment ref="D203" authorId="0" shapeId="0" xr:uid="{EAE43FA8-362B-4770-B4C8-80B89065CDD3}">
      <text>
        <r>
          <rPr>
            <b/>
            <sz val="9"/>
            <color indexed="81"/>
            <rFont val="Tahoma"/>
            <family val="2"/>
          </rPr>
          <t>Members#[KEY_FIGURES].[].[ZCOVERAGEMTH]</t>
        </r>
      </text>
    </comment>
    <comment ref="D206" authorId="0" shapeId="0" xr:uid="{874C6EB2-2AE6-476F-A09B-66B1FFCF6E1C}">
      <text>
        <r>
          <rPr>
            <b/>
            <sz val="9"/>
            <color indexed="81"/>
            <rFont val="Tahoma"/>
            <family val="2"/>
          </rPr>
          <t>Members#[KEY_FIGURES].[].[ZPCAPAUSAGEHRS]</t>
        </r>
      </text>
    </comment>
    <comment ref="D209" authorId="0" shapeId="0" xr:uid="{0BB21285-B3BE-4A44-B9A0-0D0281662293}">
      <text>
        <r>
          <rPr>
            <b/>
            <sz val="9"/>
            <color indexed="81"/>
            <rFont val="Tahoma"/>
            <family val="2"/>
          </rPr>
          <t>Members#[KEY_FIGURES].[].[ZFRZNCLRINT]</t>
        </r>
      </text>
    </comment>
    <comment ref="D212" authorId="0" shapeId="0" xr:uid="{682B8AD5-EDB6-43CD-BFEF-737D48EA1D5E}">
      <text>
        <r>
          <rPr>
            <b/>
            <sz val="9"/>
            <color indexed="81"/>
            <rFont val="Tahoma"/>
            <family val="2"/>
          </rPr>
          <t>Members#[KEY_FIGURES].[].[ZADJUSTEDPRODUCTIONRECEIPT]</t>
        </r>
      </text>
    </comment>
    <comment ref="D215" authorId="1" shapeId="0" xr:uid="{E48F7B8E-9AB3-4153-95CE-98426186DD86}">
      <text>
        <r>
          <rPr>
            <sz val="9"/>
            <color indexed="81"/>
            <rFont val="Tahoma"/>
            <family val="2"/>
          </rPr>
          <t>Members#[KEY_FIGURES].[].[ZFINALFCSTCURDELTA]#[KEY_FIGURES].[].[ZFCSTCURDELTA]#[KEY_FIGURES].[].[ZINTERCOREQDELTA]</t>
        </r>
      </text>
    </comment>
    <comment ref="D218" authorId="1" shapeId="0" xr:uid="{C55C10E1-20FB-401B-B621-32C3BE4C9754}">
      <text>
        <r>
          <rPr>
            <sz val="9"/>
            <color indexed="81"/>
            <rFont val="Tahoma"/>
            <family val="2"/>
          </rPr>
          <t>Members#[KEY_FIGURES].[].[ZADJANAPLANFORECAST]</t>
        </r>
      </text>
    </comment>
  </commentList>
</comments>
</file>

<file path=xl/sharedStrings.xml><?xml version="1.0" encoding="utf-8"?>
<sst xmlns="http://schemas.openxmlformats.org/spreadsheetml/2006/main" count="720" uniqueCount="419">
  <si>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</si>
  <si>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</si>
  <si>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</si>
  <si>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</si>
  <si>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</si>
  <si>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</si>
  <si>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</si>
  <si>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</si>
  <si>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</si>
  <si>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</si>
  <si>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</si>
  <si>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</si>
  <si>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</si>
  <si>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</si>
  <si>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</si>
  <si>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</si>
  <si>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</si>
  <si>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</si>
  <si>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</si>
  <si>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</si>
  <si>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</si>
  <si>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FontColorIndex | Pattern</t>
  </si>
  <si>
    <t xml:space="preserve">KEY_FIGURES.Editable Indicator = ALL </t>
  </si>
  <si>
    <t>Version_1_1</t>
  </si>
  <si>
    <t>Sheet2_SERIES</t>
  </si>
  <si>
    <t>Sheet2_FILTER</t>
  </si>
  <si>
    <t>Sheet2_CHART</t>
  </si>
  <si>
    <t>Jan</t>
  </si>
  <si>
    <t>Feb</t>
  </si>
  <si>
    <t>A</t>
  </si>
  <si>
    <t>B</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</si>
  <si>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</si>
  <si>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</si>
  <si>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</si>
  <si>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</si>
  <si>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</si>
  <si>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</si>
  <si>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</si>
  <si>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</si>
  <si>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</si>
  <si>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</si>
  <si>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</si>
  <si>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</si>
  <si>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</si>
  <si>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FontBold | FontColorIndex | Pattern</t>
  </si>
  <si>
    <t xml:space="preserve">KEY_FIGURES.Fixing Enabled = Y </t>
  </si>
  <si>
    <t>Font</t>
  </si>
  <si>
    <t>IBP Formatting Sheet</t>
  </si>
  <si>
    <t>Sheet2_OFFLINE</t>
  </si>
  <si>
    <t xml:space="preserve">Offline Parameters Columns Count  </t>
  </si>
  <si>
    <t>dataTopLeftRow</t>
  </si>
  <si>
    <t>5</t>
  </si>
  <si>
    <t>dataTopLeftColumn</t>
  </si>
  <si>
    <t>1</t>
  </si>
  <si>
    <t>maxRows</t>
  </si>
  <si>
    <t>maxColumns</t>
  </si>
  <si>
    <t>90</t>
  </si>
  <si>
    <t>topLeft</t>
  </si>
  <si>
    <t>K6</t>
  </si>
  <si>
    <t>caMembers</t>
  </si>
  <si>
    <t/>
  </si>
  <si>
    <t>raMembers</t>
  </si>
  <si>
    <t>caHeight</t>
  </si>
  <si>
    <t>caShift</t>
  </si>
  <si>
    <t>raShift</t>
  </si>
  <si>
    <t>raWidth</t>
  </si>
  <si>
    <t>3</t>
  </si>
  <si>
    <t>rptWidth</t>
  </si>
  <si>
    <t>80</t>
  </si>
  <si>
    <t>[PRDID].[].[20001048]_x000D_
[KEY_FIGURES].[].[INDEPENDENTDEMAND]_x000D_
[LOCID].[].[0001003949]_x000D_
[PRDID].[].[20001051]_x000D_
[KEY_FIGURES].[].[ZCONSENSUSDEMANDQTY]_x000D_
[LOCID].[].[0001003949]_x000D_
[PRDID].[].[20001051]_x000D_
[KEY_FIGURES].[].[ZINPUTSOFC]_x000D_
[LOCID].[].[0001003949]_x000D_
[PRDID].[].[20001051]_x000D_
[KEY_FIGURES].[].[ZFORECASTOPENOUTPUT]_x000D_
[LOCID].[].[0001003949]_x000D_
[PRDID].[].[20001051]_x000D_
[KEY_FIGURES].[].[ZACTUALSALES]_x000D_
[LOCID].[].[0001003949]_x000D_
[PRDID].[].[20001051]_x000D_
[KEY_FIGURES].[].[ZCONSENSUSDEMAND]_x000D_
[LOCID].[].[0001003949]_x000D_
[PRDID].[].[20001051]_x000D_
[KEY_FIGURES].[].[INDEPENDENTDEMAND]_x000D_
[LOCID].[].[0001003949]_x000D_
[PRDID].[].[20001052]_x000D_
[KEY_FIGURES].[].[ZCONSENSUSDEMANDQTY]_x000D_
[LOCID].[].[0001003949]_x000D_
[PRDID].[].[20001052]_x000D_
[KEY_FIGURES].[].[ZINPUTSOFC]_x000D_
[LOCID].[].[0001003949]_x000D_
[PRDID].[].[20001052]_x000D_
[KEY_FIGURES].[].[ZFORECASTOPENOUTPUT]_x000D_
[LOCID].[].[0001003949]_x000D_
[PRDID].[].[20001052]_x000D_
[KEY_FIGURES].[].[ZACTUALSALES]_x000D_
[LOCID].[].[0001003949]_x000D_
[PRDID].[].[20001052]_x000D_
[KEY_FIGURES].[].[ZCONSENSUSDEMAND]_x000D_
[LOCID].[].[0001003949]_x000D_
[PRDID].[].[20001052]_x000D_
[KEY_FIGURES].[].[INDEPENDENTDEMAND]_x000D_
[LOCID].[].[0001003949]_x000D_
[PRDID].[].[20001060]_x000D_
[KEY_FIGURES].[].[ZCONSENSUSDEMANDQTY]_x000D_
[LOCID].[].[0001003949]_x000D_
[PRDID].[].[20001060]_x000D_
[KEY_FIGURES].[].[ZINPUTSOFC]_x000D_
[LOCID].[].[0001003949]_x000D_
[PRDID].[].[20001060]_x000D_
[KEY_FIGURES].[].[ZFORECASTOPENOUTPUT]_x000D_
[LOCID].[].[0001003949]_x000D_
[PRDID].[].[20001060]_x000D_
[KEY_FIGURES].[].[ZACTUALSALES]_x000D_
[LOCID].[].[0001003949]_x000D_
[PRDID].[].[20001060]_x000D_
[KEY_FIGURES].[].[ZCONSENSUSDEMAND]_x000D_
[LOCID].[].[0001003949]_x000D_
[PRDID].[].[20001060]_x000D_
[KEY_FIGURES].[].[INDEPENDENTDEMAND]_x000D_
[LOCID].[].[0001003949]_x000D_
[PRDID].[].[20001061]_x000D_
[KEY_FIGURES].[].[ZCONSENSUSDEMANDQTY]_x000D_
[LOCID].[].[0001003949]_x000D_
[PRDID].[].[20001061]_x000D_
[KEY_FIGURES].[].[ZINPUTSOFC]_x000D_
[LOCID].[].[0001003949]_x000D_
[PRDID].[].[20001061]_x000D_
[KEY_FIGURES].[].[ZFORECASTOPENOUTPUT]_x000D_
[LOCID].[].[0001003949]_x000D_
[PRDID].[].[20001061]_x000D_
[KEY_FIGURES].[].[ZACTUALSALES]_x000D_
[LOCID].[].[0001003949]_x000D_
[PRDID].[].[20001061]_x000D_
[KEY_FIGURES].[].[ZCONSENSUSDEMAND]_x000D_
[LOCID].[].[0001003949]_x000D_
[PRDID].[].[20001061]_x000D_
[KEY_FIGURES].[].[INDEPENDENTDEMAND]_x000D_
[LOCID].[].[0001003949]_x000D_
[PRDID].[].[20001079]_x000D_
[KEY_FIGURES].[].[ZCONSENSUSDEMANDQTY]_x000D_
[LOCID].[].[0001003949]_x000D_
[PRDID].[].[20001079]_x000D_
[KEY_FIGURES].[].[ZINPUTSOFC]_x000D_
[LOCID].[].[0001003949]_x000D_
[PRDID].[].[20001079]_x000D_
[KEY_FIGURES].[].[ZFORECASTOPENOUTPUT]_x000D_
[LOCID].[].[0001003949]_x000D_
[PRDID].[].[20001079]_x000D_
[KEY_FIGURES].[].[ZACTUALSALES]_x000D_
[LOCID].[].[0001003949]_x000D_
[PRDID].[].[20001079]_x000D_
[KEY_FIGURES].[].[ZCONSENSUSDEMAND]_x000D_
[LOCID].[].[0001003949]_x000D_
[PRDID].[].[20001079]_x000D_
[KEY_FIGURES].[].[INDEPENDENTDEMAND]_x000D_
[LOCID].[].[0001003949]_x000D_
[PRDID].[].[20001087]_x000D_
[KEY_FIGURES].[].[ZCONSENSUSDEMANDQTY]_x000D_
[LOCID].[].[0001003949]_x000D_
[PRDID].[].[20001087]_x000D_
[KEY_FIGURES].[].[ZINPUTSOFC]_x000D_
[LOCID].[].[0001003949]_x000D_
[PRDID].[].[20001087]_x000D_
[KEY_FIGURES].[].[ZFORECASTOPENOUTPUT]_x000D_
[LOCID].[].[0001003949]_x000D_
[PRDID].[].[20001087]_x000D_
[KEY_FIGURES].[].[ZACTUALSALES]_x000D_
[LOCID].[].[0001003949]_x000D_
[PRDID].[].[20001087]_x000D_
[KEY_FIGURES].[].[ZCONSENSUSDEMAND]_x000D_
[LOCID].[].[0001003949]_x000D_
[PRDID].[].[20001087]_x000D_
[KEY_FIGURES].[].[INDEPENDENTDEMAND]_x000D_
[LOCID].[].[0001003949]_x000D_
[PRDID].[].[20001091]_x000D_
[KEY_FIGURES].[].[ZCONSENSUSDEMANDQTY]_x000D_
[LOCID].[].[0001003949]_x000D_
[PRDID].[].[20001091]_x000D_
[KEY_FIGURES].[].[ZINPUTSOFC]_x000D_
[LOCID].[].[0001003949]_x000D_
[PRDID].[].[20001091]_x000D_
[KEY_FIGURES].[].[ZFORECASTOPENOUTPUT]_x000D_
[LOCID].[].[0001003949]_x000D_
[PRDID].[].[20001091]_x000D_
[KEY_FIGURES].[].[ZACTUALSALES]_x000D_
[LOCID].[].[0001003949]_x000D_
[PRDID].[].[20001091]_x000D_
[KEY_FIGURES].[].[ZCONSENSUSDEMAND]_x000D_
[LOCID].[].[0001003949]_x000D_
[PRDID].[].[20001091]_x000D_
[KEY_FIGURES].[].[INDEPENDENTDEMAND]_x000D_
[LOCID].[].[0001003949]_x000D_
[PRDID].[].[20001104]_x000D_
[KEY_FIGURES].[].[ZCONSENSUSDEMANDQTY]_x000D_
[LOCID].[].[0001003949]_x000D_
[PRDID].[].[20001104]_x000D_
[KEY_FIGURES].[].[ZINPUTSOFC]_x000D_
[LOCID].[].[0001003949]_x000D_
[PRDID].[].[20001104]_x000D_
[KEY_FIGURES].[].[ZFORECASTOPENOUTPUT]_x000D_
[LOCID].[].[0001003949]_x000D_
[PRDID].[].[20001104]_x000D_
[KEY_FIGURES].[].[ZACTUALSALES]_x000D_
[LOCID].[].[0001003949]_x000D_
[PRDID].[].[20001104]_x000D_
[KEY_FIGURES].[].[ZCONSENSUSDEMAND]_x000D_
[LOCID].[].[0001003949]_x000D_
[PRDID].[].[20001104]_x000D_
[KEY_FIGURES].[].[INDEPENDENTDEMAND]_x000D_
[LOCID].[].[0001003949]_x000D_
[PRDID].[].[20001158]_x000D_
[KEY_FIGURES].[].[ZCONSENSUSDEMANDQTY]_x000D_
[LOCID].[].[0001003949]_x000D_
[PRDID].[].[20001158]_x000D_
[KEY_FIGURES].[].[ZINPUTSOFC]_x000D_
[LOCID].[].[0001003949]_x000D_
[PRDID].[].[20001158]_x000D_
[KEY_FIGURES].[].[ZFORECASTOPENOUTPUT]_x000D_
[LOCID].[].[0001003949]_x000D_
[PRDID].[].[20001158]_x000D_
[KEY_FIGURES].[].[ZACTUALSALES]_x000D_
[LOCID].[].[0001003949]_x000D_
[PRDID].[].[20001158]_x000D_
[KEY_FIGURES].[].[ZCONSENSUSDEMAND]_x000D_
[LOCID].[].[0001003949]_x000D_
[PRDID].[].[20001158]_x000D_
[KEY_FIGURES].[].[INDEPENDENTDEMAND]_x000D_
[LOCID].[].[0001003953]_x000D_
[PRDID].[].[20001030]_x000D_
[KEY_FIGURES].[].[ZCONSENSUSDEMANDQTY]_x000D_
[LOCID].[].[0001003953]_x000D_
[PRDID].[].[20001030]_x000D_
[KEY_FIGURES].[].[ZINPUTSOFC]_x000D_
[LOCID].[].[0001003953]_x000D_
[PRDID].[].[20001030]_x000D_
[KEY_FIGURES].[].[ZFORECASTOPENOUTPUT]_x000D_
[LOCID].[].[0001003953]_x000D_
[PRDID].[].[20001030]_x000D_
[KEY_FIGURES].[].[ZACTUALSALES]_x000D_
[LOCID].[].[0001003953]_x000D_
[PRDID].[].[20001030]_x000D_
[KEY_FIGURES].[].[ZCONSENSUSDEMAND]_x000D_
[LOCID].[].[0001003953]_x000D_
[PRDID].[].[20001030]_x000D_
[KEY_FIGURES].[].[INDEPENDENTDEMAND]_x000D_
[LOCID].[].[0001003953]_x000D_
[PRDID].[].[20001041]_x000D_
[KEY_FIGURES].[].[ZCONSENSUSDEMANDQTY]_x000D_
[LOCID].[].[0001003953]_x000D_
[PRDID].[].[20001041]_x000D_
[KEY_FIGURES].[].[ZINPUTSOFC]_x000D_
[LOCID].[].[0001003953]_x000D_
[PRDID].[].[20001041]_x000D_
[KEY_FIGURES].[].[ZFORECASTOPENOUTPUT]_x000D_
[LOCID].[].[0001003953]_x000D_
[PRDID].[].[20001041]_x000D_
[KEY_FIGURES].[].[ZACTUALSALES]_x000D_
[LOCID].[].[0001003953]_x000D_
[PRDID].[].[20001041]_x000D_
[KEY_FIGURES].[].[ZCONSENSUSDEMAND]_x000D_
[LOCID].[].[0001003953]_x000D_
[PRDID].[].[20001041]_x000D_
[KEY_FIGURES].[].[INDEPENDENTDEMAND]</t>
  </si>
  <si>
    <t>[LOCID].[].[0001003953]_x000D_
[PRDID].[].[20001042]_x000D_
[KEY_FIGURES].[].[ZCONSENSUSDEMANDQTY]_x000D_
[LOCID].[].[0001003953]_x000D_
[PRDID].[].[20001042]_x000D_
[KEY_FIGURES].[].[ZINPUTSOFC]_x000D_
[LOCID].[].[0001003953]_x000D_
[PRDID].[].[20001042]_x000D_
[KEY_FIGURES].[].[ZFORECASTOPENOUTPUT]_x000D_
[LOCID].[].[0001003953]_x000D_
[PRDID].[].[20001042]_x000D_
[KEY_FIGURES].[].[ZACTUALSALES]_x000D_
[LOCID].[].[0001003953]_x000D_
[PRDID].[].[20001042]_x000D_
[KEY_FIGURES].[].[ZCONSENSUSDEMAND]_x000D_
[LOCID].[].[0001003953]_x000D_
[PRDID].[].[20001042]_x000D_
[KEY_FIGURES].[].[INDEPENDENTDEMAND]_x000D_
[LOCID].[].[0001003953]_x000D_
[PRDID].[].[20001047]_x000D_
[KEY_FIGURES].[].[ZCONSENSUSDEMANDQTY]_x000D_
[LOCID].[].[0001003953]_x000D_
[PRDID].[].[20001047]_x000D_
[KEY_FIGURES].[].[ZINPUTSOFC]_x000D_
[LOCID].[].[0001003953]_x000D_
[PRDID].[].[20001047]_x000D_
[KEY_FIGURES].[].[ZFORECASTOPENOUTPUT]_x000D_
[LOCID].[].[0001003953]_x000D_
[PRDID].[].[20001047]_x000D_
[KEY_FIGURES].[].[ZACTUALSALES]_x000D_
[LOCID].[].[0001003953]_x000D_
[PRDID].[].[20001047]_x000D_
[KEY_FIGURES].[].[ZCONSENSUSDEMAND]_x000D_
[LOCID].[].[0001003953]_x000D_
[PRDID].[].[20001047]_x000D_
[KEY_FIGURES].[].[INDEPENDENTDEMAND]_x000D_
[LOCID].[].[0001003953]_x000D_
[PRDID].[].[20001048]_x000D_
[KEY_FIGURES].[].[ZCONSENSUSDEMANDQTY]_x000D_
[LOCID].[].[0001003953]_x000D_
[PRDID].[].[20001048]_x000D_
[KEY_FIGURES].[].[ZINPUTSOFC]_x000D_
[LOCID].[].[0001003953]_x000D_
[PRDID].[].[20001048]_x000D_
[KEY_FIGURES].[].[ZFORECASTOPENOUTPUT]_x000D_
[LOCID].[].[0001003953]_x000D_
[PRDID].[].[20001048]_x000D_
[KEY_FIGURES].[].[ZACTUALSALES]_x000D_
[LOCID].[].[0001003953]_x000D_
[PRDID].[].[20001048]_x000D_
[KEY_FIGURES].[].[ZCONSENSUSDEMAND]_x000D_
[LOCID].[].[0001003953]_x000D_
[PRDID].[].[20001048]_x000D_
[KEY_FIGURES].[].[INDEPENDENTDEMAND]_x000D_
[LOCID].[].[0001003953]_x000D_
[PRDID].[].[20001049]_x000D_
[KEY_FIGURES].[].[ZCONSENSUSDEMANDQTY]_x000D_
[LOCID].[].[0001003953]_x000D_
[PRDID].[].[20001049]_x000D_
[KEY_FIGURES].[].[ZINPUTSOFC]_x000D_
[LOCID].[].[0001003953]_x000D_
[PRDID].[].[20001049]_x000D_
[KEY_FIGURES].[].[ZFORECASTOPENOUTPUT]_x000D_
[LOCID].[].[0001003953]_x000D_
[PRDID].[].[20001049]_x000D_
[KEY_FIGURES].[].[ZACTUALSALES]_x000D_
[LOCID].[].[0001003953]_x000D_
[PRDID].[].[20001049]_x000D_
[KEY_FIGURES].[].[ZCONSENSUSDEMAND]_x000D_
[LOCID].[].[0001003953]_x000D_
[PRDID].[].[20001049]_x000D_
[KEY_FIGURES].[].[INDEPENDENTDEMAND]_x000D_
[LOCID].[].[0001003953]_x000D_
[PRDID].[].[20001055]_x000D_
[KEY_FIGURES].[].[ZCONSENSUSDEMANDQTY]_x000D_
[LOCID].[].[0001003953]_x000D_
[PRDID].[].[20001055]_x000D_
[KEY_FIGURES].[].[ZINPUTSOFC]_x000D_
[LOCID].[].[0001003953]_x000D_
[PRDID].[].[20001055]_x000D_
[KEY_FIGURES].[].[ZFORECASTOPENOUTPUT]_x000D_
[LOCID].[].[0001003953]_x000D_
[PRDID].[].[20001055]_x000D_
[KEY_FIGURES].[].[ZACTUALSALES]_x000D_
[LOCID].[].[0001003953]_x000D_
[PRDID].[].[20001055]_x000D_
[KEY_FIGURES].[].[ZCONSENSUSDEMAND]_x000D_
[LOCID].[].[0001003953]_x000D_
[PRDID].[].[20001055]_x000D_
[KEY_FIGURES].[].[INDEPENDENTDEMAND]_x000D_
[LOCID].[].[0001003953]_x000D_
[PRDID].[].[20001056]_x000D_
[KEY_FIGURES].[].[ZCONSENSUSDEMANDQTY]_x000D_
[LOCID].[].[0001003953]_x000D_
[PRDID].[].[20001056]_x000D_
[KEY_FIGURES].[].[ZINPUTSOFC]_x000D_
[LOCID].[].[0001003953]_x000D_
[PRDID].[].[20001056]_x000D_
[KEY_FIGURES].[].[ZFORECASTOPENOUTPUT]_x000D_
[LOCID].[].[0001003953]_x000D_
[PRDID].[].[20001056]_x000D_
[KEY_FIGURES].[].[ZACTUALSALES]_x000D_
[LOCID].[].[0001003953]_x000D_
[PRDID].[].[20001056]_x000D_
[KEY_FIGURES].[].[ZCONSENSUSDEMAND]_x000D_
[LOCID].[].[0001003953]_x000D_
[PRDID].[].[20001056]_x000D_
[KEY_FIGURES].[].[INDEPENDENTDEMAND]_x000D_
[LOCID].[].[0001003953]_x000D_
[PRDID].[].[20001058]_x000D_
[KEY_FIGURES].[].[ZCONSENSUSDEMANDQTY]_x000D_
[LOCID].[].[0001003953]_x000D_
[PRDID].[].[20001058]_x000D_
[KEY_FIGURES].[].[ZINPUTSOFC]_x000D_
[LOCID].[].[0001003953]_x000D_
[PRDID].[].[20001058]_x000D_
[KEY_FIGURES].[].[ZFORECASTOPENOUTPUT]_x000D_
[LOCID].[].[0001003953]_x000D_
[PRDID].[].[20001058]_x000D_
[KEY_FIGURES].[].[ZACTUALSALES]_x000D_
[LOCID].[].[0001003953]_x000D_
[PRDID].[].[20001058]_x000D_
[KEY_FIGURES].[].[ZCONSENSUSDEMAND]_x000D_
[LOCID].[].[0001003953]_x000D_
[PRDID].[].[20001058]_x000D_
[KEY_FIGURES].[].[INDEPENDENTDEMAND]_x000D_
[LOCID].[].[0001003953]_x000D_
[PRDID].[].[20001059]_x000D_
[KEY_FIGURES].[].[ZCONSENSUSDEMANDQTY]_x000D_
[LOCID].[].[0001003953]_x000D_
[PRDID].[].[20001059]_x000D_
[KEY_FIGURES].[].[ZINPUTSOFC]_x000D_
[LOCID].[].[0001003953]_x000D_
[PRDID].[].[20001059]_x000D_
[KEY_FIGURES].[].[ZFORECASTOPENOUTPUT]_x000D_
[LOCID].[].[0001003953]_x000D_
[PRDID].[].[20001059]_x000D_
[KEY_FIGURES].[].[ZACTUALSALES]_x000D_
[LOCID].[].[0001003953]_x000D_
[PRDID].[].[20001059]_x000D_
[KEY_FIGURES].[].[ZCONSENSUSDEMAND]_x000D_
[LOCID].[].[0001003953]_x000D_
[PRDID].[].[20001059]_x000D_
[KEY_FIGURES].[].[INDEPENDENTDEMAND]_x000D_
[LOCID].[].[0001003953]_x000D_
[PRDID].[].[20001060]_x000D_
[KEY_FIGURES].[].[ZCONSENSUSDEMANDQTY]_x000D_
[LOCID].[].[0001003953]_x000D_
[PRDID].[].[20001060]_x000D_
[KEY_FIGURES].[].[ZINPUTSOFC]_x000D_
[LOCID].[].[0001003953]_x000D_
[PRDID].[].[20001060]_x000D_
[KEY_FIGURES].[].[ZFORECASTOPENOUTPUT]_x000D_
[LOCID].[].[0001003953]_x000D_
[PRDID].[].[20001060]_x000D_
[KEY_FIGURES].[].[ZACTUALSALES]_x000D_
[LOCID].[].[0001003953]_x000D_
[PRDID].[].[20001060]_x000D_
[KEY_FIGURES].[].[ZCONSENSUSDEMAND]_x000D_
[LOCID].[].[0001003953]_x000D_
[PRDID].[].[20001060]_x000D_
[KEY_FIGURES].[].[INDEPENDENTDEMAND]_x000D_
[LOCID].[].[0001003953]_x000D_
[PRDID].[].[20001062]_x000D_
[KEY_FIGURES].[].[ZCONSENSUSDEMANDQTY]_x000D_
[LOCID].[].[0001003953]_x000D_
[PRDID].[].[20001062]_x000D_
[KEY_FIGURES].[].[ZINPUTSOFC]_x000D_
[LOCID].[].[0001003953]_x000D_
[PRDID].[].[20001062]_x000D_
[KEY_FIGURES].[].[ZFORECASTOPENOUTPUT]_x000D_
[LOCID].[].[0001003953]_x000D_
[PRDID].[].[20001062]_x000D_
[KEY_FIGURES].[].[ZACTUALSALES]_x000D_
[LOCID].[].[0001003953]_x000D_
[PRDID].[].[20001062]_x000D_
[KEY_FIGURES].[].[ZCONSENSUSDEMAND]_x000D_
[LOCID].[].[0001003953]_x000D_
[PRDID].[].[20001062]_x000D_
[KEY_FIGURES].[].[INDEPENDENTDEMAND]_x000D_
[LOCID].[].[0001003953]_x000D_
[PRDID].[].[20001063]_x000D_
[KEY_FIGURES].[].[ZCONSENSUSDEMANDQTY]_x000D_
[LOCID].[].[0001003953]_x000D_
[PRDID].[].[20001063]_x000D_
[KEY_FIGURES].[].[ZINPUTSOFC]_x000D_
[LOCID].[].[0001003953]_x000D_
[PRDID].[].[20001063]_x000D_
[KEY_FIGURES].[].[ZFORECASTOPENOUTPUT]_x000D_
[LOCID].[].[0001003953]_x000D_
[PRDID].[].[20001063]_x000D_
[KEY_FIGURES].[].[ZACTUALSALES]_x000D_
[LOCID].[].[0001003953]_x000D_
[PRDID].[].[20001063]_x000D_
[KEY_FIGURES].[].[ZCONSENSUSDEMAND]_x000D_
[LOCID].[].[0001003953]_x000D_
[PRDID].[].[20001063]_x000D_
[KEY_FIGURES].[].[INDEPENDENTDEMAND]_x000D_
[LOCID].[].[0001003953]_x000D_
[PRDID].[].[20001064]</t>
  </si>
  <si>
    <t>[KEY_FIGURES].[].[ZCONSENSUSDEMANDQTY]_x000D_
[LOCID].[].[0001003953]_x000D_
[PRDID].[].[20001064]_x000D_
[KEY_FIGURES].[].[ZINPUTSOFC]_x000D_
[LOCID].[].[0001003953]_x000D_
[PRDID].[].[20001064]_x000D_
[KEY_FIGURES].[].[ZFORECASTOPENOUTPUT]_x000D_
[LOCID].[].[0001003953]_x000D_
[PRDID].[].[20001064]_x000D_
[KEY_FIGURES].[].[ZACTUALSALES]_x000D_
[LOCID].[].[0001003953]_x000D_
[PRDID].[].[20001064]_x000D_
[KEY_FIGURES].[].[ZCONSENSUSDEMAND]_x000D_
[LOCID].[].[0001003953]_x000D_
[PRDID].[].[20001064]_x000D_
[KEY_FIGURES].[].[INDEPENDENTDEMAND]_x000D_
[LOCID].[].[0001003953]_x000D_
[PRDID].[].[20001068]_x000D_
[KEY_FIGURES].[].[ZCONSENSUSDEMANDQTY]_x000D_
[LOCID].[].[0001003953]_x000D_
[PRDID].[].[20001068]_x000D_
[KEY_FIGURES].[].[ZINPUTSOFC]_x000D_
[LOCID].[].[0001003953]_x000D_
[PRDID].[].[20001068]_x000D_
[KEY_FIGURES].[].[ZFORECASTOPENOUTPUT]_x000D_
[LOCID].[].[0001003953]_x000D_
[PRDID].[].[20001068]_x000D_
[KEY_FIGURES].[].[ZACTUALSALES]_x000D_
[LOCID].[].[0001003953]_x000D_
[PRDID].[].[20001068]_x000D_
[KEY_FIGURES].[].[ZCONSENSUSDEMAND]_x000D_
[LOCID].[].[0001003953]_x000D_
[PRDID].[].[20001068]_x000D_
[KEY_FIGURES].[].[INDEPENDENTDEMAND]_x000D_
[LOCID].[].[0001003953]_x000D_
[PRDID].[].[20001079]_x000D_
[KEY_FIGURES].[].[ZCONSENSUSDEMANDQTY]_x000D_
[LOCID].[].[0001003953]_x000D_
[PRDID].[].[20001079]_x000D_
[KEY_FIGURES].[].[ZINPUTSOFC]_x000D_
[LOCID].[].[0001003953]_x000D_
[PRDID].[].[20001079]_x000D_
[KEY_FIGURES].[].[ZFORECASTOPENOUTPUT]_x000D_
[LOCID].[].[0001003953]_x000D_
[PRDID].[].[20001079]_x000D_
[KEY_FIGURES].[].[ZACTUALSALES]_x000D_
[LOCID].[].[0001003953]_x000D_
[PRDID].[].[20001079]_x000D_
[KEY_FIGURES].[].[ZCONSENSUSDEMAND]_x000D_
[LOCID].[].[0001003953]_x000D_
[PRDID].[].[20001079]_x000D_
[KEY_FIGURES].[].[INDEPENDENTDEMAND]_x000D_
[LOCID].[].[0001003953]_x000D_
[PRDID].[].[20001091]_x000D_
[KEY_FIGURES].[].[ZCONSENSUSDEMANDQTY]_x000D_
[LOCID].[].[0001003953]_x000D_
[PRDID].[].[20001091]_x000D_
[KEY_FIGURES].[].[ZINPUTSOFC]_x000D_
[LOCID].[].[0001003953]_x000D_
[PRDID].[].[20001091]_x000D_
[KEY_FIGURES].[].[ZFORECASTOPENOUTPUT]_x000D_
[LOCID].[].[0001003953]_x000D_
[PRDID].[].[20001091]_x000D_
[KEY_FIGURES].[].[ZACTUALSALES]_x000D_
[LOCID].[].[0001003953]_x000D_
[PRDID].[].[20001091]_x000D_
[KEY_FIGURES].[].[ZCONSENSUSDEMAND]_x000D_
[LOCID].[].[0001003953]_x000D_
[PRDID].[].[20001091]_x000D_
[KEY_FIGURES].[].[INDEPENDENTDEMAND]_x000D_
[LOCID].[].[0001003953]_x000D_
[PRDID].[].[20001097]_x000D_
[KEY_FIGURES].[].[ZCONSENSUSDEMANDQTY]_x000D_
[LOCID].[].[0001003953]_x000D_
[PRDID].[].[20001097]_x000D_
[KEY_FIGURES].[].[ZINPUTSOFC]_x000D_
[LOCID].[].[0001003953]_x000D_
[PRDID].[].[20001097]_x000D_
[KEY_FIGURES].[].[ZFORECASTOPENOUTPUT]_x000D_
[LOCID].[].[0001003953]_x000D_
[PRDID].[].[20001097]_x000D_
[KEY_FIGURES].[].[ZACTUALSALES]_x000D_
[LOCID].[].[0001003953]_x000D_
[PRDID].[].[20001097]_x000D_
[KEY_FIGURES].[].[ZCONSENSUSDEMAND]_x000D_
[LOCID].[].[0001003953]_x000D_
[PRDID].[].[20001097]_x000D_
[KEY_FIGURES].[].[INDEPENDENTDEMAND]_x000D_
[LOCID].[].[0001003953]_x000D_
[PRDID].[].[20001098]_x000D_
[KEY_FIGURES].[].[ZCONSENSUSDEMANDQTY]_x000D_
[LOCID].[].[0001003953]_x000D_
[PRDID].[].[20001098]_x000D_
[KEY_FIGURES].[].[ZINPUTSOFC]_x000D_
[LOCID].[].[0001003953]_x000D_
[PRDID].[].[20001098]_x000D_
[KEY_FIGURES].[].[ZFORECASTOPENOUTPUT]_x000D_
[LOCID].[].[0001003953]_x000D_
[PRDID].[].[20001098]_x000D_
[KEY_FIGURES].[].[ZACTUALSALES]_x000D_
[LOCID].[].[0001003953]_x000D_
[PRDID].[].[20001098]_x000D_
[KEY_FIGURES].[].[ZCONSENSUSDEMAND]_x000D_
[LOCID].[].[0001003953]_x000D_
[PRDID].[].[20001098]_x000D_
[KEY_FIGURES].[].[INDEPENDENTDEMAND]_x000D_
[LOCID].[].[0001003953]_x000D_
[PRDID].[].[20001101]_x000D_
[KEY_FIGURES].[].[ZCONSENSUSDEMANDQTY]_x000D_
[LOCID].[].[0001003953]_x000D_
[PRDID].[].[20001101]_x000D_
[KEY_FIGURES].[].[ZINPUTSOFC]_x000D_
[LOCID].[].[0001003953]_x000D_
[PRDID].[].[20001101]_x000D_
[KEY_FIGURES].[].[ZFORECASTOPENOUTPUT]_x000D_
[LOCID].[].[0001003953]_x000D_
[PRDID].[].[20001101]_x000D_
[KEY_FIGURES].[].[ZACTUALSALES]_x000D_
[LOCID].[].[0001003953]_x000D_
[PRDID].[].[20001101]_x000D_
[KEY_FIGURES].[].[ZCONSENSUSDEMAND]_x000D_
[LOCID].[].[0001003953]_x000D_
[PRDID].[].[20001101]_x000D_
[KEY_FIGURES].[].[INDEPENDENTDEMAND]_x000D_
[LOCID].[].[0001003953]_x000D_
[PRDID].[].[20001103]_x000D_
[KEY_FIGURES].[].[ZCONSENSUSDEMANDQTY]_x000D_
[LOCID].[].[0001003953]_x000D_
[PRDID].[].[20001103]_x000D_
[KEY_FIGURES].[].[ZINPUTSOFC]_x000D_
[LOCID].[].[0001003953]_x000D_
[PRDID].[].[20001103]_x000D_
[KEY_FIGURES].[].[ZFORECASTOPENOUTPUT]_x000D_
[LOCID].[].[0001003953]_x000D_
[PRDID].[].[20001103]_x000D_
[KEY_FIGURES].[].[ZACTUALSALES]_x000D_
[LOCID].[].[0001003953]_x000D_
[PRDID].[].[20001103]_x000D_
[KEY_FIGURES].[].[ZCONSENSUSDEMAND]_x000D_
[LOCID].[].[0001003953]_x000D_
[PRDID].[].[20001103]_x000D_
[KEY_FIGURES].[].[INDEPENDENTDEMAND]_x000D_
[LOCID].[].[0001003953]_x000D_
[PRDID].[].[20001109]_x000D_
[KEY_FIGURES].[].[ZCONSENSUSDEMANDQTY]_x000D_
[LOCID].[].[0001003953]_x000D_
[PRDID].[].[20001109]_x000D_
[KEY_FIGURES].[].[ZINPUTSOFC]_x000D_
[LOCID].[].[0001003953]_x000D_
[PRDID].[].[20001109]_x000D_
[KEY_FIGURES].[].[ZFORECASTOPENOUTPUT]_x000D_
[LOCID].[].[0001003953]_x000D_
[PRDID].[].[20001109]_x000D_
[KEY_FIGURES].[].[ZACTUALSALES]_x000D_
[LOCID].[].[0001003953]_x000D_
[PRDID].[].[20001109]_x000D_
[KEY_FIGURES].[].[ZCONSENSUSDEMAND]_x000D_
[LOCID].[].[0001003953]_x000D_
[PRDID].[].[20001109]_x000D_
[KEY_FIGURES].[].[INDEPENDENTDEMAND]_x000D_
[LOCID].[].[0001003953]_x000D_
[PRDID].[].[20001110]_x000D_
[KEY_FIGURES].[].[ZCONSENSUSDEMANDQTY]_x000D_
[LOCID].[].[0001003953]_x000D_
[PRDID].[].[20001110]_x000D_
[KEY_FIGURES].[].[ZINPUTSOFC]_x000D_
[LOCID].[].[0001003953]_x000D_
[PRDID].[].[20001110]_x000D_
[KEY_FIGURES].[].[ZFORECASTOPENOUTPUT]_x000D_
[LOCID].[].[0001003953]_x000D_
[PRDID].[].[20001110]_x000D_
[KEY_FIGURES].[].[ZACTUALSALES]_x000D_
[LOCID].[].[0001003953]_x000D_
[PRDID].[].[20001110]_x000D_
[KEY_FIGURES].[].[ZCONSENSUSDEMAND]_x000D_
[LOCID].[].[0001003953]_x000D_
[PRDID].[].[20001110]_x000D_
[KEY_FIGURES].[].[INDEPENDENTDEMAND]_x000D_
[LOCID].[].[0001003953]_x000D_
[PRDID].[].[20001122]_x000D_
[KEY_FIGURES].[].[ZCONSENSUSDEMANDQTY]_x000D_
[LOCID].[].[0001003953]_x000D_
[PRDID].[].[20001122]_x000D_
[KEY_FIGURES].[].[ZINPUTSOFC]_x000D_
[LOCID].[].[0001003953]_x000D_
[PRDID].[].[20001122]_x000D_
[KEY_FIGURES].[].[ZFORECASTOPENOUTPUT]_x000D_
[LOCID].[].[0001003953]_x000D_
[PRDID].[].[20001122]_x000D_
[KEY_FIGURES].[].[ZACTUALSALES]_x000D_
[LOCID].[].[0001003953]_x000D_
[PRDID].[].[20001122]_x000D_
[KEY_FIGURES].[].[ZCONSENSUSDEMAND]_x000D_
[LOCID].[].[0001003953]_x000D_
[PRDID].[].[20001122]_x000D_
[KEY_FIGURES].[].[INDEPENDENTDEMAND]_x000D_
[LOCID].[].[0001003953]_x000D_
[PRDID].[].[20001123]_x000D_
[KEY_FIGURES].[].[ZCONSENSUSDEMANDQTY]_x000D_
[LOCID].[].[0001003953]</t>
  </si>
  <si>
    <t>[PRDID].[].[20001123]_x000D_
[KEY_FIGURES].[].[ZINPUTSOFC]_x000D_
[LOCID].[].[0001003953]_x000D_
[PRDID].[].[20001123]_x000D_
[KEY_FIGURES].[].[ZFORECASTOPENOUTPUT]_x000D_
[LOCID].[].[0001003953]_x000D_
[PRDID].[].[20001123]_x000D_
[KEY_FIGURES].[].[ZACTUALSALES]_x000D_
[LOCID].[].[0001003953]_x000D_
[PRDID].[].[20001123]_x000D_
[KEY_FIGURES].[].[ZCONSENSUSDEMAND]_x000D_
[LOCID].[].[0001003953]_x000D_
[PRDID].[].[20001123]_x000D_
[KEY_FIGURES].[].[INDEPENDENTDEMAND]_x000D_
[LOCID].[].[0001003953]_x000D_
[PRDID].[].[20001127]_x000D_
[KEY_FIGURES].[].[ZCONSENSUSDEMANDQTY]_x000D_
[LOCID].[].[0001003953]_x000D_
[PRDID].[].[20001127]_x000D_
[KEY_FIGURES].[].[ZINPUTSOFC]_x000D_
[LOCID].[].[0001003953]_x000D_
[PRDID].[].[20001127]_x000D_
[KEY_FIGURES].[].[ZFORECASTOPENOUTPUT]_x000D_
[LOCID].[].[0001003953]_x000D_
[PRDID].[].[20001127]_x000D_
[KEY_FIGURES].[].[ZACTUALSALES]_x000D_
[LOCID].[].[0001003953]_x000D_
[PRDID].[].[20001127]_x000D_
[KEY_FIGURES].[].[ZCONSENSUSDEMAND]_x000D_
[LOCID].[].[0001003953]_x000D_
[PRDID].[].[20001127]_x000D_
[KEY_FIGURES].[].[INDEPENDENTDEMAND]_x000D_
[LOCID].[].[0001003953]_x000D_
[PRDID].[].[20001128]_x000D_
[KEY_FIGURES].[].[ZCONSENSUSDEMANDQTY]_x000D_
[LOCID].[].[0001003953]_x000D_
[PRDID].[].[20001128]_x000D_
[KEY_FIGURES].[].[ZINPUTSOFC]_x000D_
[LOCID].[].[0001003953]_x000D_
[PRDID].[].[20001128]_x000D_
[KEY_FIGURES].[].[ZFORECASTOPENOUTPUT]_x000D_
[LOCID].[].[0001003953]_x000D_
[PRDID].[].[20001128]_x000D_
[KEY_FIGURES].[].[ZACTUALSALES]_x000D_
[LOCID].[].[0001003953]_x000D_
[PRDID].[].[20001128]_x000D_
[KEY_FIGURES].[].[ZCONSENSUSDEMAND]_x000D_
[LOCID].[].[0001003953]_x000D_
[PRDID].[].[20001128]_x000D_
[KEY_FIGURES].[].[INDEPENDENTDEMAND]_x000D_
[LOCID].[].[0001003969]_x000D_
[PRDID].[].[20000982]_x000D_
[KEY_FIGURES].[].[ZCONSENSUSDEMANDQTY]_x000D_
[LOCID].[].[0001003969]_x000D_
[PRDID].[].[20000982]_x000D_
[KEY_FIGURES].[].[ZINPUTSOFC]_x000D_
[LOCID].[].[0001003969]_x000D_
[PRDID].[].[20000982]_x000D_
[KEY_FIGURES].[].[ZFORECASTOPENOUTPUT]_x000D_
[LOCID].[].[0001003969]_x000D_
[PRDID].[].[20000982]_x000D_
[KEY_FIGURES].[].[ZACTUALSALES]_x000D_
[LOCID].[].[0001003969]_x000D_
[PRDID].[].[20000982]_x000D_
[KEY_FIGURES].[].[ZCONSENSUSDEMAND]_x000D_
[LOCID].[].[0001003969]_x000D_
[PRDID].[].[20000982]_x000D_
[KEY_FIGURES].[].[INDEPENDENTDEMAND]_x000D_
[LOCID].[].[0001003969]_x000D_
[PRDID].[].[20000983]_x000D_
[KEY_FIGURES].[].[ZCONSENSUSDEMANDQTY]_x000D_
[LOCID].[].[0001003969]_x000D_
[PRDID].[].[20000983]_x000D_
[KEY_FIGURES].[].[ZINPUTSOFC]_x000D_
[LOCID].[].[0001003969]_x000D_
[PRDID].[].[20000983]_x000D_
[KEY_FIGURES].[].[ZFORECASTOPENOUTPUT]_x000D_
[LOCID].[].[0001003969]_x000D_
[PRDID].[].[20000983]_x000D_
[KEY_FIGURES].[].[ZACTUALSALES]_x000D_
[LOCID].[].[0001003969]_x000D_
[PRDID].[].[20000983]_x000D_
[KEY_FIGURES].[].[ZCONSENSUSDEMAND]_x000D_
[LOCID].[].[0001003969]_x000D_
[PRDID].[].[20000983]_x000D_
[KEY_FIGURES].[].[INDEPENDENTDEMAND]_x000D_
[LOCID].[].[0001003969]_x000D_
[PRDID].[].[20000984]_x000D_
[KEY_FIGURES].[].[ZCONSENSUSDEMANDQTY]_x000D_
[LOCID].[].[0001003969]_x000D_
[PRDID].[].[20000984]_x000D_
[KEY_FIGURES].[].[ZINPUTSOFC]_x000D_
[LOCID].[].[0001003969]_x000D_
[PRDID].[].[20000984]_x000D_
[KEY_FIGURES].[].[ZFORECASTOPENOUTPUT]_x000D_
[LOCID].[].[0001003969]_x000D_
[PRDID].[].[20000984]_x000D_
[KEY_FIGURES].[].[ZACTUALSALES]_x000D_
[LOCID].[].[0001003969]_x000D_
[PRDID].[].[20000984]_x000D_
[KEY_FIGURES].[].[ZCONSENSUSDEMAND]_x000D_
[LOCID].[].[0001003969]_x000D_
[PRDID].[].[20000984]_x000D_
[KEY_FIGURES].[].[INDEPENDENTDEMAND]_x000D_
[LOCID].[].[0001003969]_x000D_
[PRDID].[].[20000985]_x000D_
[KEY_FIGURES].[].[ZCONSENSUSDEMANDQTY]_x000D_
[LOCID].[].[0001003969]_x000D_
[PRDID].[].[20000985]_x000D_
[KEY_FIGURES].[].[ZINPUTSOFC]_x000D_
[LOCID].[].[0001003969]_x000D_
[PRDID].[].[20000985]_x000D_
[KEY_FIGURES].[].[ZFORECASTOPENOUTPUT]_x000D_
[LOCID].[].[0001003969]_x000D_
[PRDID].[].[20000985]_x000D_
[KEY_FIGURES].[].[ZACTUALSALES]_x000D_
[LOCID].[].[0001003969]_x000D_
[PRDID].[].[20000985]_x000D_
[KEY_FIGURES].[].[ZCONSENSUSDEMAND]_x000D_
[LOCID].[].[0001003969]_x000D_
[PRDID].[].[20000985]_x000D_
[KEY_FIGURES].[].[INDEPENDENTDEMAND]_x000D_
[LOCID].[].[0001003969]_x000D_
[PRDID].[].[20000986]_x000D_
[KEY_FIGURES].[].[ZCONSENSUSDEMANDQTY]_x000D_
[LOCID].[].[0001003969]_x000D_
[PRDID].[].[20000986]_x000D_
[KEY_FIGURES].[].[ZINPUTSOFC]_x000D_
[LOCID].[].[0001003969]_x000D_
[PRDID].[].[20000986]_x000D_
[KEY_FIGURES].[].[ZFORECASTOPENOUTPUT]_x000D_
[LOCID].[].[0001003969]_x000D_
[PRDID].[].[20000986]_x000D_
[KEY_FIGURES].[].[ZACTUALSALES]_x000D_
[LOCID].[].[0001003969]_x000D_
[PRDID].[].[20000986]_x000D_
[KEY_FIGURES].[].[ZCONSENSUSDEMAND]_x000D_
[LOCID].[].[0001003969]_x000D_
[PRDID].[].[20000986]_x000D_
[KEY_FIGURES].[].[INDEPENDENTDEMAND]_x000D_
[LOCID].[].[0001003969]_x000D_
[PRDID].[].[20000987]_x000D_
[KEY_FIGURES].[].[ZCONSENSUSDEMANDQTY]_x000D_
[LOCID].[].[0001003969]_x000D_
[PRDID].[].[20000987]_x000D_
[KEY_FIGURES].[].[ZINPUTSOFC]_x000D_
[LOCID].[].[0001003969]_x000D_
[PRDID].[].[20000987]_x000D_
[KEY_FIGURES].[].[ZFORECASTOPENOUTPUT]_x000D_
[LOCID].[].[0001003969]_x000D_
[PRDID].[].[20000987]_x000D_
[KEY_FIGURES].[].[ZACTUALSALES]_x000D_
[LOCID].[].[0001003969]_x000D_
[PRDID].[].[20000987]_x000D_
[KEY_FIGURES].[].[ZCONSENSUSDEMAND]_x000D_
[LOCID].[].[0001003969]_x000D_
[PRDID].[].[20000987]_x000D_
[KEY_FIGURES].[].[INDEPENDENTDEMAND]_x000D_
[LOCID].[].[0001003969]_x000D_
[PRDID].[].[20000988]_x000D_
[KEY_FIGURES].[].[ZCONSENSUSDEMANDQTY]_x000D_
[LOCID].[].[0001003969]_x000D_
[PRDID].[].[20000988]_x000D_
[KEY_FIGURES].[].[ZINPUTSOFC]_x000D_
[LOCID].[].[0001003969]_x000D_
[PRDID].[].[20000988]_x000D_
[KEY_FIGURES].[].[ZFORECASTOPENOUTPUT]_x000D_
[LOCID].[].[0001003969]_x000D_
[PRDID].[].[20000988]_x000D_
[KEY_FIGURES].[].[ZACTUALSALES]_x000D_
[LOCID].[].[0001003969]_x000D_
[PRDID].[].[20000988]_x000D_
[KEY_FIGURES].[].[ZCONSENSUSDEMAND]_x000D_
[LOCID].[].[0001003969]_x000D_
[PRDID].[].[20000988]_x000D_
[KEY_FIGURES].[].[INDEPENDENTDEMAND]_x000D_
[LOCID].[].[0001003969]_x000D_
[PRDID].[].[20000989]_x000D_
[KEY_FIGURES].[].[ZCONSENSUSDEMANDQTY]_x000D_
[LOCID].[].[0001003969]_x000D_
[PRDID].[].[20000989]_x000D_
[KEY_FIGURES].[].[ZINPUTSOFC]_x000D_
[LOCID].[].[0001003969]_x000D_
[PRDID].[].[20000989]_x000D_
[KEY_FIGURES].[].[ZFORECASTOPENOUTPUT]_x000D_
[LOCID].[].[0001003969]_x000D_
[PRDID].[].[20000989]_x000D_
[KEY_FIGURES].[].[ZACTUALSALES]_x000D_
[LOCID].[].[0001003969]_x000D_
[PRDID].[].[20000989]_x000D_
[KEY_FIGURES].[].[ZCONSENSUSDEMAND]_x000D_
[LOCID].[].[0001003969]_x000D_
[PRDID].[].[20000989]_x000D_
[KEY_FIGURES].[].[INDEPENDENTDEMAND]_x000D_
[LOCID].[].[0001003969]_x000D_
[PRDID].[].[20000990]_x000D_
[KEY_FIGURES].[].[ZCONSENSUSDEMANDQTY]_x000D_
[LOCID].[].[0001003969]_x000D_
[PRDID].[].[20000990]_x000D_
[KEY_FIGURES].[].[ZINPUTSOFC]</t>
  </si>
  <si>
    <t>[LOCID].[].[0001003969]_x000D_
[PRDID].[].[20000990]_x000D_
[KEY_FIGURES].[].[ZFORECASTOPENOUTPUT]_x000D_
[LOCID].[].[0001003969]_x000D_
[PRDID].[].[20000990]_x000D_
[KEY_FIGURES].[].[ZACTUALSALES]_x000D_
[LOCID].[].[0001003969]_x000D_
[PRDID].[].[20000990]_x000D_
[KEY_FIGURES].[].[ZCONSENSUSDEMAND]_x000D_
[LOCID].[].[0001003969]_x000D_
[PRDID].[].[20000990]_x000D_
[KEY_FIGURES].[].[INDEPENDENTDEMAND]_x000D_
[LOCID].[].[0001003969]_x000D_
[PRDID].[].[20000991]_x000D_
[KEY_FIGURES].[].[ZCONSENSUSDEMANDQTY]_x000D_
[LOCID].[].[0001003969]_x000D_
[PRDID].[].[20000991]_x000D_
[KEY_FIGURES].[].[ZINPUTSOFC]_x000D_
[LOCID].[].[0001003969]_x000D_
[PRDID].[].[20000991]_x000D_
[KEY_FIGURES].[].[ZFORECASTOPENOUTPUT]_x000D_
[LOCID].[].[0001003969]_x000D_
[PRDID].[].[20000991]_x000D_
[KEY_FIGURES].[].[ZACTUALSALES]_x000D_
[LOCID].[].[0001003969]_x000D_
[PRDID].[].[20000991]_x000D_
[KEY_FIGURES].[].[ZCONSENSUSDEMAND]_x000D_
[LOCID].[].[0001003969]_x000D_
[PRDID].[].[20000991]_x000D_
[KEY_FIGURES].[].[INDEPENDENTDEMAND]_x000D_
[LOCID].[].[0001003969]_x000D_
[PRDID].[].[20000992]_x000D_
[KEY_FIGURES].[].[ZCONSENSUSDEMANDQTY]_x000D_
[LOCID].[].[0001003969]_x000D_
[PRDID].[].[20000992]_x000D_
[KEY_FIGURES].[].[ZINPUTSOFC]_x000D_
[LOCID].[].[0001003969]_x000D_
[PRDID].[].[20000992]_x000D_
[KEY_FIGURES].[].[ZFORECASTOPENOUTPUT]_x000D_
[LOCID].[].[0001003969]_x000D_
[PRDID].[].[20000992]_x000D_
[KEY_FIGURES].[].[ZACTUALSALES]_x000D_
[LOCID].[].[0001003969]_x000D_
[PRDID].[].[20000992]_x000D_
[KEY_FIGURES].[].[ZCONSENSUSDEMAND]_x000D_
[LOCID].[].[0001003969]_x000D_
[PRDID].[].[20000992]_x000D_
[KEY_FIGURES].[].[INDEPENDENTDEMAND]_x000D_
[LOCID].[].[0001003969]_x000D_
[PRDID].[].[20000993]_x000D_
[KEY_FIGURES].[].[ZCONSENSUSDEMANDQTY]_x000D_
[LOCID].[].[0001003969]_x000D_
[PRDID].[].[20000993]_x000D_
[KEY_FIGURES].[].[ZINPUTSOFC]_x000D_
[LOCID].[].[0001003969]_x000D_
[PRDID].[].[20000993]_x000D_
[KEY_FIGURES].[].[ZFORECASTOPENOUTPUT]_x000D_
[LOCID].[].[0001003969]_x000D_
[PRDID].[].[20000993]_x000D_
[KEY_FIGURES].[].[ZACTUALSALES]_x000D_
[LOCID].[].[0001003969]_x000D_
[PRDID].[].[20000993]_x000D_
[KEY_FIGURES].[].[ZCONSENSUSDEMAND]_x000D_
[LOCID].[].[0001003969]_x000D_
[PRDID].[].[20000993]_x000D_
[KEY_FIGURES].[].[INDEPENDENTDEMAND]_x000D_
[LOCID].[].[0001003969]_x000D_
[PRDID].[].[20000994]_x000D_
[KEY_FIGURES].[].[ZCONSENSUSDEMANDQTY]_x000D_
[LOCID].[].[0001003969]_x000D_
[PRDID].[].[20000994]_x000D_
[KEY_FIGURES].[].[ZINPUTSOFC]_x000D_
[LOCID].[].[0001003969]_x000D_
[PRDID].[].[20000994]_x000D_
[KEY_FIGURES].[].[ZFORECASTOPENOUTPUT]_x000D_
[LOCID].[].[0001003969]_x000D_
[PRDID].[].[20000994]_x000D_
[KEY_FIGURES].[].[ZACTUALSALES]_x000D_
[LOCID].[].[0001003969]_x000D_
[PRDID].[].[20000994]_x000D_
[KEY_FIGURES].[].[ZCONSENSUSDEMAND]_x000D_
[LOCID].[].[0001003969]_x000D_
[PRDID].[].[20000994]_x000D_
[KEY_FIGURES].[].[INDEPENDENTDEMAND]_x000D_
[LOCID].[].[0001003969]_x000D_
[PRDID].[].[20000995]_x000D_
[KEY_FIGURES].[].[ZCONSENSUSDEMANDQTY]_x000D_
[LOCID].[].[0001003969]_x000D_
[PRDID].[].[20000995]_x000D_
[KEY_FIGURES].[].[ZINPUTSOFC]_x000D_
[LOCID].[].[0001003969]_x000D_
[PRDID].[].[20000995]_x000D_
[KEY_FIGURES].[].[ZFORECASTOPENOUTPUT]_x000D_
[LOCID].[].[0001003969]_x000D_
[PRDID].[].[20000995]_x000D_
[KEY_FIGURES].[].[ZACTUALSALES]_x000D_
[LOCID].[].[0001003969]_x000D_
[PRDID].[].[20000995]_x000D_
[KEY_FIGURES].[].[ZCONSENSUSDEMAND]_x000D_
[LOCID].[].[0001003969]_x000D_
[PRDID].[].[20000995]_x000D_
[KEY_FIGURES].[].[INDEPENDENTDEMAND]_x000D_
[LOCID].[].[0001003969]_x000D_
[PRDID].[].[20000996]_x000D_
[KEY_FIGURES].[].[ZCONSENSUSDEMANDQTY]_x000D_
[LOCID].[].[0001003969]_x000D_
[PRDID].[].[20000996]_x000D_
[KEY_FIGURES].[].[ZINPUTSOFC]_x000D_
[LOCID].[].[0001003969]_x000D_
[PRDID].[].[20000996]_x000D_
[KEY_FIGURES].[].[ZFORECASTOPENOUTPUT]_x000D_
[LOCID].[].[0001003969]_x000D_
[PRDID].[].[20000996]_x000D_
[KEY_FIGURES].[].[ZACTUALSALES]_x000D_
[LOCID].[].[0001003969]_x000D_
[PRDID].[].[20000996]_x000D_
[KEY_FIGURES].[].[ZCONSENSUSDEMAND]_x000D_
[LOCID].[].[0001003969]_x000D_
[PRDID].[].[20000996]_x000D_
[KEY_FIGURES].[].[INDEPENDENTDEMAND]_x000D_
[LOCID].[].[0001003969]_x000D_
[PRDID].[].[20000997]_x000D_
[KEY_FIGURES].[].[ZCONSENSUSDEMANDQTY]_x000D_
[LOCID].[].[0001003969]_x000D_
[PRDID].[].[20000997]_x000D_
[KEY_FIGURES].[].[ZINPUTSOFC]_x000D_
[LOCID].[].[0001003969]_x000D_
[PRDID].[].[20000997]_x000D_
[KEY_FIGURES].[].[ZFORECASTOPENOUTPUT]_x000D_
[LOCID].[].[0001003969]_x000D_
[PRDID].[].[20000997]_x000D_
[KEY_FIGURES].[].[ZACTUALSALES]_x000D_
[LOCID].[].[0001003969]_x000D_
[PRDID].[].[20000997]_x000D_
[KEY_FIGURES].[].[ZCONSENSUSDEMAND]_x000D_
[LOCID].[].[0001003969]_x000D_
[PRDID].[].[20000997]_x000D_
[KEY_FIGURES].[].[INDEPENDENTDEMAND]_x000D_
[LOCID].[].[0001003969]_x000D_
[PRDID].[].[20000998]_x000D_
[KEY_FIGURES].[].[ZCONSENSUSDEMANDQTY]_x000D_
[LOCID].[].[0001003969]_x000D_
[PRDID].[].[20000998]_x000D_
[KEY_FIGURES].[].[ZINPUTSOFC]_x000D_
[LOCID].[].[0001003969]_x000D_
[PRDID].[].[20000998]_x000D_
[KEY_FIGURES].[].[ZFORECASTOPENOUTPUT]_x000D_
[LOCID].[].[0001003969]_x000D_
[PRDID].[].[20000998]_x000D_
[KEY_FIGURES].[].[ZACTUALSALES]_x000D_
[LOCID].[].[0001003969]_x000D_
[PRDID].[].[20000998]_x000D_
[KEY_FIGURES].[].[ZCONSENSUSDEMAND]_x000D_
[LOCID].[].[0001003969]_x000D_
[PRDID].[].[20000998]_x000D_
[KEY_FIGURES].[].[INDEPENDENTDEMAND]_x000D_
[LOCID].[].[0001003969]_x000D_
[PRDID].[].[20000999]_x000D_
[KEY_FIGURES].[].[ZCONSENSUSDEMANDQTY]_x000D_
[LOCID].[].[0001003969]_x000D_
[PRDID].[].[20000999]_x000D_
[KEY_FIGURES].[].[ZINPUTSOFC]_x000D_
[LOCID].[].[0001003969]_x000D_
[PRDID].[].[20000999]_x000D_
[KEY_FIGURES].[].[ZFORECASTOPENOUTPUT]_x000D_
[LOCID].[].[0001003969]_x000D_
[PRDID].[].[20000999]_x000D_
[KEY_FIGURES].[].[ZACTUALSALES]_x000D_
[LOCID].[].[0001003969]_x000D_
[PRDID].[].[20000999]_x000D_
[KEY_FIGURES].[].[ZCONSENSUSDEMAND]_x000D_
[LOCID].[].[0001003969]_x000D_
[PRDID].[].[20000999]_x000D_
[KEY_FIGURES].[].[INDEPENDENTDEMAND]_x000D_
[LOCID].[].[0001003969]_x000D_
[PRDID].[].[20001000]_x000D_
[KEY_FIGURES].[].[ZCONSENSUSDEMANDQTY]_x000D_
[LOCID].[].[0001003969]_x000D_
[PRDID].[].[20001000]_x000D_
[KEY_FIGURES].[].[ZINPUTSOFC]_x000D_
[LOCID].[].[0001003969]_x000D_
[PRDID].[].[20001000]_x000D_
[KEY_FIGURES].[].[ZFORECASTOPENOUTPUT]_x000D_
[LOCID].[].[0001003969]_x000D_
[PRDID].[].[20001000]_x000D_
[KEY_FIGURES].[].[ZACTUALSALES]_x000D_
[LOCID].[].[0001003969]_x000D_
[PRDID].[].[20001000]_x000D_
[KEY_FIGURES].[].[ZCONSENSUSDEMAND]_x000D_
[LOCID].[].[0001003969]_x000D_
[PRDID].[].[20001000]_x000D_
[KEY_FIGURES].[].[INDEPENDENTDEMAND]_x000D_
[LOCID].[].[0001003969]_x000D_
[PRDID].[].[20001001]_x000D_
[KEY_FIGURES].[].[ZCONSENSUSDEMANDQTY]_x000D_
[LOCID].[].[0001003969]_x000D_
[PRDID].[].[20001001]_x000D_
[KEY_FIGURES].[].[ZINPUTSOFC]_x000D_
[LOCID].[].[0001003969]_x000D_
[PRDID].[].[20001001]</t>
  </si>
  <si>
    <t>[KEY_FIGURES].[].[ZFORECASTOPENOUTPUT]_x000D_
[LOCID].[].[0001003969]_x000D_
[PRDID].[].[20001001]_x000D_
[KEY_FIGURES].[].[ZACTUALSALES]_x000D_
[LOCID].[].[0001003969]_x000D_
[PRDID].[].[20001001]_x000D_
[KEY_FIGURES].[].[ZCONSENSUSDEMAND]_x000D_
[LOCID].[].[0001003969]_x000D_
[PRDID].[].[20001001]_x000D_
[KEY_FIGURES].[].[INDEPENDENTDEMAND]_x000D_
[LOCID].[].[0001003969]_x000D_
[PRDID].[].[20001002]_x000D_
[KEY_FIGURES].[].[ZCONSENSUSDEMANDQTY]_x000D_
[LOCID].[].[0001003969]_x000D_
[PRDID].[].[20001002]_x000D_
[KEY_FIGURES].[].[ZINPUTSOFC]_x000D_
[LOCID].[].[0001003969]_x000D_
[PRDID].[].[20001002]_x000D_
[KEY_FIGURES].[].[ZFORECASTOPENOUTPUT]_x000D_
[LOCID].[].[0001003969]_x000D_
[PRDID].[].[20001002]_x000D_
[KEY_FIGURES].[].[ZACTUALSALES]_x000D_
[LOCID].[].[0001003969]_x000D_
[PRDID].[].[20001002]_x000D_
[KEY_FIGURES].[].[ZCONSENSUSDEMAND]_x000D_
[LOCID].[].[0001003969]_x000D_
[PRDID].[].[20001002]_x000D_
[KEY_FIGURES].[].[INDEPENDENTDEMAND]_x000D_
[LOCID].[].[0001003969]_x000D_
[PRDID].[].[20001003]_x000D_
[KEY_FIGURES].[].[ZCONSENSUSDEMANDQTY]_x000D_
[LOCID].[].[0001003969]_x000D_
[PRDID].[].[20001003]_x000D_
[KEY_FIGURES].[].[ZINPUTSOFC]_x000D_
[LOCID].[].[0001003969]_x000D_
[PRDID].[].[20001003]_x000D_
[KEY_FIGURES].[].[ZFORECASTOPENOUTPUT]_x000D_
[LOCID].[].[0001003969]_x000D_
[PRDID].[].[20001003]_x000D_
[KEY_FIGURES].[].[ZACTUALSALES]_x000D_
[LOCID].[].[0001003969]_x000D_
[PRDID].[].[20001003]_x000D_
[KEY_FIGURES].[].[ZCONSENSUSDEMAND]_x000D_
[LOCID].[].[0001003969]_x000D_
[PRDID].[].[20001003]_x000D_
[KEY_FIGURES].[].[INDEPENDENTDEMAND]_x000D_
[LOCID].[].[0001003969]_x000D_
[PRDID].[].[20001004]_x000D_
[KEY_FIGURES].[].[ZCONSENSUSDEMANDQTY]_x000D_
[LOCID].[].[0001003969]_x000D_
[PRDID].[].[20001004]_x000D_
[KEY_FIGURES].[].[ZINPUTSOFC]_x000D_
[LOCID].[].[0001003969]_x000D_
[PRDID].[].[20001004]_x000D_
[KEY_FIGURES].[].[ZFORECASTOPENOUTPUT]_x000D_
[LOCID].[].[0001003969]_x000D_
[PRDID].[].[20001004]_x000D_
[KEY_FIGURES].[].[ZACTUALSALES]_x000D_
[LOCID].[].[0001003969]_x000D_
[PRDID].[].[20001004]_x000D_
[KEY_FIGURES].[].[ZCONSENSUSDEMAND]_x000D_
[LOCID].[].[0001003969]_x000D_
[PRDID].[].[20001004]_x000D_
[KEY_FIGURES].[].[INDEPENDENTDEMAND]_x000D_
[LOCID].[].[0001003969]_x000D_
[PRDID].[].[20001005]_x000D_
[KEY_FIGURES].[].[ZCONSENSUSDEMANDQTY]_x000D_
[LOCID].[].[0001003969]_x000D_
[PRDID].[].[20001005]_x000D_
[KEY_FIGURES].[].[ZINPUTSOFC]_x000D_
[LOCID].[].[0001003969]_x000D_
[PRDID].[].[20001005]_x000D_
[KEY_FIGURES].[].[ZFORECASTOPENOUTPUT]_x000D_
[LOCID].[].[0001003969]_x000D_
[PRDID].[].[20001005]_x000D_
[KEY_FIGURES].[].[ZACTUALSALES]_x000D_
[LOCID].[].[0001003969]_x000D_
[PRDID].[].[20001005]_x000D_
[KEY_FIGURES].[].[ZCONSENSUSDEMAND]_x000D_
[LOCID].[].[0001003969]_x000D_
[PRDID].[].[20001005]_x000D_
[KEY_FIGURES].[].[INDEPENDENTDEMAND]_x000D_
[LOCID].[].[0001003969]_x000D_
[PRDID].[].[20001006]_x000D_
[KEY_FIGURES].[].[ZCONSENSUSDEMANDQTY]_x000D_
[LOCID].[].[0001003969]_x000D_
[PRDID].[].[20001006]_x000D_
[KEY_FIGURES].[].[ZINPUTSOFC]_x000D_
[LOCID].[].[0001003969]_x000D_
[PRDID].[].[20001006]_x000D_
[KEY_FIGURES].[].[ZFORECASTOPENOUTPUT]_x000D_
[LOCID].[].[0001003969]_x000D_
[PRDID].[].[20001006]_x000D_
[KEY_FIGURES].[].[ZACTUALSALES]_x000D_
[LOCID].[].[0001003969]_x000D_
[PRDID].[].[20001006]_x000D_
[KEY_FIGURES].[].[ZCONSENSUSDEMAND]_x000D_
[LOCID].[].[0001003969]_x000D_
[PRDID].[].[20001006]_x000D_
[KEY_FIGURES].[].[INDEPENDENTDEMAND]_x000D_
[LOCID].[].[0001003969]_x000D_
[PRDID].[].[20001007]_x000D_
[KEY_FIGURES].[].[ZCONSENSUSDEMANDQTY]_x000D_
[LOCID].[].[0001003969]_x000D_
[PRDID].[].[20001007]_x000D_
[KEY_FIGURES].[].[ZINPUTSOFC]_x000D_
[LOCID].[].[0001003969]_x000D_
[PRDID].[].[20001007]_x000D_
[KEY_FIGURES].[].[ZFORECASTOPENOUTPUT]_x000D_
[LOCID].[].[0001003969]_x000D_
[PRDID].[].[20001007]_x000D_
[KEY_FIGURES].[].[ZACTUALSALES]_x000D_
[LOCID].[].[0001003969]_x000D_
[PRDID].[].[20001007]_x000D_
[KEY_FIGURES].[].[ZCONSENSUSDEMAND]_x000D_
[LOCID].[].[0001003969]_x000D_
[PRDID].[].[20001007]_x000D_
[KEY_FIGURES].[].[INDEPENDENTDEMAND]_x000D_
[LOCID].[].[0001003969]_x000D_
[PRDID].[].[20001008]_x000D_
[KEY_FIGURES].[].[ZCONSENSUSDEMANDQTY]_x000D_
[LOCID].[].[0001003969]_x000D_
[PRDID].[].[20001008]_x000D_
[KEY_FIGURES].[].[ZINPUTSOFC]_x000D_
[LOCID].[].[0001003969]_x000D_
[PRDID].[].[20001008]_x000D_
[KEY_FIGURES].[].[ZFORECASTOPENOUTPUT]_x000D_
[LOCID].[].[0001003969]_x000D_
[PRDID].[].[20001008]_x000D_
[KEY_FIGURES].[].[ZACTUALSALES]_x000D_
[LOCID].[].[0001003969]_x000D_
[PRDID].[].[20001008]_x000D_
[KEY_FIGURES].[].[ZCONSENSUSDEMAND]_x000D_
[LOCID].[].[0001003969]_x000D_
[PRDID].[].[20001008]_x000D_
[KEY_FIGURES].[].[INDEPENDENTDEMAND]_x000D_
[LOCID].[].[0001003969]_x000D_
[PRDID].[].[20001009]_x000D_
[KEY_FIGURES].[].[ZCONSENSUSDEMANDQTY]_x000D_
[LOCID].[].[0001003969]_x000D_
[PRDID].[].[20001009]_x000D_
[KEY_FIGURES].[].[ZINPUTSOFC]_x000D_
[LOCID].[].[0001003969]_x000D_
[PRDID].[].[20001009]_x000D_
[KEY_FIGURES].[].[ZFORECASTOPENOUTPUT]_x000D_
[LOCID].[].[0001003969]_x000D_
[PRDID].[].[20001009]_x000D_
[KEY_FIGURES].[].[ZACTUALSALES]_x000D_
[LOCID].[].[0001003969]_x000D_
[PRDID].[].[20001009]_x000D_
[KEY_FIGURES].[].[ZCONSENSUSDEMAND]_x000D_
[LOCID].[].[0001003969]_x000D_
[PRDID].[].[20001009]_x000D_
[KEY_FIGURES].[].[INDEPENDENTDEMAND]_x000D_
[LOCID].[].[0001003969]_x000D_
[PRDID].[].[20001010]_x000D_
[KEY_FIGURES].[].[ZCONSENSUSDEMANDQTY]_x000D_
[LOCID].[].[0001003969]_x000D_
[PRDID].[].[20001010]_x000D_
[KEY_FIGURES].[].[ZINPUTSOFC]_x000D_
[LOCID].[].[0001003969]_x000D_
[PRDID].[].[20001010]_x000D_
[KEY_FIGURES].[].[ZFORECASTOPENOUTPUT]_x000D_
[LOCID].[].[0001003969]_x000D_
[PRDID].[].[20001010]_x000D_
[KEY_FIGURES].[].[ZACTUALSALES]_x000D_
[LOCID].[].[0001003969]_x000D_
[PRDID].[].[20001010]_x000D_
[KEY_FIGURES].[].[ZCONSENSUSDEMAND]_x000D_
[LOCID].[].[0001003969]_x000D_
[PRDID].[].[20001010]_x000D_
[KEY_FIGURES].[].[INDEPENDENTDEMAND]_x000D_
[LOCID].[].[0001003969]_x000D_
[PRDID].[].[20001011]_x000D_
[KEY_FIGURES].[].[ZCONSENSUSDEMANDQTY]_x000D_
[LOCID].[].[0001003969]_x000D_
[PRDID].[].[20001011]_x000D_
[KEY_FIGURES].[].[ZINPUTSOFC]_x000D_
[LOCID].[].[0001003969]_x000D_
[PRDID].[].[20001011]_x000D_
[KEY_FIGURES].[].[ZFORECASTOPENOUTPUT]_x000D_
[LOCID].[].[0001003969]_x000D_
[PRDID].[].[20001011]_x000D_
[KEY_FIGURES].[].[ZACTUALSALES]_x000D_
[LOCID].[].[0001003969]_x000D_
[PRDID].[].[20001011]_x000D_
[KEY_FIGURES].[].[ZCONSENSUSDEMAND]_x000D_
[LOCID].[].[0001003969]_x000D_
[PRDID].[].[20001011]_x000D_
[KEY_FIGURES].[].[INDEPENDENTDEMAND]_x000D_
[LOCID].[].[0001003969]_x000D_
[PRDID].[].[20001033]_x000D_
[KEY_FIGURES].[].[ZCONSENSUSDEMANDQTY]_x000D_
[LOCID].[].[0001003969]_x000D_
[PRDID].[].[20001033]_x000D_
[KEY_FIGURES].[].[ZINPUTSOFC]_x000D_
[LOCID].[].[0001003969]_x000D_
[PRDID].[].[20001033]_x000D_
[KEY_FIGURES].[].[ZFORECASTOPENOUTPUT]_x000D_
[LOCID].[].[0001003969]</t>
  </si>
  <si>
    <t>[PRDID].[].[20001033]_x000D_
[KEY_FIGURES].[].[ZACTUALSALES]_x000D_
[LOCID].[].[0001003969]_x000D_
[PRDID].[].[20001033]_x000D_
[KEY_FIGURES].[].[ZCONSENSUSDEMAND]_x000D_
[LOCID].[].[0001003969]_x000D_
[PRDID].[].[20001033]_x000D_
[KEY_FIGURES].[].[INDEPENDENTDEMAND]_x000D_
[LOCID].[].[0001003969]_x000D_
[PRDID].[].[20001034]_x000D_
[KEY_FIGURES].[].[ZCONSENSUSDEMANDQTY]_x000D_
[LOCID].[].[0001003969]_x000D_
[PRDID].[].[20001034]_x000D_
[KEY_FIGURES].[].[ZINPUTSOFC]_x000D_
[LOCID].[].[0001003969]_x000D_
[PRDID].[].[20001034]_x000D_
[KEY_FIGURES].[].[ZFORECASTOPENOUTPUT]_x000D_
[LOCID].[].[0001003969]_x000D_
[PRDID].[].[20001034]_x000D_
[KEY_FIGURES].[].[ZACTUALSALES]_x000D_
[LOCID].[].[0001003969]_x000D_
[PRDID].[].[20001034]_x000D_
[KEY_FIGURES].[].[ZCONSENSUSDEMAND]_x000D_
[LOCID].[].[0001003969]_x000D_
[PRDID].[].[20001034]_x000D_
[KEY_FIGURES].[].[INDEPENDENTDEMAND]_x000D_
[LOCID].[].[0001003969]_x000D_
[PRDID].[].[20001035]_x000D_
[KEY_FIGURES].[].[ZCONSENSUSDEMANDQTY]_x000D_
[LOCID].[].[0001003969]_x000D_
[PRDID].[].[20001035]_x000D_
[KEY_FIGURES].[].[ZINPUTSOFC]_x000D_
[LOCID].[].[0001003969]_x000D_
[PRDID].[].[20001035]_x000D_
[KEY_FIGURES].[].[ZFORECASTOPENOUTPUT]_x000D_
[LOCID].[].[0001003969]_x000D_
[PRDID].[].[20001035]_x000D_
[KEY_FIGURES].[].[ZACTUALSALES]_x000D_
[LOCID].[].[0001003969]_x000D_
[PRDID].[].[20001035]_x000D_
[KEY_FIGURES].[].[ZCONSENSUSDEMAND]_x000D_
[LOCID].[].[0001003969]_x000D_
[PRDID].[].[20001035]_x000D_
[KEY_FIGURES].[].[INDEPENDENTDEMAND]_x000D_
[LOCID].[].[0001003969]_x000D_
[PRDID].[].[20001036]_x000D_
[KEY_FIGURES].[].[ZCONSENSUSDEMANDQTY]_x000D_
[LOCID].[].[0001003969]_x000D_
[PRDID].[].[20001036]_x000D_
[KEY_FIGURES].[].[ZINPUTSOFC]_x000D_
[LOCID].[].[0001003969]_x000D_
[PRDID].[].[20001036]_x000D_
[KEY_FIGURES].[].[ZFORECASTOPENOUTPUT]_x000D_
[LOCID].[].[0001003969]_x000D_
[PRDID].[].[20001036]_x000D_
[KEY_FIGURES].[].[ZACTUALSALES]_x000D_
[LOCID].[].[0001003969]_x000D_
[PRDID].[].[20001036]_x000D_
[KEY_FIGURES].[].[ZCONSENSUSDEMAND]_x000D_
[LOCID].[].[0001003969]_x000D_
[PRDID].[].[20001036]_x000D_
[KEY_FIGURES].[].[INDEPENDENTDEMAND]_x000D_
[LOCID].[].[0001003969]_x000D_
[PRDID].[].[20001060]_x000D_
[KEY_FIGURES].[].[ZCONSENSUSDEMANDQTY]_x000D_
[LOCID].[].[0001003969]_x000D_
[PRDID].[].[20001060]_x000D_
[KEY_FIGURES].[].[ZINPUTSOFC]_x000D_
[LOCID].[].[0001003969]_x000D_
[PRDID].[].[20001060]_x000D_
[KEY_FIGURES].[].[ZFORECASTOPENOUTPUT]_x000D_
[LOCID].[].[0001003969]_x000D_
[PRDID].[].[20001060]_x000D_
[KEY_FIGURES].[].[ZACTUALSALES]_x000D_
[LOCID].[].[0001003969]_x000D_
[PRDID].[].[20001060]_x000D_
[KEY_FIGURES].[].[ZCONSENSUSDEMAND]_x000D_
[LOCID].[].[0001003969]_x000D_
[PRDID].[].[20001060]_x000D_
[KEY_FIGURES].[].[INDEPENDENTDEMAND]_x000D_
[LOCID].[].[0001003971]_x000D_
[PRDID].[].[20001115]_x000D_
[KEY_FIGURES].[].[ZCONSENSUSDEMANDQTY]_x000D_
[LOCID].[].[0001003971]_x000D_
[PRDID].[].[20001115]_x000D_
[KEY_FIGURES].[].[ZINPUTSOFC]_x000D_
[LOCID].[].[0001003971]_x000D_
[PRDID].[].[20001115]_x000D_
[KEY_FIGURES].[].[ZFORECASTOPENOUTPUT]_x000D_
[LOCID].[].[0001003971]_x000D_
[PRDID].[].[20001115]_x000D_
[KEY_FIGURES].[].[ZACTUALSALES]_x000D_
[LOCID].[].[0001003971]_x000D_
[PRDID].[].[20001115]_x000D_
[KEY_FIGURES].[].[ZCONSENSUSDEMAND]_x000D_
[LOCID].[].[0001003971]_x000D_
[PRDID].[].[20001115]_x000D_
[KEY_FIGURES].[].[INDEPENDENTDEMAND]_x000D_
[LOCID].[].[0001003971]_x000D_
[PRDID].[].[20001124]_x000D_
[KEY_FIGURES].[].[ZCONSENSUSDEMANDQTY]_x000D_
[LOCID].[].[0001003971]_x000D_
[PRDID].[].[20001124]_x000D_
[KEY_FIGURES].[].[ZINPUTSOFC]_x000D_
[LOCID].[].[0001003971]_x000D_
[PRDID].[].[20001124]_x000D_
[KEY_FIGURES].[].[ZFORECASTOPENOUTPUT]_x000D_
[LOCID].[].[0001003971]_x000D_
[PRDID].[].[20001124]_x000D_
[KEY_FIGURES].[].[ZACTUALSALES]_x000D_
[LOCID].[].[0001003971]_x000D_
[PRDID].[].[20001124]_x000D_
[KEY_FIGURES].[].[ZCONSENSUSDEMAND]_x000D_
[LOCID].[].[0001003971]_x000D_
[PRDID].[].[20001124]_x000D_
[KEY_FIGURES].[].[INDEPENDENTDEMAND]_x000D_
[LOCID].[].[0001003971]_x000D_
[PRDID].[].[20001126]_x000D_
[KEY_FIGURES].[].[ZCONSENSUSDEMANDQTY]_x000D_
[LOCID].[].[0001003971]_x000D_
[PRDID].[].[20001126]_x000D_
[KEY_FIGURES].[].[ZINPUTSOFC]_x000D_
[LOCID].[].[0001003971]_x000D_
[PRDID].[].[20001126]_x000D_
[KEY_FIGURES].[].[ZFORECASTOPENOUTPUT]_x000D_
[LOCID].[].[0001003971]_x000D_
[PRDID].[].[20001126]_x000D_
[KEY_FIGURES].[].[ZACTUALSALES]_x000D_
[LOCID].[].[0001003971]_x000D_
[PRDID].[].[20001126]_x000D_
[KEY_FIGURES].[].[ZCONSENSUSDEMAND]_x000D_
[LOCID].[].[0001003971]_x000D_
[PRDID].[].[20001126]_x000D_
[KEY_FIGURES].[].[INDEPENDENTDEMAND]_x000D_
[LOCID].[].[0001003985]_x000D_
[PRDID].[].[20000001]_x000D_
[KEY_FIGURES].[].[ZCONSENSUSDEMANDQTY]_x000D_
[LOCID].[].[0001003985]_x000D_
[PRDID].[].[20000001]_x000D_
[KEY_FIGURES].[].[ZINPUTSOFC]_x000D_
[LOCID].[].[0001003985]_x000D_
[PRDID].[].[20000001]_x000D_
[KEY_FIGURES].[].[ZFORECASTOPENOUTPUT]_x000D_
[LOCID].[].[0001003985]_x000D_
[PRDID].[].[20000001]_x000D_
[KEY_FIGURES].[].[ZACTUALSALES]_x000D_
[LOCID].[].[0001003985]_x000D_
[PRDID].[].[20000001]_x000D_
[KEY_FIGURES].[].[ZCONSENSUSDEMAND]_x000D_
[LOCID].[].[0001003985]_x000D_
[PRDID].[].[20000001]_x000D_
[KEY_FIGURES].[].[INDEPENDENTDEMAND]_x000D_
[LOCID].[].[0001003985]_x000D_
[PRDID].[].[20000133]_x000D_
[KEY_FIGURES].[].[ZCONSENSUSDEMANDQTY]_x000D_
[LOCID].[].[0001003985]_x000D_
[PRDID].[].[20000133]_x000D_
[KEY_FIGURES].[].[ZINPUTSOFC]_x000D_
[LOCID].[].[0001003985]_x000D_
[PRDID].[].[20000133]_x000D_
[KEY_FIGURES].[].[ZFORECASTOPENOUTPUT]_x000D_
[LOCID].[].[0001003985]_x000D_
[PRDID].[].[20000133]_x000D_
[KEY_FIGURES].[].[ZACTUALSALES]_x000D_
[LOCID].[].[0001003985]_x000D_
[PRDID].[].[20000133]_x000D_
[KEY_FIGURES].[].[ZCONSENSUSDEMAND]_x000D_
[LOCID].[].[0001003985]_x000D_
[PRDID].[].[20000133]_x000D_
[KEY_FIGURES].[].[INDEPENDENTDEMAND]_x000D_
[LOCID].[].[0001003985]_x000D_
[PRDID].[].[20000174]_x000D_
[KEY_FIGURES].[].[ZCONSENSUSDEMANDQTY]_x000D_
[LOCID].[].[0001003985]_x000D_
[PRDID].[].[20000174]_x000D_
[KEY_FIGURES].[].[ZINPUTSOFC]_x000D_
[LOCID].[].[0001003985]_x000D_
[PRDID].[].[20000174]_x000D_
[KEY_FIGURES].[].[ZFORECASTOPENOUTPUT]_x000D_
[LOCID].[].[0001003985]_x000D_
[PRDID].[].[20000174]_x000D_
[KEY_FIGURES].[].[ZACTUALSALES]_x000D_
[LOCID].[].[0001003985]_x000D_
[PRDID].[].[20000174]_x000D_
[KEY_FIGURES].[].[ZCONSENSUSDEMAND]_x000D_
[LOCID].[].[0001003985]_x000D_
[PRDID].[].[20000174]_x000D_
[KEY_FIGURES].[].[INDEPENDENTDEMAND]_x000D_
[LOCID].[].[0001003985]_x000D_
[PRDID].[].[20000175]_x000D_
[KEY_FIGURES].[].[ZCONSENSUSDEMANDQTY]_x000D_
[LOCID].[].[0001003985]_x000D_
[PRDID].[].[20000175]_x000D_
[KEY_FIGURES].[].[ZINPUTSOFC]_x000D_
[LOCID].[].[0001003985]_x000D_
[PRDID].[].[20000175]_x000D_
[KEY_FIGURES].[].[ZFORECASTOPENOUTPUT]_x000D_
[LOCID].[].[0001003985]_x000D_
[PRDID].[].[20000175]_x000D_
[KEY_FIGURES].[].[ZACTUALSALES]</t>
  </si>
  <si>
    <t>[LOCID].[].[0001003985]_x000D_
[PRDID].[].[20000175]_x000D_
[KEY_FIGURES].[].[ZCONSENSUSDEMAND]_x000D_
[LOCID].[].[0001003985]_x000D_
[PRDID].[].[20000175]_x000D_
[KEY_FIGURES].[].[INDEPENDENTDEMAND]_x000D_
[LOCID].[].[0001003985]_x000D_
[PRDID].[].[20000176]_x000D_
[KEY_FIGURES].[].[ZCONSENSUSDEMANDQTY]_x000D_
[LOCID].[].[0001003985]_x000D_
[PRDID].[].[20000176]_x000D_
[KEY_FIGURES].[].[ZINPUTSOFC]_x000D_
[LOCID].[].[0001003985]_x000D_
[PRDID].[].[20000176]_x000D_
[KEY_FIGURES].[].[ZFORECASTOPENOUTPUT]_x000D_
[LOCID].[].[0001003985]_x000D_
[PRDID].[].[20000176]_x000D_
[KEY_FIGURES].[].[ZACTUALSALES]_x000D_
[LOCID].[].[0001003985]_x000D_
[PRDID].[].[20000176]_x000D_
[KEY_FIGURES].[].[ZCONSENSUSDEMAND]_x000D_
[LOCID].[].[0001003985]_x000D_
[PRDID].[].[20000176]_x000D_
[KEY_FIGURES].[].[INDEPENDENTDEMAND]_x000D_
[LOCID].[].[0001003985]_x000D_
[PRDID].[].[20000181]_x000D_
[KEY_FIGURES].[].[ZCONSENSUSDEMANDQTY]_x000D_
[LOCID].[].[0001003985]_x000D_
[PRDID].[].[20000181]_x000D_
[KEY_FIGURES].[].[ZINPUTSOFC]_x000D_
[LOCID].[].[0001003985]_x000D_
[PRDID].[].[20000181]_x000D_
[KEY_FIGURES].[].[ZFORECASTOPENOUTPUT]_x000D_
[LOCID].[].[0001003985]_x000D_
[PRDID].[].[20000181]_x000D_
[KEY_FIGURES].[].[ZACTUALSALES]_x000D_
[LOCID].[].[0001003985]_x000D_
[PRDID].[].[20000181]_x000D_
[KEY_FIGURES].[].[ZCONSENSUSDEMAND]_x000D_
[LOCID].[].[0001003985]_x000D_
[PRDID].[].[20000181]_x000D_
[KEY_FIGURES].[].[INDEPENDENTDEMAND]_x000D_
[LOCID].[].[0001003985]_x000D_
[PRDID].[].[20000643]_x000D_
[KEY_FIGURES].[].[ZCONSENSUSDEMANDQTY]_x000D_
[LOCID].[].[0001003985]_x000D_
[PRDID].[].[20000643]_x000D_
[KEY_FIGURES].[].[ZINPUTSOFC]_x000D_
[LOCID].[].[0001003985]_x000D_
[PRDID].[].[20000643]_x000D_
[KEY_FIGURES].[].[ZFORECASTOPENOUTPUT]_x000D_
[LOCID].[].[0001003985]_x000D_
[PRDID].[].[20000643]_x000D_
[KEY_FIGURES].[].[ZACTUALSALES]_x000D_
[LOCID].[].[0001003985]_x000D_
[PRDID].[].[20000643]_x000D_
[KEY_FIGURES].[].[ZCONSENSUSDEMAND]_x000D_
[LOCID].[].[0001003985]_x000D_
[PRDID].[].[20000643]_x000D_
[KEY_FIGURES].[].[INDEPENDENTDEMAND]_x000D_
[LOCID].[].[0001003985]_x000D_
[PRDID].[].[20000644]_x000D_
[KEY_FIGURES].[].[ZCONSENSUSDEMANDQTY]_x000D_
[LOCID].[].[0001003985]_x000D_
[PRDID].[].[20000644]_x000D_
[KEY_FIGURES].[].[ZINPUTSOFC]_x000D_
[LOCID].[].[0001003985]_x000D_
[PRDID].[].[20000644]_x000D_
[KEY_FIGURES].[].[ZFORECASTOPENOUTPUT]_x000D_
[LOCID].[].[0001003985]_x000D_
[PRDID].[].[20000644]_x000D_
[KEY_FIGURES].[].[ZACTUALSALES]_x000D_
[LOCID].[].[0001003985]_x000D_
[PRDID].[].[20000644]_x000D_
[KEY_FIGURES].[].[ZCONSENSUSDEMAND]_x000D_
[LOCID].[].[0001003985]_x000D_
[PRDID].[].[20000644]_x000D_
[KEY_FIGURES].[].[INDEPENDENTDEMAND]_x000D_
[LOCID].[].[0001003985]_x000D_
[PRDID].[].[20000645]_x000D_
[KEY_FIGURES].[].[ZCONSENSUSDEMANDQTY]_x000D_
[LOCID].[].[0001003985]_x000D_
[PRDID].[].[20000645]_x000D_
[KEY_FIGURES].[].[ZINPUTSOFC]_x000D_
[LOCID].[].[0001003985]_x000D_
[PRDID].[].[20000645]_x000D_
[KEY_FIGURES].[].[ZFORECASTOPENOUTPUT]_x000D_
[LOCID].[].[0001003985]_x000D_
[PRDID].[].[20000645]_x000D_
[KEY_FIGURES].[].[ZACTUALSALES]_x000D_
[LOCID].[].[0001003985]_x000D_
[PRDID].[].[20000645]_x000D_
[KEY_FIGURES].[].[ZCONSENSUSDEMAND]_x000D_
[LOCID].[].[0001003985]_x000D_
[PRDID].[].[20000645]_x000D_
[KEY_FIGURES].[].[INDEPENDENTDEMAND]_x000D_
[LOCID].[].[0001003985]_x000D_
[PRDID].[].[20000646]_x000D_
[KEY_FIGURES].[].[ZCONSENSUSDEMANDQTY]_x000D_
[LOCID].[].[0001003985]_x000D_
[PRDID].[].[20000646]_x000D_
[KEY_FIGURES].[].[ZINPUTSOFC]_x000D_
[LOCID].[].[0001003985]_x000D_
[PRDID].[].[20000646]_x000D_
[KEY_FIGURES].[].[ZFORECASTOPENOUTPUT]_x000D_
[LOCID].[].[0001003985]_x000D_
[PRDID].[].[20000646]_x000D_
[KEY_FIGURES].[].[ZACTUALSALES]_x000D_
[LOCID].[].[0001003985]_x000D_
[PRDID].[].[20000646]_x000D_
[KEY_FIGURES].[].[ZCONSENSUSDEMAND]_x000D_
[LOCID].[].[0001003985]_x000D_
[PRDID].[].[20000646]_x000D_
[KEY_FIGURES].[].[INDEPENDENTDEMAND]_x000D_
[LOCID].[].[0001003985]_x000D_
[PRDID].[].[20000647]_x000D_
[KEY_FIGURES].[].[ZCONSENSUSDEMANDQTY]_x000D_
[LOCID].[].[0001003985]_x000D_
[PRDID].[].[20000647]_x000D_
[KEY_FIGURES].[].[ZINPUTSOFC]_x000D_
[LOCID].[].[0001003985]_x000D_
[PRDID].[].[20000647]_x000D_
[KEY_FIGURES].[].[ZFORECASTOPENOUTPUT]_x000D_
[LOCID].[].[0001003985]_x000D_
[PRDID].[].[20000647]_x000D_
[KEY_FIGURES].[].[ZACTUALSALES]_x000D_
[LOCID].[].[0001003985]_x000D_
[PRDID].[].[20000647]_x000D_
[KEY_FIGURES].[].[ZCONSENSUSDEMAND]_x000D_
[LOCID].[].[0001003985]_x000D_
[PRDID].[].[20000647]_x000D_
[KEY_FIGURES].[].[INDEPENDENTDEMAND]_x000D_
[LOCID].[].[0001003985]_x000D_
[PRDID].[].[20000648]_x000D_
[KEY_FIGURES].[].[ZCONSENSUSDEMANDQTY]_x000D_
[LOCID].[].[0001003985]_x000D_
[PRDID].[].[20000648]_x000D_
[KEY_FIGURES].[].[ZINPUTSOFC]_x000D_
[LOCID].[].[0001003985]_x000D_
[PRDID].[].[20000648]_x000D_
[KEY_FIGURES].[].[ZFORECASTOPENOUTPUT]_x000D_
[LOCID].[].[0001003985]_x000D_
[PRDID].[].[20000648]_x000D_
[KEY_FIGURES].[].[ZACTUALSALES]_x000D_
[LOCID].[].[0001003985]_x000D_
[PRDID].[].[20000648]_x000D_
[KEY_FIGURES].[].[ZCONSENSUSDEMAND]_x000D_
[LOCID].[].[0001003985]_x000D_
[PRDID].[].[20000648]_x000D_
[KEY_FIGURES].[].[INDEPENDENTDEMAND]_x000D_
[LOCID].[].[0001003985]_x000D_
[PRDID].[].[20000649]_x000D_
[KEY_FIGURES].[].[ZCONSENSUSDEMANDQTY]_x000D_
[LOCID].[].[0001003985]_x000D_
[PRDID].[].[20000649]_x000D_
[KEY_FIGURES].[].[ZINPUTSOFC]_x000D_
[LOCID].[].[0001003985]_x000D_
[PRDID].[].[20000649]_x000D_
[KEY_FIGURES].[].[ZFORECASTOPENOUTPUT]_x000D_
[LOCID].[].[0001003985]_x000D_
[PRDID].[].[20000649]_x000D_
[KEY_FIGURES].[].[ZACTUALSALES]_x000D_
[LOCID].[].[0001003985]_x000D_
[PRDID].[].[20000649]_x000D_
[KEY_FIGURES].[].[ZCONSENSUSDEMAND]_x000D_
[LOCID].[].[0001003985]_x000D_
[PRDID].[].[20000649]_x000D_
[KEY_FIGURES].[].[INDEPENDENTDEMAND]_x000D_
[LOCID].[].[0001003985]_x000D_
[PRDID].[].[20000650]_x000D_
[KEY_FIGURES].[].[ZCONSENSUSDEMANDQTY]_x000D_
[LOCID].[].[0001003985]_x000D_
[PRDID].[].[20000650]_x000D_
[KEY_FIGURES].[].[ZINPUTSOFC]_x000D_
[LOCID].[].[0001003985]_x000D_
[PRDID].[].[20000650]_x000D_
[KEY_FIGURES].[].[ZFORECASTOPENOUTPUT]_x000D_
[LOCID].[].[0001003985]_x000D_
[PRDID].[].[20000650]_x000D_
[KEY_FIGURES].[].[ZACTUALSALES]_x000D_
[LOCID].[].[0001003985]_x000D_
[PRDID].[].[20000650]_x000D_
[KEY_FIGURES].[].[ZCONSENSUSDEMAND]_x000D_
[LOCID].[].[0001003985]_x000D_
[PRDID].[].[20000650]_x000D_
[KEY_FIGURES].[].[INDEPENDENTDEMAND]_x000D_
[LOCID].[].[0001003985]_x000D_
[PRDID].[].[20000651]_x000D_
[KEY_FIGURES].[].[ZCONSENSUSDEMANDQTY]_x000D_
[LOCID].[].[0001003985]_x000D_
[PRDID].[].[20000651]_x000D_
[KEY_FIGURES].[].[ZINPUTSOFC]_x000D_
[LOCID].[].[0001003985]_x000D_
[PRDID].[].[20000651]_x000D_
[KEY_FIGURES].[].[ZFORECASTOPENOUTPUT]_x000D_
[LOCID].[].[0001003985]_x000D_
[PRDID].[].[20000651]_x000D_
[KEY_FIGURES].[].[ZACTUALSALES]_x000D_
[LOCID].[].[0001003985]_x000D_
[PRDID].[].[20000651]</t>
  </si>
  <si>
    <t>[KEY_FIGURES].[].[ZCONSENSUSDEMAND]_x000D_
[LOCID].[].[0001003985]_x000D_
[PRDID].[].[20000651]_x000D_
[KEY_FIGURES].[].[INDEPENDENTDEMAND]_x000D_
[LOCID].[].[0001003985]_x000D_
[PRDID].[].[20000656]_x000D_
[KEY_FIGURES].[].[ZCONSENSUSDEMANDQTY]_x000D_
[LOCID].[].[0001003985]_x000D_
[PRDID].[].[20000656]_x000D_
[KEY_FIGURES].[].[ZINPUTSOFC]_x000D_
[LOCID].[].[0001003985]_x000D_
[PRDID].[].[20000656]_x000D_
[KEY_FIGURES].[].[ZFORECASTOPENOUTPUT]_x000D_
[LOCID].[].[0001003985]_x000D_
[PRDID].[].[20000656]_x000D_
[KEY_FIGURES].[].[ZACTUALSALES]_x000D_
[LOCID].[].[0001003985]_x000D_
[PRDID].[].[20000656]_x000D_
[KEY_FIGURES].[].[ZCONSENSUSDEMAND]_x000D_
[LOCID].[].[0001003985]_x000D_
[PRDID].[].[20000656]_x000D_
[KEY_FIGURES].[].[INDEPENDENTDEMAND]_x000D_
[LOCID].[].[0001003985]_x000D_
[PRDID].[].[20000684]_x000D_
[KEY_FIGURES].[].[ZCONSENSUSDEMANDQTY]_x000D_
[LOCID].[].[0001003985]_x000D_
[PRDID].[].[20000684]_x000D_
[KEY_FIGURES].[].[ZINPUTSOFC]_x000D_
[LOCID].[].[0001003985]_x000D_
[PRDID].[].[20000684]_x000D_
[KEY_FIGURES].[].[ZFORECASTOPENOUTPUT]_x000D_
[LOCID].[].[0001003985]_x000D_
[PRDID].[].[20000684]_x000D_
[KEY_FIGURES].[].[ZACTUALSALES]_x000D_
[LOCID].[].[0001003985]_x000D_
[PRDID].[].[20000684]_x000D_
[KEY_FIGURES].[].[ZCONSENSUSDEMAND]_x000D_
[LOCID].[].[0001003985]_x000D_
[PRDID].[].[20000684]_x000D_
[KEY_FIGURES].[].[INDEPENDENTDEMAND]_x000D_
[LOCID].[].[0001003985]_x000D_
[PRDID].[].[20000685]_x000D_
[KEY_FIGURES].[].[ZCONSENSUSDEMANDQTY]_x000D_
[LOCID].[].[0001003985]_x000D_
[PRDID].[].[20000685]_x000D_
[KEY_FIGURES].[].[ZINPUTSOFC]_x000D_
[LOCID].[].[0001003985]_x000D_
[PRDID].[].[20000685]_x000D_
[KEY_FIGURES].[].[ZFORECASTOPENOUTPUT]_x000D_
[LOCID].[].[0001003985]_x000D_
[PRDID].[].[20000685]_x000D_
[KEY_FIGURES].[].[ZACTUALSALES]_x000D_
[LOCID].[].[0001003985]_x000D_
[PRDID].[].[20000685]_x000D_
[KEY_FIGURES].[].[ZCONSENSUSDEMAND]_x000D_
[LOCID].[].[0001003985]_x000D_
[PRDID].[].[20000685]_x000D_
[KEY_FIGURES].[].[INDEPENDENTDEMAND]_x000D_
[LOCID].[].[0001003985]_x000D_
[PRDID].[].[20000686]_x000D_
[KEY_FIGURES].[].[ZCONSENSUSDEMANDQTY]_x000D_
[LOCID].[].[0001003985]_x000D_
[PRDID].[].[20000686]_x000D_
[KEY_FIGURES].[].[ZINPUTSOFC]_x000D_
[LOCID].[].[0001003985]_x000D_
[PRDID].[].[20000686]_x000D_
[KEY_FIGURES].[].[ZFORECASTOPENOUTPUT]_x000D_
[LOCID].[].[0001003985]_x000D_
[PRDID].[].[20000686]_x000D_
[KEY_FIGURES].[].[ZACTUALSALES]_x000D_
[LOCID].[].[0001003985]_x000D_
[PRDID].[].[20000686]_x000D_
[KEY_FIGURES].[].[ZCONSENSUSDEMAND]_x000D_
[LOCID].[].[0001003985]_x000D_
[PRDID].[].[20000686]_x000D_
[KEY_FIGURES].[].[INDEPENDENTDEMAND]_x000D_
[LOCID].[].[0001003985]_x000D_
[PRDID].[].[20000687]_x000D_
[KEY_FIGURES].[].[ZCONSENSUSDEMANDQTY]_x000D_
[LOCID].[].[0001003985]_x000D_
[PRDID].[].[20000687]_x000D_
[KEY_FIGURES].[].[ZINPUTSOFC]_x000D_
[LOCID].[].[0001003985]_x000D_
[PRDID].[].[20000687]_x000D_
[KEY_FIGURES].[].[ZFORECASTOPENOUTPUT]_x000D_
[LOCID].[].[0001003985]_x000D_
[PRDID].[].[20000687]_x000D_
[KEY_FIGURES].[].[ZACTUALSALES]_x000D_
[LOCID].[].[0001003985]_x000D_
[PRDID].[].[20000687]_x000D_
[KEY_FIGURES].[].[ZCONSENSUSDEMAND]_x000D_
[LOCID].[].[0001003985]_x000D_
[PRDID].[].[20000687]_x000D_
[KEY_FIGURES].[].[INDEPENDENTDEMAND]_x000D_
[LOCID].[].[0001003985]_x000D_
[PRDID].[].[20000688]_x000D_
[KEY_FIGURES].[].[ZCONSENSUSDEMANDQTY]_x000D_
[LOCID].[].[0001003985]_x000D_
[PRDID].[].[20000688]_x000D_
[KEY_FIGURES].[].[ZINPUTSOFC]_x000D_
[LOCID].[].[0001003985]_x000D_
[PRDID].[].[20000688]_x000D_
[KEY_FIGURES].[].[ZFORECASTOPENOUTPUT]_x000D_
[LOCID].[].[0001003985]_x000D_
[PRDID].[].[20000688]_x000D_
[KEY_FIGURES].[].[ZACTUALSALES]_x000D_
[LOCID].[].[0001003985]_x000D_
[PRDID].[].[20000688]_x000D_
[KEY_FIGURES].[].[ZCONSENSUSDEMAND]_x000D_
[LOCID].[].[0001003985]_x000D_
[PRDID].[].[20000688]_x000D_
[KEY_FIGURES].[].[INDEPENDENTDEMAND]_x000D_
[LOCID].[].[0001003985]_x000D_
[PRDID].[].[20000693]_x000D_
[KEY_FIGURES].[].[ZCONSENSUSDEMANDQTY]_x000D_
[LOCID].[].[0001003985]_x000D_
[PRDID].[].[20000693]_x000D_
[KEY_FIGURES].[].[ZINPUTSOFC]_x000D_
[LOCID].[].[0001003985]_x000D_
[PRDID].[].[20000693]_x000D_
[KEY_FIGURES].[].[ZFORECASTOPENOUTPUT]_x000D_
[LOCID].[].[0001003985]_x000D_
[PRDID].[].[20000693]_x000D_
[KEY_FIGURES].[].[ZACTUALSALES]_x000D_
[LOCID].[].[0001003985]_x000D_
[PRDID].[].[20000693]_x000D_
[KEY_FIGURES].[].[ZCONSENSUSDEMAND]_x000D_
[LOCID].[].[0001003985]_x000D_
[PRDID].[].[20000693]_x000D_
[KEY_FIGURES].[].[INDEPENDENTDEMAND]_x000D_
[LOCID].[].[0001003985]_x000D_
[PRDID].[].[20000703]_x000D_
[KEY_FIGURES].[].[ZCONSENSUSDEMANDQTY]_x000D_
[LOCID].[].[0001003985]_x000D_
[PRDID].[].[20000703]_x000D_
[KEY_FIGURES].[].[ZINPUTSOFC]_x000D_
[LOCID].[].[0001003985]_x000D_
[PRDID].[].[20000703]_x000D_
[KEY_FIGURES].[].[ZFORECASTOPENOUTPUT]_x000D_
[LOCID].[].[0001003985]_x000D_
[PRDID].[].[20000703]_x000D_
[KEY_FIGURES].[].[ZACTUALSALES]_x000D_
[LOCID].[].[0001003985]_x000D_
[PRDID].[].[20000703]_x000D_
[KEY_FIGURES].[].[ZCONSENSUSDEMAND]_x000D_
[LOCID].[].[0001003985]_x000D_
[PRDID].[].[20000703]_x000D_
[KEY_FIGURES].[].[INDEPENDENTDEMAND]_x000D_
[LOCID].[].[0001003985]_x000D_
[PRDID].[].[20000704]_x000D_
[KEY_FIGURES].[].[ZCONSENSUSDEMANDQTY]_x000D_
[LOCID].[].[0001003985]_x000D_
[PRDID].[].[20000704]_x000D_
[KEY_FIGURES].[].[ZINPUTSOFC]_x000D_
[LOCID].[].[0001003985]_x000D_
[PRDID].[].[20000704]_x000D_
[KEY_FIGURES].[].[ZFORECASTOPENOUTPUT]_x000D_
[LOCID].[].[0001003985]_x000D_
[PRDID].[].[20000704]_x000D_
[KEY_FIGURES].[].[ZACTUALSALES]_x000D_
[LOCID].[].[0001003985]_x000D_
[PRDID].[].[20000704]_x000D_
[KEY_FIGURES].[].[ZCONSENSUSDEMAND]_x000D_
[LOCID].[].[0001003985]_x000D_
[PRDID].[].[20000704]_x000D_
[KEY_FIGURES].[].[INDEPENDENTDEMAND]_x000D_
[LOCID].[].[0001003985]_x000D_
[PRDID].[].[20000708]_x000D_
[KEY_FIGURES].[].[ZCONSENSUSDEMANDQTY]_x000D_
[LOCID].[].[0001003985]_x000D_
[PRDID].[].[20000708]_x000D_
[KEY_FIGURES].[].[ZINPUTSOFC]_x000D_
[LOCID].[].[0001003985]_x000D_
[PRDID].[].[20000708]_x000D_
[KEY_FIGURES].[].[ZFORECASTOPENOUTPUT]_x000D_
[LOCID].[].[0001003985]_x000D_
[PRDID].[].[20000708]_x000D_
[KEY_FIGURES].[].[ZACTUALSALES]_x000D_
[LOCID].[].[0001003985]_x000D_
[PRDID].[].[20000708]_x000D_
[KEY_FIGURES].[].[ZCONSENSUSDEMAND]_x000D_
[LOCID].[].[0001003985]_x000D_
[PRDID].[].[20000708]_x000D_
[KEY_FIGURES].[].[INDEPENDENTDEMAND]_x000D_
[LOCID].[].[0001003985]_x000D_
[PRDID].[].[20000723]_x000D_
[KEY_FIGURES].[].[ZCONSENSUSDEMANDQTY]_x000D_
[LOCID].[].[0001003985]_x000D_
[PRDID].[].[20000723]_x000D_
[KEY_FIGURES].[].[ZINPUTSOFC]_x000D_
[LOCID].[].[0001003985]_x000D_
[PRDID].[].[20000723]_x000D_
[KEY_FIGURES].[].[ZFORECASTOPENOUTPUT]_x000D_
[LOCID].[].[0001003985]_x000D_
[PRDID].[].[20000723]_x000D_
[KEY_FIGURES].[].[ZACTUALSALES]_x000D_
[LOCID].[].[0001003985]_x000D_
[PRDID].[].[20000723]_x000D_
[KEY_FIGURES].[].[ZCONSENSUSDEMAND]_x000D_
[LOCID].[].[0001003985]</t>
  </si>
  <si>
    <t>[PRDID].[].[20000723]_x000D_
[KEY_FIGURES].[].[INDEPENDENTDEMAND]_x000D_
[LOCID].[].[0001003985]_x000D_
[PRDID].[].[20000725]_x000D_
[KEY_FIGURES].[].[ZCONSENSUSDEMANDQTY]_x000D_
[LOCID].[].[0001003985]_x000D_
[PRDID].[].[20000725]_x000D_
[KEY_FIGURES].[].[ZINPUTSOFC]_x000D_
[LOCID].[].[0001003985]_x000D_
[PRDID].[].[20000725]_x000D_
[KEY_FIGURES].[].[ZFORECASTOPENOUTPUT]_x000D_
[LOCID].[].[0001003985]_x000D_
[PRDID].[].[20000725]_x000D_
[KEY_FIGURES].[].[ZACTUALSALES]_x000D_
[LOCID].[].[0001003985]_x000D_
[PRDID].[].[20000725]_x000D_
[KEY_FIGURES].[].[ZCONSENSUSDEMAND]_x000D_
[LOCID].[].[0001003985]_x000D_
[PRDID].[].[20000725]_x000D_
[KEY_FIGURES].[].[INDEPENDENTDEMAND]_x000D_
[LOCID].[].[0001003985]_x000D_
[PRDID].[].[20000726]_x000D_
[KEY_FIGURES].[].[ZCONSENSUSDEMANDQTY]_x000D_
[LOCID].[].[0001003985]_x000D_
[PRDID].[].[20000726]_x000D_
[KEY_FIGURES].[].[ZINPUTSOFC]_x000D_
[LOCID].[].[0001003985]_x000D_
[PRDID].[].[20000726]_x000D_
[KEY_FIGURES].[].[ZFORECASTOPENOUTPUT]_x000D_
[LOCID].[].[0001003985]_x000D_
[PRDID].[].[20000726]_x000D_
[KEY_FIGURES].[].[ZACTUALSALES]_x000D_
[LOCID].[].[0001003985]_x000D_
[PRDID].[].[20000726]_x000D_
[KEY_FIGURES].[].[ZCONSENSUSDEMAND]_x000D_
[LOCID].[].[0001003985]_x000D_
[PRDID].[].[20000726]_x000D_
[KEY_FIGURES].[].[INDEPENDENTDEMAND]_x000D_
[LOCID].[].[0001003985]_x000D_
[PRDID].[].[20000727]_x000D_
[KEY_FIGURES].[].[ZCONSENSUSDEMANDQTY]_x000D_
[LOCID].[].[0001003985]_x000D_
[PRDID].[].[20000727]_x000D_
[KEY_FIGURES].[].[ZINPUTSOFC]_x000D_
[LOCID].[].[0001003985]_x000D_
[PRDID].[].[20000727]_x000D_
[KEY_FIGURES].[].[ZFORECASTOPENOUTPUT]_x000D_
[LOCID].[].[0001003985]_x000D_
[PRDID].[].[20000727]_x000D_
[KEY_FIGURES].[].[ZACTUALSALES]_x000D_
[LOCID].[].[0001003985]_x000D_
[PRDID].[].[20000727]_x000D_
[KEY_FIGURES].[].[ZCONSENSUSDEMAND]_x000D_
[LOCID].[].[0001003985]_x000D_
[PRDID].[].[20000727]_x000D_
[KEY_FIGURES].[].[INDEPENDENTDEMAND]_x000D_
[LOCID].[].[0001003985]_x000D_
[PRDID].[].[20000728]_x000D_
[KEY_FIGURES].[].[ZCONSENSUSDEMANDQTY]_x000D_
[LOCID].[].[0001003985]_x000D_
[PRDID].[].[20000728]_x000D_
[KEY_FIGURES].[].[ZINPUTSOFC]_x000D_
[LOCID].[].[0001003985]_x000D_
[PRDID].[].[20000728]_x000D_
[KEY_FIGURES].[].[ZFORECASTOPENOUTPUT]_x000D_
[LOCID].[].[0001003985]_x000D_
[PRDID].[].[20000728]_x000D_
[KEY_FIGURES].[].[ZACTUALSALES]_x000D_
[LOCID].[].[0001003985]_x000D_
[PRDID].[].[20000728]_x000D_
[KEY_FIGURES].[].[ZCONSENSUSDEMAND]_x000D_
[LOCID].[].[0001003985]_x000D_
[PRDID].[].[20000728]_x000D_
[KEY_FIGURES].[].[INDEPENDENTDEMAND]_x000D_
[LOCID].[].[0001003985]_x000D_
[PRDID].[].[20000729]_x000D_
[KEY_FIGURES].[].[ZCONSENSUSDEMANDQTY]_x000D_
[LOCID].[].[0001003985]_x000D_
[PRDID].[].[20000729]_x000D_
[KEY_FIGURES].[].[ZINPUTSOFC]_x000D_
[LOCID].[].[0001003985]_x000D_
[PRDID].[].[20000729]_x000D_
[KEY_FIGURES].[].[ZFORECASTOPENOUTPUT]_x000D_
[LOCID].[].[0001003985]_x000D_
[PRDID].[].[20000729]_x000D_
[KEY_FIGURES].[].[ZACTUALSALES]_x000D_
[LOCID].[].[0001003985]_x000D_
[PRDID].[].[20000729]_x000D_
[KEY_FIGURES].[].[ZCONSENSUSDEMAND]_x000D_
[LOCID].[].[0001003985]_x000D_
[PRDID].[].[20000729]_x000D_
[KEY_FIGURES].[].[INDEPENDENTDEMAND]_x000D_
[LOCID].[].[0001003985]_x000D_
[PRDID].[].[20000730]_x000D_
[KEY_FIGURES].[].[ZCONSENSUSDEMANDQTY]_x000D_
[LOCID].[].[0001003985]_x000D_
[PRDID].[].[20000730]_x000D_
[KEY_FIGURES].[].[ZINPUTSOFC]_x000D_
[LOCID].[].[0001003985]_x000D_
[PRDID].[].[20000730]_x000D_
[KEY_FIGURES].[].[ZFORECASTOPENOUTPUT]_x000D_
[LOCID].[].[0001003985]_x000D_
[PRDID].[].[20000730]_x000D_
[KEY_FIGURES].[].[ZACTUALSALES]_x000D_
[LOCID].[].[0001003985]_x000D_
[PRDID].[].[20000730]_x000D_
[KEY_FIGURES].[].[ZCONSENSUSDEMAND]_x000D_
[LOCID].[].[0001003985]_x000D_
[PRDID].[].[20000730]_x000D_
[KEY_FIGURES].[].[INDEPENDENTDEMAND]_x000D_
[LOCID].[].[0001003985]_x000D_
[PRDID].[].[20000731]_x000D_
[KEY_FIGURES].[].[ZCONSENSUSDEMANDQTY]_x000D_
[LOCID].[].[0001003985]_x000D_
[PRDID].[].[20000731]_x000D_
[KEY_FIGURES].[].[ZINPUTSOFC]_x000D_
[LOCID].[].[0001003985]_x000D_
[PRDID].[].[20000731]_x000D_
[KEY_FIGURES].[].[ZFORECASTOPENOUTPUT]_x000D_
[LOCID].[].[0001003985]_x000D_
[PRDID].[].[20000731]_x000D_
[KEY_FIGURES].[].[ZACTUALSALES]_x000D_
[LOCID].[].[0001003985]_x000D_
[PRDID].[].[20000731]_x000D_
[KEY_FIGURES].[].[ZCONSENSUSDEMAND]_x000D_
[LOCID].[].[0001003985]_x000D_
[PRDID].[].[20000731]_x000D_
[KEY_FIGURES].[].[INDEPENDENTDEMAND]_x000D_
[LOCID].[].[0001003985]_x000D_
[PRDID].[].[20000732]_x000D_
[KEY_FIGURES].[].[ZCONSENSUSDEMANDQTY]_x000D_
[LOCID].[].[0001003985]_x000D_
[PRDID].[].[20000732]_x000D_
[KEY_FIGURES].[].[ZINPUTSOFC]_x000D_
[LOCID].[].[0001003985]_x000D_
[PRDID].[].[20000732]_x000D_
[KEY_FIGURES].[].[ZFORECASTOPENOUTPUT]_x000D_
[LOCID].[].[0001003985]_x000D_
[PRDID].[].[20000732]_x000D_
[KEY_FIGURES].[].[ZACTUALSALES]_x000D_
[LOCID].[].[0001003985]_x000D_
[PRDID].[].[20000732]_x000D_
[KEY_FIGURES].[].[ZCONSENSUSDEMAND]_x000D_
[LOCID].[].[0001003985]_x000D_
[PRDID].[].[20000732]_x000D_
[KEY_FIGURES].[].[INDEPENDENTDEMAND]_x000D_
[LOCID].[].[0001003985]_x000D_
[PRDID].[].[20000733]_x000D_
[KEY_FIGURES].[].[ZCONSENSUSDEMANDQTY]_x000D_
[LOCID].[].[0001003985]_x000D_
[PRDID].[].[20000733]_x000D_
[KEY_FIGURES].[].[ZINPUTSOFC]_x000D_
[LOCID].[].[0001003985]_x000D_
[PRDID].[].[20000733]_x000D_
[KEY_FIGURES].[].[ZFORECASTOPENOUTPUT]_x000D_
[LOCID].[].[0001003985]_x000D_
[PRDID].[].[20000733]_x000D_
[KEY_FIGURES].[].[ZACTUALSALES]_x000D_
[LOCID].[].[0001003985]_x000D_
[PRDID].[].[20000733]_x000D_
[KEY_FIGURES].[].[ZCONSENSUSDEMAND]_x000D_
[LOCID].[].[0001003985]_x000D_
[PRDID].[].[20000733]_x000D_
[KEY_FIGURES].[].[INDEPENDENTDEMAND]_x000D_
[LOCID].[].[0001003985]_x000D_
[PRDID].[].[20000734]_x000D_
[KEY_FIGURES].[].[ZCONSENSUSDEMANDQTY]_x000D_
[LOCID].[].[0001003985]_x000D_
[PRDID].[].[20000734]_x000D_
[KEY_FIGURES].[].[ZINPUTSOFC]_x000D_
[LOCID].[].[0001003985]_x000D_
[PRDID].[].[20000734]_x000D_
[KEY_FIGURES].[].[ZFORECASTOPENOUTPUT]_x000D_
[LOCID].[].[0001003985]_x000D_
[PRDID].[].[20000734]_x000D_
[KEY_FIGURES].[].[ZACTUALSALES]_x000D_
[LOCID].[].[0001003985]_x000D_
[PRDID].[].[20000734]_x000D_
[KEY_FIGURES].[].[ZCONSENSUSDEMAND]_x000D_
[LOCID].[].[0001003985]_x000D_
[PRDID].[].[20000734]_x000D_
[KEY_FIGURES].[].[INDEPENDENTDEMAND]_x000D_
[LOCID].[].[0001003985]_x000D_
[PRDID].[].[20000735]_x000D_
[KEY_FIGURES].[].[ZCONSENSUSDEMANDQTY]_x000D_
[LOCID].[].[0001003985]_x000D_
[PRDID].[].[20000735]_x000D_
[KEY_FIGURES].[].[ZINPUTSOFC]_x000D_
[LOCID].[].[0001003985]_x000D_
[PRDID].[].[20000735]_x000D_
[KEY_FIGURES].[].[ZFORECASTOPENOUTPUT]_x000D_
[LOCID].[].[0001003985]_x000D_
[PRDID].[].[20000735]_x000D_
[KEY_FIGURES].[].[ZACTUALSALES]_x000D_
[LOCID].[].[0001003985]_x000D_
[PRDID].[].[20000735]_x000D_
[KEY_FIGURES].[].[ZCONSENSUSDEMAND]_x000D_
[LOCID].[].[0001003985]_x000D_
[PRDID].[].[20000735]_x000D_
[KEY_FIGURES].[].[INDEPENDENTDEMAND]</t>
  </si>
  <si>
    <t>[LOCID].[].[0001003985]_x000D_
[PRDID].[].[20000736]_x000D_
[KEY_FIGURES].[].[ZCONSENSUSDEMANDQTY]_x000D_
[LOCID].[].[0001003985]_x000D_
[PRDID].[].[20000736]_x000D_
[KEY_FIGURES].[].[ZINPUTSOFC]_x000D_
[LOCID].[].[0001003985]_x000D_
[PRDID].[].[20000736]_x000D_
[KEY_FIGURES].[].[ZFORECASTOPENOUTPUT]_x000D_
[LOCID].[].[0001003985]_x000D_
[PRDID].[].[20000736]_x000D_
[KEY_FIGURES].[].[ZACTUALSALES]_x000D_
[LOCID].[].[0001003985]_x000D_
[PRDID].[].[20000736]_x000D_
[KEY_FIGURES].[].[ZCONSENSUSDEMAND]_x000D_
[LOCID].[].[0001003985]_x000D_
[PRDID].[].[20000736]_x000D_
[KEY_FIGURES].[].[INDEPENDENTDEMAND]_x000D_
[LOCID].[].[0001003985]_x000D_
[PRDID].[].[20000737]_x000D_
[KEY_FIGURES].[].[ZCONSENSUSDEMANDQTY]_x000D_
[LOCID].[].[0001003985]_x000D_
[PRDID].[].[20000737]_x000D_
[KEY_FIGURES].[].[ZINPUTSOFC]_x000D_
[LOCID].[].[0001003985]_x000D_
[PRDID].[].[20000737]_x000D_
[KEY_FIGURES].[].[ZFORECASTOPENOUTPUT]_x000D_
[LOCID].[].[0001003985]_x000D_
[PRDID].[].[20000737]_x000D_
[KEY_FIGURES].[].[ZACTUALSALES]_x000D_
[LOCID].[].[0001003985]_x000D_
[PRDID].[].[20000737]_x000D_
[KEY_FIGURES].[].[ZCONSENSUSDEMAND]_x000D_
[LOCID].[].[0001003985]_x000D_
[PRDID].[].[20000737]_x000D_
[KEY_FIGURES].[].[INDEPENDENTDEMAND]_x000D_
[LOCID].[].[0001003985]_x000D_
[PRDID].[].[20000738]_x000D_
[KEY_FIGURES].[].[ZCONSENSUSDEMANDQTY]_x000D_
[LOCID].[].[0001003985]_x000D_
[PRDID].[].[20000738]_x000D_
[KEY_FIGURES].[].[ZINPUTSOFC]_x000D_
[LOCID].[].[0001003985]_x000D_
[PRDID].[].[20000738]_x000D_
[KEY_FIGURES].[].[ZFORECASTOPENOUTPUT]_x000D_
[LOCID].[].[0001003985]_x000D_
[PRDID].[].[20000738]_x000D_
[KEY_FIGURES].[].[ZACTUALSALES]_x000D_
[LOCID].[].[0001003985]_x000D_
[PRDID].[].[20000738]_x000D_
[KEY_FIGURES].[].[ZCONSENSUSDEMAND]_x000D_
[LOCID].[].[0001003985]_x000D_
[PRDID].[].[20000738]_x000D_
[KEY_FIGURES].[].[INDEPENDENTDEMAND]_x000D_
[LOCID].[].[0001003985]_x000D_
[PRDID].[].[20000740]_x000D_
[KEY_FIGURES].[].[ZCONSENSUSDEMANDQTY]_x000D_
[LOCID].[].[0001003985]_x000D_
[PRDID].[].[20000740]_x000D_
[KEY_FIGURES].[].[ZINPUTSOFC]_x000D_
[LOCID].[].[0001003985]_x000D_
[PRDID].[].[20000740]_x000D_
[KEY_FIGURES].[].[ZFORECASTOPENOUTPUT]_x000D_
[LOCID].[].[0001003985]_x000D_
[PRDID].[].[20000740]_x000D_
[KEY_FIGURES].[].[ZACTUALSALES]_x000D_
[LOCID].[].[0001003985]_x000D_
[PRDID].[].[20000740]_x000D_
[KEY_FIGURES].[].[ZCONSENSUSDEMAND]_x000D_
[LOCID].[].[0001003985]_x000D_
[PRDID].[].[20000740]_x000D_
[KEY_FIGURES].[].[INDEPENDENTDEMAND]_x000D_
[LOCID].[].[0001003985]_x000D_
[PRDID].[].[20000741]_x000D_
[KEY_FIGURES].[].[ZCONSENSUSDEMANDQTY]_x000D_
[LOCID].[].[0001003985]_x000D_
[PRDID].[].[20000741]_x000D_
[KEY_FIGURES].[].[ZINPUTSOFC]_x000D_
[LOCID].[].[0001003985]_x000D_
[PRDID].[].[20000741]_x000D_
[KEY_FIGURES].[].[ZFORECASTOPENOUTPUT]_x000D_
[LOCID].[].[0001003985]_x000D_
[PRDID].[].[20000741]_x000D_
[KEY_FIGURES].[].[ZACTUALSALES]_x000D_
[LOCID].[].[0001003985]_x000D_
[PRDID].[].[20000741]_x000D_
[KEY_FIGURES].[].[ZCONSENSUSDEMAND]_x000D_
[LOCID].[].[0001003985]_x000D_
[PRDID].[].[20000741]_x000D_
[KEY_FIGURES].[].[INDEPENDENTDEMAND]_x000D_
[LOCID].[].[0001003985]_x000D_
[PRDID].[].[20000742]_x000D_
[KEY_FIGURES].[].[ZCONSENSUSDEMANDQTY]_x000D_
[LOCID].[].[0001003985]_x000D_
[PRDID].[].[20000742]_x000D_
[KEY_FIGURES].[].[ZINPUTSOFC]_x000D_
[LOCID].[].[0001003985]_x000D_
[PRDID].[].[20000742]_x000D_
[KEY_FIGURES].[].[ZFORECASTOPENOUTPUT]_x000D_
[LOCID].[].[0001003985]_x000D_
[PRDID].[].[20000742]_x000D_
[KEY_FIGURES].[].[ZACTUALSALES]_x000D_
[LOCID].[].[0001003985]_x000D_
[PRDID].[].[20000742]_x000D_
[KEY_FIGURES].[].[ZCONSENSUSDEMAND]_x000D_
[LOCID].[].[0001003985]_x000D_
[PRDID].[].[20000742]_x000D_
[KEY_FIGURES].[].[INDEPENDENTDEMAND]_x000D_
[LOCID].[].[0001003985]_x000D_
[PRDID].[].[20000743]_x000D_
[KEY_FIGURES].[].[ZCONSENSUSDEMANDQTY]_x000D_
[LOCID].[].[0001003985]_x000D_
[PRDID].[].[20000743]_x000D_
[KEY_FIGURES].[].[ZINPUTSOFC]_x000D_
[LOCID].[].[0001003985]_x000D_
[PRDID].[].[20000743]_x000D_
[KEY_FIGURES].[].[ZFORECASTOPENOUTPUT]_x000D_
[LOCID].[].[0001003985]_x000D_
[PRDID].[].[20000743]_x000D_
[KEY_FIGURES].[].[ZACTUALSALES]_x000D_
[LOCID].[].[0001003985]_x000D_
[PRDID].[].[20000743]_x000D_
[KEY_FIGURES].[].[ZCONSENSUSDEMAND]_x000D_
[LOCID].[].[0001003985]_x000D_
[PRDID].[].[20000743]_x000D_
[KEY_FIGURES].[].[INDEPENDENTDEMAND]_x000D_
[LOCID].[].[0001003985]_x000D_
[PRDID].[].[20000744]_x000D_
[KEY_FIGURES].[].[ZCONSENSUSDEMANDQTY]_x000D_
[LOCID].[].[0001003985]_x000D_
[PRDID].[].[20000744]_x000D_
[KEY_FIGURES].[].[ZINPUTSOFC]_x000D_
[LOCID].[].[0001003985]_x000D_
[PRDID].[].[20000744]_x000D_
[KEY_FIGURES].[].[ZFORECASTOPENOUTPUT]_x000D_
[LOCID].[].[0001003985]_x000D_
[PRDID].[].[20000744]_x000D_
[KEY_FIGURES].[].[ZACTUALSALES]_x000D_
[LOCID].[].[0001003985]_x000D_
[PRDID].[].[20000744]_x000D_
[KEY_FIGURES].[].[ZCONSENSUSDEMAND]_x000D_
[LOCID].[].[0001003985]_x000D_
[PRDID].[].[20000744]_x000D_
[KEY_FIGURES].[].[INDEPENDENTDEMAND]_x000D_
[LOCID].[].[0001003985]_x000D_
[PRDID].[].[20000745]_x000D_
[KEY_FIGURES].[].[ZCONSENSUSDEMANDQTY]_x000D_
[LOCID].[].[0001003985]_x000D_
[PRDID].[].[20000745]_x000D_
[KEY_FIGURES].[].[ZINPUTSOFC]_x000D_
[LOCID].[].[0001003985]_x000D_
[PRDID].[].[20000745]_x000D_
[KEY_FIGURES].[].[ZFORECASTOPENOUTPUT]_x000D_
[LOCID].[].[0001003985]_x000D_
[PRDID].[].[20000745]_x000D_
[KEY_FIGURES].[].[ZACTUALSALES]_x000D_
[LOCID].[].[0001003985]_x000D_
[PRDID].[].[20000745]_x000D_
[KEY_FIGURES].[].[ZCONSENSUSDEMAND]_x000D_
[LOCID].[].[0001003985]_x000D_
[PRDID].[].[20000745]_x000D_
[KEY_FIGURES].[].[INDEPENDENTDEMAND]_x000D_
[LOCID].[].[0001003985]_x000D_
[PRDID].[].[20000746]_x000D_
[KEY_FIGURES].[].[ZCONSENSUSDEMANDQTY]_x000D_
[LOCID].[].[0001003985]_x000D_
[PRDID].[].[20000746]_x000D_
[KEY_FIGURES].[].[ZINPUTSOFC]_x000D_
[LOCID].[].[0001003985]_x000D_
[PRDID].[].[20000746]_x000D_
[KEY_FIGURES].[].[ZFORECASTOPENOUTPUT]_x000D_
[LOCID].[].[0001003985]_x000D_
[PRDID].[].[20000746]_x000D_
[KEY_FIGURES].[].[ZACTUALSALES]_x000D_
[LOCID].[].[0001003985]_x000D_
[PRDID].[].[20000746]_x000D_
[KEY_FIGURES].[].[ZCONSENSUSDEMAND]_x000D_
[LOCID].[].[0001003985]_x000D_
[PRDID].[].[20000746]_x000D_
[KEY_FIGURES].[].[INDEPENDENTDEMAND]_x000D_
[LOCID].[].[0001003985]_x000D_
[PRDID].[].[20000747]_x000D_
[KEY_FIGURES].[].[ZCONSENSUSDEMANDQTY]_x000D_
[LOCID].[].[0001003985]_x000D_
[PRDID].[].[20000747]_x000D_
[KEY_FIGURES].[].[ZINPUTSOFC]_x000D_
[LOCID].[].[0001003985]_x000D_
[PRDID].[].[20000747]_x000D_
[KEY_FIGURES].[].[ZFORECASTOPENOUTPUT]_x000D_
[LOCID].[].[0001003985]_x000D_
[PRDID].[].[20000747]_x000D_
[KEY_FIGURES].[].[ZACTUALSALES]_x000D_
[LOCID].[].[0001003985]_x000D_
[PRDID].[].[20000747]_x000D_
[KEY_FIGURES].[].[ZCONSENSUSDEMAND]_x000D_
[LOCID].[].[0001003985]_x000D_
[PRDID].[].[20000747]_x000D_
[KEY_FIGURES].[].[INDEPENDENTDEMAND]_x000D_
[LOCID].[].[0001003985]_x000D_
[PRDID].[].[20000748]</t>
  </si>
  <si>
    <t>[KEY_FIGURES].[].[ZCONSENSUSDEMANDQTY]_x000D_
[LOCID].[].[0001003985]_x000D_
[PRDID].[].[20000748]_x000D_
[KEY_FIGURES].[].[ZINPUTSOFC]_x000D_
[LOCID].[].[0001003985]_x000D_
[PRDID].[].[20000748]_x000D_
[KEY_FIGURES].[].[ZFORECASTOPENOUTPUT]_x000D_
[LOCID].[].[0001003985]_x000D_
[PRDID].[].[20000748]_x000D_
[KEY_FIGURES].[].[ZACTUALSALES]_x000D_
[LOCID].[].[0001003985]_x000D_
[PRDID].[].[20000748]_x000D_
[KEY_FIGURES].[].[ZCONSENSUSDEMAND]_x000D_
[LOCID].[].[0001003985]_x000D_
[PRDID].[].[20000748]_x000D_
[KEY_FIGURES].[].[INDEPENDENTDEMAND]_x000D_
[LOCID].[].[0001003985]_x000D_
[PRDID].[].[20000749]_x000D_
[KEY_FIGURES].[].[ZCONSENSUSDEMANDQTY]_x000D_
[LOCID].[].[0001003985]_x000D_
[PRDID].[].[20000749]_x000D_
[KEY_FIGURES].[].[ZINPUTSOFC]_x000D_
[LOCID].[].[0001003985]_x000D_
[PRDID].[].[20000749]_x000D_
[KEY_FIGURES].[].[ZFORECASTOPENOUTPUT]_x000D_
[LOCID].[].[0001003985]_x000D_
[PRDID].[].[20000749]_x000D_
[KEY_FIGURES].[].[ZACTUALSALES]_x000D_
[LOCID].[].[0001003985]_x000D_
[PRDID].[].[20000749]_x000D_
[KEY_FIGURES].[].[ZCONSENSUSDEMAND]_x000D_
[LOCID].[].[0001003985]_x000D_
[PRDID].[].[20000749]_x000D_
[KEY_FIGURES].[].[INDEPENDENTDEMAND]_x000D_
[LOCID].[].[0001003985]_x000D_
[PRDID].[].[20000750]_x000D_
[KEY_FIGURES].[].[ZCONSENSUSDEMANDQTY]_x000D_
[LOCID].[].[0001003985]_x000D_
[PRDID].[].[20000750]_x000D_
[KEY_FIGURES].[].[ZINPUTSOFC]_x000D_
[LOCID].[].[0001003985]_x000D_
[PRDID].[].[20000750]_x000D_
[KEY_FIGURES].[].[ZFORECASTOPENOUTPUT]_x000D_
[LOCID].[].[0001003985]_x000D_
[PRDID].[].[20000750]_x000D_
[KEY_FIGURES].[].[ZACTUALSALES]_x000D_
[LOCID].[].[0001003985]_x000D_
[PRDID].[].[20000750]_x000D_
[KEY_FIGURES].[].[ZCONSENSUSDEMAND]_x000D_
[LOCID].[].[0001003985]_x000D_
[PRDID].[].[20000750]_x000D_
[KEY_FIGURES].[].[INDEPENDENTDEMAND]_x000D_
[LOCID].[].[0001003985]_x000D_
[PRDID].[].[20000751]_x000D_
[KEY_FIGURES].[].[ZCONSENSUSDEMANDQTY]_x000D_
[LOCID].[].[0001003985]_x000D_
[PRDID].[].[20000751]_x000D_
[KEY_FIGURES].[].[ZINPUTSOFC]_x000D_
[LOCID].[].[0001003985]_x000D_
[PRDID].[].[20000751]_x000D_
[KEY_FIGURES].[].[ZFORECASTOPENOUTPUT]_x000D_
[LOCID].[].[0001003985]_x000D_
[PRDID].[].[20000751]_x000D_
[KEY_FIGURES].[].[ZACTUALSALES]_x000D_
[LOCID].[].[0001003985]_x000D_
[PRDID].[].[20000751]_x000D_
[KEY_FIGURES].[].[ZCONSENSUSDEMAND]_x000D_
[LOCID].[].[0001003985]_x000D_
[PRDID].[].[20000751]_x000D_
[KEY_FIGURES].[].[INDEPENDENTDEMAND]_x000D_
[LOCID].[].[0001003985]_x000D_
[PRDID].[].[20000752]_x000D_
[KEY_FIGURES].[].[ZCONSENSUSDEMANDQTY]_x000D_
[LOCID].[].[0001003985]_x000D_
[PRDID].[].[20000752]_x000D_
[KEY_FIGURES].[].[ZINPUTSOFC]_x000D_
[LOCID].[].[0001003985]_x000D_
[PRDID].[].[20000752]_x000D_
[KEY_FIGURES].[].[ZFORECASTOPENOUTPUT]_x000D_
[LOCID].[].[0001003985]_x000D_
[PRDID].[].[20000752]_x000D_
[KEY_FIGURES].[].[ZACTUALSALES]_x000D_
[LOCID].[].[0001003985]_x000D_
[PRDID].[].[20000752]_x000D_
[KEY_FIGURES].[].[ZCONSENSUSDEMAND]_x000D_
[LOCID].[].[0001003985]_x000D_
[PRDID].[].[20000752]_x000D_
[KEY_FIGURES].[].[INDEPENDENTDEMAND]_x000D_
[LOCID].[].[0001003985]_x000D_
[PRDID].[].[20000753]_x000D_
[KEY_FIGURES].[].[ZCONSENSUSDEMANDQTY]_x000D_
[LOCID].[].[0001003985]_x000D_
[PRDID].[].[20000753]_x000D_
[KEY_FIGURES].[].[ZINPUTSOFC]_x000D_
[LOCID].[].[0001003985]_x000D_
[PRDID].[].[20000753]_x000D_
[KEY_FIGURES].[].[ZFORECASTOPENOUTPUT]_x000D_
[LOCID].[].[0001003985]_x000D_
[PRDID].[].[20000753]_x000D_
[KEY_FIGURES].[].[ZACTUALSALES]_x000D_
[LOCID].[].[0001003985]_x000D_
[PRDID].[].[20000753]_x000D_
[KEY_FIGURES].[].[ZCONSENSUSDEMAND]_x000D_
[LOCID].[].[0001003985]_x000D_
[PRDID].[].[20000753]_x000D_
[KEY_FIGURES].[].[INDEPENDENTDEMAND]_x000D_
[LOCID].[].[0001003985]_x000D_
[PRDID].[].[20000754]_x000D_
[KEY_FIGURES].[].[ZCONSENSUSDEMANDQTY]_x000D_
[LOCID].[].[0001003985]_x000D_
[PRDID].[].[20000754]_x000D_
[KEY_FIGURES].[].[ZINPUTSOFC]_x000D_
[LOCID].[].[0001003985]_x000D_
[PRDID].[].[20000754]_x000D_
[KEY_FIGURES].[].[ZFORECASTOPENOUTPUT]_x000D_
[LOCID].[].[0001003985]_x000D_
[PRDID].[].[20000754]_x000D_
[KEY_FIGURES].[].[ZACTUALSALES]_x000D_
[LOCID].[].[0001003985]_x000D_
[PRDID].[].[20000754]_x000D_
[KEY_FIGURES].[].[ZCONSENSUSDEMAND]_x000D_
[LOCID].[].[0001003985]_x000D_
[PRDID].[].[20000754]_x000D_
[KEY_FIGURES].[].[INDEPENDENTDEMAND]_x000D_
[LOCID].[].[0001003985]_x000D_
[PRDID].[].[20000886]_x000D_
[KEY_FIGURES].[].[ZCONSENSUSDEMANDQTY]_x000D_
[LOCID].[].[0001003985]_x000D_
[PRDID].[].[20000886]_x000D_
[KEY_FIGURES].[].[ZINPUTSOFC]_x000D_
[LOCID].[].[0001003985]_x000D_
[PRDID].[].[20000886]_x000D_
[KEY_FIGURES].[].[ZFORECASTOPENOUTPUT]_x000D_
[LOCID].[].[0001003985]_x000D_
[PRDID].[].[20000886]_x000D_
[KEY_FIGURES].[].[ZACTUALSALES]_x000D_
[LOCID].[].[0001003985]_x000D_
[PRDID].[].[20000886]_x000D_
[KEY_FIGURES].[].[ZCONSENSUSDEMAND]_x000D_
[LOCID].[].[0001003985]_x000D_
[PRDID].[].[20000886]_x000D_
[KEY_FIGURES].[].[INDEPENDENTDEMAND]_x000D_
[LOCID].[].[0001003985]_x000D_
[PRDID].[].[20000909]_x000D_
[KEY_FIGURES].[].[ZCONSENSUSDEMANDQTY]_x000D_
[LOCID].[].[0001003985]_x000D_
[PRDID].[].[20000909]_x000D_
[KEY_FIGURES].[].[ZINPUTSOFC]_x000D_
[LOCID].[].[0001003985]_x000D_
[PRDID].[].[20000909]_x000D_
[KEY_FIGURES].[].[ZFORECASTOPENOUTPUT]_x000D_
[LOCID].[].[0001003985]_x000D_
[PRDID].[].[20000909]_x000D_
[KEY_FIGURES].[].[ZACTUALSALES]_x000D_
[LOCID].[].[0001003985]_x000D_
[PRDID].[].[20000909]_x000D_
[KEY_FIGURES].[].[ZCONSENSUSDEMAND]_x000D_
[LOCID].[].[0001003985]_x000D_
[PRDID].[].[20000909]_x000D_
[KEY_FIGURES].[].[INDEPENDENTDEMAND]_x000D_
[LOCID].[].[0001004003]_x000D_
[PRDID].[].[20000001]_x000D_
[KEY_FIGURES].[].[ZCONSENSUSDEMANDQTY]_x000D_
[LOCID].[].[0001004003]_x000D_
[PRDID].[].[20000001]_x000D_
[KEY_FIGURES].[].[ZINPUTSOFC]_x000D_
[LOCID].[].[0001004003]_x000D_
[PRDID].[].[20000001]_x000D_
[KEY_FIGURES].[].[ZFORECASTOPENOUTPUT]_x000D_
[LOCID].[].[0001004003]_x000D_
[PRDID].[].[20000001]_x000D_
[KEY_FIGURES].[].[ZACTUALSALES]_x000D_
[LOCID].[].[0001004003]_x000D_
[PRDID].[].[20000001]_x000D_
[KEY_FIGURES].[].[ZCONSENSUSDEMAND]_x000D_
[LOCID].[].[0001004003]_x000D_
[PRDID].[].[20000001]_x000D_
[KEY_FIGURES].[].[INDEPENDENTDEMAND]_x000D_
[LOCID].[].[0001004003]_x000D_
[PRDID].[].[20000013]_x000D_
[KEY_FIGURES].[].[ZCONSENSUSDEMANDQTY]_x000D_
[LOCID].[].[0001004003]_x000D_
[PRDID].[].[20000013]_x000D_
[KEY_FIGURES].[].[ZINPUTSOFC]_x000D_
[LOCID].[].[0001004003]_x000D_
[PRDID].[].[20000013]_x000D_
[KEY_FIGURES].[].[ZFORECASTOPENOUTPUT]_x000D_
[LOCID].[].[0001004003]_x000D_
[PRDID].[].[20000013]_x000D_
[KEY_FIGURES].[].[ZACTUALSALES]_x000D_
[LOCID].[].[0001004003]_x000D_
[PRDID].[].[20000013]_x000D_
[KEY_FIGURES].[].[ZCONSENSUSDEMAND]_x000D_
[LOCID].[].[0001004003]_x000D_
[PRDID].[].[20000013]_x000D_
[KEY_FIGURES].[].[INDEPENDENTDEMAND]_x000D_
[LOCID].[].[0001004006]_x000D_
[PRDID].[].[20000019]_x000D_
[KEY_FIGURES].[].[ZCONSENSUSDEMANDQTY]_x000D_
[LOCID].[].[0001004006]</t>
  </si>
  <si>
    <t>[PRDID].[].[20000019]_x000D_
[KEY_FIGURES].[].[ZINPUTSOFC]_x000D_
[LOCID].[].[0001004006]_x000D_
[PRDID].[].[20000019]_x000D_
[KEY_FIGURES].[].[ZFORECASTOPENOUTPUT]_x000D_
[LOCID].[].[0001004006]_x000D_
[PRDID].[].[20000019]_x000D_
[KEY_FIGURES].[].[ZACTUALSALES]_x000D_
[LOCID].[].[0001004006]_x000D_
[PRDID].[].[20000019]_x000D_
[KEY_FIGURES].[].[ZCONSENSUSDEMAND]_x000D_
[LOCID].[].[0001004006]_x000D_
[PRDID].[].[20000019]_x000D_
[KEY_FIGURES].[].[INDEPENDENTDEMAND]_x000D_
[LOCID].[].[0001004006]_x000D_
[PRDID].[].[20000020]_x000D_
[KEY_FIGURES].[].[ZCONSENSUSDEMANDQTY]_x000D_
[LOCID].[].[0001004006]_x000D_
[PRDID].[].[20000020]_x000D_
[KEY_FIGURES].[].[ZINPUTSOFC]_x000D_
[LOCID].[].[0001004006]_x000D_
[PRDID].[].[20000020]_x000D_
[KEY_FIGURES].[].[ZFORECASTOPENOUTPUT]_x000D_
[LOCID].[].[0001004006]_x000D_
[PRDID].[].[20000020]_x000D_
[KEY_FIGURES].[].[ZACTUALSALES]_x000D_
[LOCID].[].[0001004006]_x000D_
[PRDID].[].[20000020]_x000D_
[KEY_FIGURES].[].[ZCONSENSUSDEMAND]_x000D_
[LOCID].[].[0001004006]_x000D_
[PRDID].[].[20000020]_x000D_
[KEY_FIGURES].[].[INDEPENDENTDEMAND]_x000D_
[LOCID].[].[0001004006]_x000D_
[PRDID].[].[20000076]_x000D_
[KEY_FIGURES].[].[ZCONSENSUSDEMANDQTY]_x000D_
[LOCID].[].[0001004006]_x000D_
[PRDID].[].[20000076]_x000D_
[KEY_FIGURES].[].[ZINPUTSOFC]_x000D_
[LOCID].[].[0001004006]_x000D_
[PRDID].[].[20000076]_x000D_
[KEY_FIGURES].[].[ZFORECASTOPENOUTPUT]_x000D_
[LOCID].[].[0001004006]_x000D_
[PRDID].[].[20000076]_x000D_
[KEY_FIGURES].[].[ZACTUALSALES]_x000D_
[LOCID].[].[0001004006]_x000D_
[PRDID].[].[20000076]_x000D_
[KEY_FIGURES].[].[ZCONSENSUSDEMAND]_x000D_
[LOCID].[].[0001004006]_x000D_
[PRDID].[].[20000076]_x000D_
[KEY_FIGURES].[].[INDEPENDENTDEMAND]_x000D_
[LOCID].[].[0001004006]_x000D_
[PRDID].[].[20000077]_x000D_
[KEY_FIGURES].[].[ZCONSENSUSDEMANDQTY]_x000D_
[LOCID].[].[0001004006]_x000D_
[PRDID].[].[20000077]_x000D_
[KEY_FIGURES].[].[ZINPUTSOFC]_x000D_
[LOCID].[].[0001004006]_x000D_
[PRDID].[].[20000077]_x000D_
[KEY_FIGURES].[].[ZFORECASTOPENOUTPUT]_x000D_
[LOCID].[].[0001004006]_x000D_
[PRDID].[].[20000077]_x000D_
[KEY_FIGURES].[].[ZACTUALSALES]_x000D_
[LOCID].[].[0001004006]_x000D_
[PRDID].[].[20000077]_x000D_
[KEY_FIGURES].[].[ZCONSENSUSDEMAND]_x000D_
[LOCID].[].[0001004006]_x000D_
[PRDID].[].[20000077]_x000D_
[KEY_FIGURES].[].[INDEPENDENTDEMAND]_x000D_
[LOCID].[].[0001004006]_x000D_
[PRDID].[].[20000156]_x000D_
[KEY_FIGURES].[].[ZCONSENSUSDEMANDQTY]_x000D_
[LOCID].[].[0001004006]_x000D_
[PRDID].[].[20000156]_x000D_
[KEY_FIGURES].[].[ZINPUTSOFC]_x000D_
[LOCID].[].[0001004006]_x000D_
[PRDID].[].[20000156]_x000D_
[KEY_FIGURES].[].[ZFORECASTOPENOUTPUT]_x000D_
[LOCID].[].[0001004006]_x000D_
[PRDID].[].[20000156]_x000D_
[KEY_FIGURES].[].[ZACTUALSALES]_x000D_
[LOCID].[].[0001004006]_x000D_
[PRDID].[].[20000156]_x000D_
[KEY_FIGURES].[].[ZCONSENSUSDEMAND]_x000D_
[LOCID].[].[0001004006]_x000D_
[PRDID].[].[20000156]_x000D_
[KEY_FIGURES].[].[INDEPENDENTDEMAND]_x000D_
[LOCID].[].[0001004006]_x000D_
[PRDID].[].[20000157]_x000D_
[KEY_FIGURES].[].[ZCONSENSUSDEMANDQTY]_x000D_
[LOCID].[].[0001004006]_x000D_
[PRDID].[].[20000157]_x000D_
[KEY_FIGURES].[].[ZINPUTSOFC]_x000D_
[LOCID].[].[0001004006]_x000D_
[PRDID].[].[20000157]_x000D_
[KEY_FIGURES].[].[ZFORECASTOPENOUTPUT]_x000D_
[LOCID].[].[0001004006]_x000D_
[PRDID].[].[20000157]_x000D_
[KEY_FIGURES].[].[ZACTUALSALES]_x000D_
[LOCID].[].[0001004006]_x000D_
[PRDID].[].[20000157]_x000D_
[KEY_FIGURES].[].[ZCONSENSUSDEMAND]_x000D_
[LOCID].[].[0001004006]_x000D_
[PRDID].[].[20000157]_x000D_
[KEY_FIGURES].[].[INDEPENDENTDEMAND]_x000D_
[LOCID].[].[0001004006]_x000D_
[PRDID].[].[20000158]_x000D_
[KEY_FIGURES].[].[ZCONSENSUSDEMANDQTY]_x000D_
[LOCID].[].[0001004006]_x000D_
[PRDID].[].[20000158]_x000D_
[KEY_FIGURES].[].[ZINPUTSOFC]_x000D_
[LOCID].[].[0001004006]_x000D_
[PRDID].[].[20000158]_x000D_
[KEY_FIGURES].[].[ZFORECASTOPENOUTPUT]_x000D_
[LOCID].[].[0001004006]_x000D_
[PRDID].[].[20000158]_x000D_
[KEY_FIGURES].[].[ZACTUALSALES]_x000D_
[LOCID].[].[0001004006]_x000D_
[PRDID].[].[20000158]_x000D_
[KEY_FIGURES].[].[ZCONSENSUSDEMAND]_x000D_
[LOCID].[].[0001004006]_x000D_
[PRDID].[].[20000158]_x000D_
[KEY_FIGURES].[].[INDEPENDENTDEMAND]_x000D_
[LOCID].[].[0001004006]_x000D_
[PRDID].[].[20000159]_x000D_
[KEY_FIGURES].[].[ZCONSENSUSDEMANDQTY]_x000D_
[LOCID].[].[0001004006]_x000D_
[PRDID].[].[20000159]_x000D_
[KEY_FIGURES].[].[ZINPUTSOFC]_x000D_
[LOCID].[].[0001004006]_x000D_
[PRDID].[].[20000159]_x000D_
[KEY_FIGURES].[].[ZFORECASTOPENOUTPUT]_x000D_
[LOCID].[].[0001004006]_x000D_
[PRDID].[].[20000159]_x000D_
[KEY_FIGURES].[].[ZACTUALSALES]_x000D_
[LOCID].[].[0001004006]_x000D_
[PRDID].[].[20000159]_x000D_
[KEY_FIGURES].[].[ZCONSENSUSDEMAND]_x000D_
[LOCID].[].[0001004006]_x000D_
[PRDID].[].[20000159]_x000D_
[KEY_FIGURES].[].[INDEPENDENTDEMAND]_x000D_
[LOCID].[].[0001004006]_x000D_
[PRDID].[].[20000160]_x000D_
[KEY_FIGURES].[].[ZCONSENSUSDEMANDQTY]_x000D_
[LOCID].[].[0001004006]_x000D_
[PRDID].[].[20000160]_x000D_
[KEY_FIGURES].[].[ZINPUTSOFC]_x000D_
[LOCID].[].[0001004006]_x000D_
[PRDID].[].[20000160]_x000D_
[KEY_FIGURES].[].[ZFORECASTOPENOUTPUT]_x000D_
[LOCID].[].[0001004006]_x000D_
[PRDID].[].[20000160]_x000D_
[KEY_FIGURES].[].[ZACTUALSALES]_x000D_
[LOCID].[].[0001004006]_x000D_
[PRDID].[].[20000160]_x000D_
[KEY_FIGURES].[].[ZCONSENSUSDEMAND]_x000D_
[LOCID].[].[0001004006]_x000D_
[PRDID].[].[20000160]_x000D_
[KEY_FIGURES].[].[INDEPENDENTDEMAND]_x000D_
[LOCID].[].[0001004006]_x000D_
[PRDID].[].[20000161]_x000D_
[KEY_FIGURES].[].[ZCONSENSUSDEMANDQTY]_x000D_
[LOCID].[].[0001004006]_x000D_
[PRDID].[].[20000161]_x000D_
[KEY_FIGURES].[].[ZINPUTSOFC]_x000D_
[LOCID].[].[0001004006]_x000D_
[PRDID].[].[20000161]_x000D_
[KEY_FIGURES].[].[ZFORECASTOPENOUTPUT]_x000D_
[LOCID].[].[0001004006]_x000D_
[PRDID].[].[20000161]_x000D_
[KEY_FIGURES].[].[ZACTUALSALES]_x000D_
[LOCID].[].[0001004006]_x000D_
[PRDID].[].[20000161]_x000D_
[KEY_FIGURES].[].[ZCONSENSUSDEMAND]_x000D_
[LOCID].[].[0001004006]_x000D_
[PRDID].[].[20000161]_x000D_
[KEY_FIGURES].[].[INDEPENDENTDEMAND]_x000D_
[LOCID].[].[0001004006]_x000D_
[PRDID].[].[20000162]_x000D_
[KEY_FIGURES].[].[ZCONSENSUSDEMANDQTY]_x000D_
[LOCID].[].[0001004006]_x000D_
[PRDID].[].[20000162]_x000D_
[KEY_FIGURES].[].[ZINPUTSOFC]_x000D_
[LOCID].[].[0001004006]_x000D_
[PRDID].[].[20000162]_x000D_
[KEY_FIGURES].[].[ZFORECASTOPENOUTPUT]_x000D_
[LOCID].[].[0001004006]_x000D_
[PRDID].[].[20000162]_x000D_
[KEY_FIGURES].[].[ZACTUALSALES]_x000D_
[LOCID].[].[0001004006]_x000D_
[PRDID].[].[20000162]_x000D_
[KEY_FIGURES].[].[ZCONSENSUSDEMAND]_x000D_
[LOCID].[].[0001004006]_x000D_
[PRDID].[].[20000162]_x000D_
[KEY_FIGURES].[].[INDEPENDENTDEMAND]_x000D_
[LOCID].[].[0001004006]_x000D_
[PRDID].[].[20000163]_x000D_
[KEY_FIGURES].[].[ZCONSENSUSDEMANDQTY]_x000D_
[LOCID].[].[0001004006]_x000D_
[PRDID].[].[20000163]_x000D_
[KEY_FIGURES].[].[ZINPUTSOFC]</t>
  </si>
  <si>
    <t>[LOCID].[].[0001004006]_x000D_
[PRDID].[].[20000163]_x000D_
[KEY_FIGURES].[].[ZFORECASTOPENOUTPUT]_x000D_
[LOCID].[].[0001004006]_x000D_
[PRDID].[].[20000163]_x000D_
[KEY_FIGURES].[].[ZACTUALSALES]_x000D_
[LOCID].[].[0001004006]_x000D_
[PRDID].[].[20000163]_x000D_
[KEY_FIGURES].[].[ZCONSENSUSDEMAND]_x000D_
[LOCID].[].[0001004006]_x000D_
[PRDID].[].[20000163]_x000D_
[KEY_FIGURES].[].[INDEPENDENTDEMAND]_x000D_
[LOCID].[].[0001004006]_x000D_
[PRDID].[].[20000166]_x000D_
[KEY_FIGURES].[].[ZCONSENSUSDEMANDQTY]_x000D_
[LOCID].[].[0001004006]_x000D_
[PRDID].[].[20000166]_x000D_
[KEY_FIGURES].[].[ZINPUTSOFC]_x000D_
[LOCID].[].[0001004006]_x000D_
[PRDID].[].[20000166]_x000D_
[KEY_FIGURES].[].[ZFORECASTOPENOUTPUT]_x000D_
[LOCID].[].[0001004006]_x000D_
[PRDID].[].[20000166]_x000D_
[KEY_FIGURES].[].[ZACTUALSALES]_x000D_
[LOCID].[].[0001004006]_x000D_
[PRDID].[].[20000166]_x000D_
[KEY_FIGURES].[].[ZCONSENSUSDEMAND]_x000D_
[LOCID].[].[0001004006]_x000D_
[PRDID].[].[20000166]_x000D_
[KEY_FIGURES].[].[INDEPENDENTDEMAND]_x000D_
[LOCID].[].[0001004006]_x000D_
[PRDID].[].[20000167]_x000D_
[KEY_FIGURES].[].[ZCONSENSUSDEMANDQTY]_x000D_
[LOCID].[].[0001004006]_x000D_
[PRDID].[].[20000167]_x000D_
[KEY_FIGURES].[].[ZINPUTSOFC]_x000D_
[LOCID].[].[0001004006]_x000D_
[PRDID].[].[20000167]_x000D_
[KEY_FIGURES].[].[ZFORECASTOPENOUTPUT]_x000D_
[LOCID].[].[0001004006]_x000D_
[PRDID].[].[20000167]_x000D_
[KEY_FIGURES].[].[ZACTUALSALES]_x000D_
[LOCID].[].[0001004006]_x000D_
[PRDID].[].[20000167]_x000D_
[KEY_FIGURES].[].[ZCONSENSUSDEMAND]_x000D_
[LOCID].[].[0001004006]_x000D_
[PRDID].[].[20000167]_x000D_
[KEY_FIGURES].[].[INDEPENDENTDEMAND]_x000D_
[LOCID].[].[0001004006]_x000D_
[PRDID].[].[20000168]_x000D_
[KEY_FIGURES].[].[ZCONSENSUSDEMANDQTY]_x000D_
[LOCID].[].[0001004006]_x000D_
[PRDID].[].[20000168]_x000D_
[KEY_FIGURES].[].[ZINPUTSOFC]_x000D_
[LOCID].[].[0001004006]_x000D_
[PRDID].[].[20000168]_x000D_
[KEY_FIGURES].[].[ZFORECASTOPENOUTPUT]_x000D_
[LOCID].[].[0001004006]_x000D_
[PRDID].[].[20000168]_x000D_
[KEY_FIGURES].[].[ZACTUALSALES]_x000D_
[LOCID].[].[0001004006]_x000D_
[PRDID].[].[20000168]_x000D_
[KEY_FIGURES].[].[ZCONSENSUSDEMAND]_x000D_
[LOCID].[].[0001004006]_x000D_
[PRDID].[].[20000168]_x000D_
[KEY_FIGURES].[].[INDEPENDENTDEMAND]_x000D_
[LOCID].[].[0001004006]_x000D_
[PRDID].[].[20000169]_x000D_
[KEY_FIGURES].[].[ZCONSENSUSDEMANDQTY]_x000D_
[LOCID].[].[0001004006]_x000D_
[PRDID].[].[20000169]_x000D_
[KEY_FIGURES].[].[ZINPUTSOFC]_x000D_
[LOCID].[].[0001004006]_x000D_
[PRDID].[].[20000169]_x000D_
[KEY_FIGURES].[].[ZFORECASTOPENOUTPUT]_x000D_
[LOCID].[].[0001004006]_x000D_
[PRDID].[].[20000169]_x000D_
[KEY_FIGURES].[].[ZACTUALSALES]_x000D_
[LOCID].[].[0001004006]_x000D_
[PRDID].[].[20000169]_x000D_
[KEY_FIGURES].[].[ZCONSENSUSDEMAND]_x000D_
[LOCID].[].[0001004006]_x000D_
[PRDID].[].[20000169]_x000D_
[KEY_FIGURES].[].[INDEPENDENTDEMAND]_x000D_
[LOCID].[].[0001004006]_x000D_
[PRDID].[].[20000170]_x000D_
[KEY_FIGURES].[].[ZCONSENSUSDEMANDQTY]_x000D_
[LOCID].[].[0001004006]_x000D_
[PRDID].[].[20000170]_x000D_
[KEY_FIGURES].[].[ZINPUTSOFC]_x000D_
[LOCID].[].[0001004006]_x000D_
[PRDID].[].[20000170]_x000D_
[KEY_FIGURES].[].[ZFORECASTOPENOUTPUT]_x000D_
[LOCID].[].[0001004006]_x000D_
[PRDID].[].[20000170]_x000D_
[KEY_FIGURES].[].[ZACTUALSALES]_x000D_
[LOCID].[].[0001004006]_x000D_
[PRDID].[].[20000170]_x000D_
[KEY_FIGURES].[].[ZCONSENSUSDEMAND]_x000D_
[LOCID].[].[0001004006]_x000D_
[PRDID].[].[20000170]_x000D_
[KEY_FIGURES].[].[INDEPENDENTDEMAND]_x000D_
[LOCID].[].[0001004006]_x000D_
[PRDID].[].[20000171]_x000D_
[KEY_FIGURES].[].[ZCONSENSUSDEMANDQTY]_x000D_
[LOCID].[].[0001004006]_x000D_
[PRDID].[].[20000171]_x000D_
[KEY_FIGURES].[].[ZINPUTSOFC]_x000D_
[LOCID].[].[0001004006]_x000D_
[PRDID].[].[20000171]_x000D_
[KEY_FIGURES].[].[ZFORECASTOPENOUTPUT]_x000D_
[LOCID].[].[0001004006]_x000D_
[PRDID].[].[20000171]_x000D_
[KEY_FIGURES].[].[ZACTUALSALES]_x000D_
[LOCID].[].[0001004006]_x000D_
[PRDID].[].[20000171]_x000D_
[KEY_FIGURES].[].[ZCONSENSUSDEMAND]_x000D_
[LOCID].[].[0001004006]_x000D_
[PRDID].[].[20000171]_x000D_
[KEY_FIGURES].[].[INDEPENDENTDEMAND]_x000D_
[LOCID].[].[0001004006]_x000D_
[PRDID].[].[20000184]_x000D_
[KEY_FIGURES].[].[ZCONSENSUSDEMANDQTY]_x000D_
[LOCID].[].[0001004006]_x000D_
[PRDID].[].[20000184]_x000D_
[KEY_FIGURES].[].[ZINPUTSOFC]_x000D_
[LOCID].[].[0001004006]_x000D_
[PRDID].[].[20000184]_x000D_
[KEY_FIGURES].[].[ZFORECASTOPENOUTPUT]_x000D_
[LOCID].[].[0001004006]_x000D_
[PRDID].[].[20000184]_x000D_
[KEY_FIGURES].[].[ZACTUALSALES]_x000D_
[LOCID].[].[0001004006]_x000D_
[PRDID].[].[20000184]_x000D_
[KEY_FIGURES].[].[ZCONSENSUSDEMAND]_x000D_
[LOCID].[].[0001004006]_x000D_
[PRDID].[].[20000184]_x000D_
[KEY_FIGURES].[].[INDEPENDENTDEMAND]_x000D_
[LOCID].[].[0001004006]_x000D_
[PRDID].[].[20000223]_x000D_
[KEY_FIGURES].[].[ZCONSENSUSDEMANDQTY]_x000D_
[LOCID].[].[0001004006]_x000D_
[PRDID].[].[20000223]_x000D_
[KEY_FIGURES].[].[ZINPUTSOFC]_x000D_
[LOCID].[].[0001004006]_x000D_
[PRDID].[].[20000223]_x000D_
[KEY_FIGURES].[].[ZFORECASTOPENOUTPUT]_x000D_
[LOCID].[].[0001004006]_x000D_
[PRDID].[].[20000223]_x000D_
[KEY_FIGURES].[].[ZACTUALSALES]_x000D_
[LOCID].[].[0001004006]_x000D_
[PRDID].[].[20000223]_x000D_
[KEY_FIGURES].[].[ZCONSENSUSDEMAND]_x000D_
[LOCID].[].[0001004006]_x000D_
[PRDID].[].[20000223]_x000D_
[KEY_FIGURES].[].[INDEPENDENTDEMAND]_x000D_
[LOCID].[].[0001004006]_x000D_
[PRDID].[].[20000224]_x000D_
[KEY_FIGURES].[].[ZCONSENSUSDEMANDQTY]_x000D_
[LOCID].[].[0001004006]_x000D_
[PRDID].[].[20000224]_x000D_
[KEY_FIGURES].[].[ZINPUTSOFC]_x000D_
[LOCID].[].[0001004006]_x000D_
[PRDID].[].[20000224]_x000D_
[KEY_FIGURES].[].[ZFORECASTOPENOUTPUT]_x000D_
[LOCID].[].[0001004006]_x000D_
[PRDID].[].[20000224]_x000D_
[KEY_FIGURES].[].[ZACTUALSALES]_x000D_
[LOCID].[].[0001004006]_x000D_
[PRDID].[].[20000224]_x000D_
[KEY_FIGURES].[].[ZCONSENSUSDEMAND]_x000D_
[LOCID].[].[0001004006]_x000D_
[PRDID].[].[20000224]_x000D_
[KEY_FIGURES].[].[INDEPENDENTDEMAND]_x000D_
[LOCID].[].[0001004006]_x000D_
[PRDID].[].[20000227]_x000D_
[KEY_FIGURES].[].[ZCONSENSUSDEMANDQTY]_x000D_
[LOCID].[].[0001004006]_x000D_
[PRDID].[].[20000227]_x000D_
[KEY_FIGURES].[].[ZINPUTSOFC]_x000D_
[LOCID].[].[0001004006]_x000D_
[PRDID].[].[20000227]_x000D_
[KEY_FIGURES].[].[ZFORECASTOPENOUTPUT]_x000D_
[LOCID].[].[0001004006]_x000D_
[PRDID].[].[20000227]_x000D_
[KEY_FIGURES].[].[ZACTUALSALES]_x000D_
[LOCID].[].[0001004006]_x000D_
[PRDID].[].[20000227]_x000D_
[KEY_FIGURES].[].[ZCONSENSUSDEMAND]_x000D_
[LOCID].[].[0001004006]_x000D_
[PRDID].[].[20000227]_x000D_
[KEY_FIGURES].[].[INDEPENDENTDEMAND]_x000D_
[LOCID].[].[0001004006]_x000D_
[PRDID].[].[20000228]_x000D_
[KEY_FIGURES].[].[ZCONSENSUSDEMANDQTY]_x000D_
[LOCID].[].[0001004006]_x000D_
[PRDID].[].[20000228]_x000D_
[KEY_FIGURES].[].[ZINPUTSOFC]_x000D_
[LOCID].[].[0001004006]_x000D_
[PRDID].[].[20000228]</t>
  </si>
  <si>
    <t>[KEY_FIGURES].[].[ZFORECASTOPENOUTPUT]_x000D_
[LOCID].[].[0001004006]_x000D_
[PRDID].[].[20000228]_x000D_
[KEY_FIGURES].[].[ZACTUALSALES]_x000D_
[LOCID].[].[0001004006]_x000D_
[PRDID].[].[20000228]_x000D_
[KEY_FIGURES].[].[ZCONSENSUSDEMAND]_x000D_
[LOCID].[].[0001004006]_x000D_
[PRDID].[].[20000228]_x000D_
[KEY_FIGURES].[].[INDEPENDENTDEMAND]_x000D_
[LOCID].[].[0001004006]_x000D_
[PRDID].[].[20000229]_x000D_
[KEY_FIGURES].[].[ZCONSENSUSDEMANDQTY]_x000D_
[LOCID].[].[0001004006]_x000D_
[PRDID].[].[20000229]_x000D_
[KEY_FIGURES].[].[ZINPUTSOFC]_x000D_
[LOCID].[].[0001004006]_x000D_
[PRDID].[].[20000229]_x000D_
[KEY_FIGURES].[].[ZFORECASTOPENOUTPUT]_x000D_
[LOCID].[].[0001004006]_x000D_
[PRDID].[].[20000229]_x000D_
[KEY_FIGURES].[].[ZACTUALSALES]_x000D_
[LOCID].[].[0001004006]_x000D_
[PRDID].[].[20000229]_x000D_
[KEY_FIGURES].[].[ZCONSENSUSDEMAND]_x000D_
[LOCID].[].[0001004006]_x000D_
[PRDID].[].[20000229]_x000D_
[KEY_FIGURES].[].[INDEPENDENTDEMAND]_x000D_
[LOCID].[].[0001004006]_x000D_
[PRDID].[].[20000230]_x000D_
[KEY_FIGURES].[].[ZCONSENSUSDEMANDQTY]_x000D_
[LOCID].[].[0001004006]_x000D_
[PRDID].[].[20000230]_x000D_
[KEY_FIGURES].[].[ZINPUTSOFC]_x000D_
[LOCID].[].[0001004006]_x000D_
[PRDID].[].[20000230]_x000D_
[KEY_FIGURES].[].[ZFORECASTOPENOUTPUT]_x000D_
[LOCID].[].[0001004006]_x000D_
[PRDID].[].[20000230]_x000D_
[KEY_FIGURES].[].[ZACTUALSALES]_x000D_
[LOCID].[].[0001004006]_x000D_
[PRDID].[].[20000230]_x000D_
[KEY_FIGURES].[].[ZCONSENSUSDEMAND]_x000D_
[LOCID].[].[0001004006]_x000D_
[PRDID].[].[20000230]_x000D_
[KEY_FIGURES].[].[INDEPENDENTDEMAND]_x000D_
[LOCID].[].[0001004006]_x000D_
[PRDID].[].[20000231]_x000D_
[KEY_FIGURES].[].[ZCONSENSUSDEMANDQTY]_x000D_
[LOCID].[].[0001004006]_x000D_
[PRDID].[].[20000231]_x000D_
[KEY_FIGURES].[].[ZINPUTSOFC]_x000D_
[LOCID].[].[0001004006]_x000D_
[PRDID].[].[20000231]_x000D_
[KEY_FIGURES].[].[ZFORECASTOPENOUTPUT]_x000D_
[LOCID].[].[0001004006]_x000D_
[PRDID].[].[20000231]_x000D_
[KEY_FIGURES].[].[ZACTUALSALES]_x000D_
[LOCID].[].[0001004006]_x000D_
[PRDID].[].[20000231]_x000D_
[KEY_FIGURES].[].[ZCONSENSUSDEMAND]_x000D_
[LOCID].[].[0001004006]_x000D_
[PRDID].[].[20000231]_x000D_
[KEY_FIGURES].[].[INDEPENDENTDEMAND]_x000D_
[LOCID].[].[0001004006]_x000D_
[PRDID].[].[20000232]_x000D_
[KEY_FIGURES].[].[ZCONSENSUSDEMANDQTY]_x000D_
[LOCID].[].[0001004006]_x000D_
[PRDID].[].[20000232]_x000D_
[KEY_FIGURES].[].[ZINPUTSOFC]_x000D_
[LOCID].[].[0001004006]_x000D_
[PRDID].[].[20000232]_x000D_
[KEY_FIGURES].[].[ZFORECASTOPENOUTPUT]_x000D_
[LOCID].[].[0001004006]_x000D_
[PRDID].[].[20000232]_x000D_
[KEY_FIGURES].[].[ZACTUALSALES]_x000D_
[LOCID].[].[0001004006]_x000D_
[PRDID].[].[20000232]_x000D_
[KEY_FIGURES].[].[ZCONSENSUSDEMAND]_x000D_
[LOCID].[].[0001004006]_x000D_
[PRDID].[].[20000232]_x000D_
[KEY_FIGURES].[].[INDEPENDENTDEMAND]_x000D_
[LOCID].[].[0001004006]_x000D_
[PRDID].[].[20000233]_x000D_
[KEY_FIGURES].[].[ZCONSENSUSDEMANDQTY]_x000D_
[LOCID].[].[0001004006]_x000D_
[PRDID].[].[20000233]_x000D_
[KEY_FIGURES].[].[ZINPUTSOFC]_x000D_
[LOCID].[].[0001004006]_x000D_
[PRDID].[].[20000233]_x000D_
[KEY_FIGURES].[].[ZFORECASTOPENOUTPUT]_x000D_
[LOCID].[].[0001004006]_x000D_
[PRDID].[].[20000233]_x000D_
[KEY_FIGURES].[].[ZACTUALSALES]_x000D_
[LOCID].[].[0001004006]_x000D_
[PRDID].[].[20000233]_x000D_
[KEY_FIGURES].[].[ZCONSENSUSDEMAND]_x000D_
[LOCID].[].[0001004006]_x000D_
[PRDID].[].[20000233]_x000D_
[KEY_FIGURES].[].[INDEPENDENTDEMAND]_x000D_
[LOCID].[].[0001004006]_x000D_
[PRDID].[].[20000336]_x000D_
[KEY_FIGURES].[].[ZCONSENSUSDEMANDQTY]_x000D_
[LOCID].[].[0001004006]_x000D_
[PRDID].[].[20000336]_x000D_
[KEY_FIGURES].[].[ZINPUTSOFC]_x000D_
[LOCID].[].[0001004006]_x000D_
[PRDID].[].[20000336]_x000D_
[KEY_FIGURES].[].[ZFORECASTOPENOUTPUT]_x000D_
[LOCID].[].[0001004006]_x000D_
[PRDID].[].[20000336]_x000D_
[KEY_FIGURES].[].[ZACTUALSALES]_x000D_
[LOCID].[].[0001004006]_x000D_
[PRDID].[].[20000336]_x000D_
[KEY_FIGURES].[].[ZCONSENSUSDEMAND]_x000D_
[LOCID].[].[0001004006]_x000D_
[PRDID].[].[20000336]_x000D_
[KEY_FIGURES].[].[INDEPENDENTDEMAND]_x000D_
[LOCID].[].[0001004006]_x000D_
[PRDID].[].[20000337]_x000D_
[KEY_FIGURES].[].[ZCONSENSUSDEMANDQTY]_x000D_
[LOCID].[].[0001004006]_x000D_
[PRDID].[].[20000337]_x000D_
[KEY_FIGURES].[].[ZINPUTSOFC]_x000D_
[LOCID].[].[0001004006]_x000D_
[PRDID].[].[20000337]_x000D_
[KEY_FIGURES].[].[ZFORECASTOPENOUTPUT]_x000D_
[LOCID].[].[0001004006]_x000D_
[PRDID].[].[20000337]_x000D_
[KEY_FIGURES].[].[ZACTUALSALES]_x000D_
[LOCID].[].[0001004006]_x000D_
[PRDID].[].[20000337]_x000D_
[KEY_FIGURES].[].[ZCONSENSUSDEMAND]_x000D_
[LOCID].[].[0001004006]_x000D_
[PRDID].[].[20000337]_x000D_
[KEY_FIGURES].[].[INDEPENDENTDEMAND]_x000D_
[LOCID].[].[0001004006]_x000D_
[PRDID].[].[20000338]_x000D_
[KEY_FIGURES].[].[ZCONSENSUSDEMANDQTY]_x000D_
[LOCID].[].[0001004006]_x000D_
[PRDID].[].[20000338]_x000D_
[KEY_FIGURES].[].[ZINPUTSOFC]_x000D_
[LOCID].[].[0001004006]_x000D_
[PRDID].[].[20000338]_x000D_
[KEY_FIGURES].[].[ZFORECASTOPENOUTPUT]_x000D_
[LOCID].[].[0001004006]_x000D_
[PRDID].[].[20000338]_x000D_
[KEY_FIGURES].[].[ZACTUALSALES]_x000D_
[LOCID].[].[0001004006]_x000D_
[PRDID].[].[20000338]_x000D_
[KEY_FIGURES].[].[ZCONSENSUSDEMAND]_x000D_
[LOCID].[].[0001004006]_x000D_
[PRDID].[].[20000338]_x000D_
[KEY_FIGURES].[].[INDEPENDENTDEMAND]_x000D_
[LOCID].[].[0001004006]_x000D_
[PRDID].[].[20000339]_x000D_
[KEY_FIGURES].[].[ZCONSENSUSDEMANDQTY]_x000D_
[LOCID].[].[0001004006]_x000D_
[PRDID].[].[20000339]_x000D_
[KEY_FIGURES].[].[ZINPUTSOFC]_x000D_
[LOCID].[].[0001004006]_x000D_
[PRDID].[].[20000339]_x000D_
[KEY_FIGURES].[].[ZFORECASTOPENOUTPUT]_x000D_
[LOCID].[].[0001004006]_x000D_
[PRDID].[].[20000339]_x000D_
[KEY_FIGURES].[].[ZACTUALSALES]_x000D_
[LOCID].[].[0001004006]_x000D_
[PRDID].[].[20000339]_x000D_
[KEY_FIGURES].[].[ZCONSENSUSDEMAND]_x000D_
[LOCID].[].[0001004006]_x000D_
[PRDID].[].[20000339]_x000D_
[KEY_FIGURES].[].[INDEPENDENTDEMAND]_x000D_
[LOCID].[].[0001004006]_x000D_
[PRDID].[].[20000340]_x000D_
[KEY_FIGURES].[].[ZCONSENSUSDEMANDQTY]_x000D_
[LOCID].[].[0001004006]_x000D_
[PRDID].[].[20000340]_x000D_
[KEY_FIGURES].[].[ZINPUTSOFC]_x000D_
[LOCID].[].[0001004006]_x000D_
[PRDID].[].[20000340]_x000D_
[KEY_FIGURES].[].[ZFORECASTOPENOUTPUT]_x000D_
[LOCID].[].[0001004006]_x000D_
[PRDID].[].[20000340]_x000D_
[KEY_FIGURES].[].[ZACTUALSALES]_x000D_
[LOCID].[].[0001004006]_x000D_
[PRDID].[].[20000340]_x000D_
[KEY_FIGURES].[].[ZCONSENSUSDEMAND]_x000D_
[LOCID].[].[0001004006]_x000D_
[PRDID].[].[20000340]_x000D_
[KEY_FIGURES].[].[INDEPENDENTDEMAND]_x000D_
[LOCID].[].[0001004006]_x000D_
[PRDID].[].[20000341]_x000D_
[KEY_FIGURES].[].[ZCONSENSUSDEMANDQTY]_x000D_
[LOCID].[].[0001004006]_x000D_
[PRDID].[].[20000341]_x000D_
[KEY_FIGURES].[].[ZINPUTSOFC]_x000D_
[LOCID].[].[0001004006]_x000D_
[PRDID].[].[20000341]_x000D_
[KEY_FIGURES].[].[ZFORECASTOPENOUTPUT]_x000D_
[LOCID].[].[0001004006]</t>
  </si>
  <si>
    <t>[PRDID].[].[20000341]_x000D_
[KEY_FIGURES].[].[ZACTUALSALES]_x000D_
[LOCID].[].[0001004006]_x000D_
[PRDID].[].[20000341]_x000D_
[KEY_FIGURES].[].[ZCONSENSUSDEMAND]_x000D_
[LOCID].[].[0001004006]_x000D_
[PRDID].[].[20000341]_x000D_
[KEY_FIGURES].[].[INDEPENDENTDEMAND]_x000D_
[LOCID].[].[0001004006]_x000D_
[PRDID].[].[20000343]_x000D_
[KEY_FIGURES].[].[ZCONSENSUSDEMANDQTY]_x000D_
[LOCID].[].[0001004006]_x000D_
[PRDID].[].[20000343]_x000D_
[KEY_FIGURES].[].[ZINPUTSOFC]_x000D_
[LOCID].[].[0001004006]_x000D_
[PRDID].[].[20000343]_x000D_
[KEY_FIGURES].[].[ZFORECASTOPENOUTPUT]_x000D_
[LOCID].[].[0001004006]_x000D_
[PRDID].[].[20000343]_x000D_
[KEY_FIGURES].[].[ZACTUALSALES]_x000D_
[LOCID].[].[0001004006]_x000D_
[PRDID].[].[20000343]_x000D_
[KEY_FIGURES].[].[ZCONSENSUSDEMAND]_x000D_
[LOCID].[].[0001004006]_x000D_
[PRDID].[].[20000343]_x000D_
[KEY_FIGURES].[].[INDEPENDENTDEMAND]_x000D_
[LOCID].[].[0001004006]_x000D_
[PRDID].[].[20000560]_x000D_
[KEY_FIGURES].[].[ZCONSENSUSDEMANDQTY]_x000D_
[LOCID].[].[0001004006]_x000D_
[PRDID].[].[20000560]_x000D_
[KEY_FIGURES].[].[ZINPUTSOFC]_x000D_
[LOCID].[].[0001004006]_x000D_
[PRDID].[].[20000560]_x000D_
[KEY_FIGURES].[].[ZFORECASTOPENOUTPUT]_x000D_
[LOCID].[].[0001004006]_x000D_
[PRDID].[].[20000560]_x000D_
[KEY_FIGURES].[].[ZACTUALSALES]_x000D_
[LOCID].[].[0001004006]_x000D_
[PRDID].[].[20000560]_x000D_
[KEY_FIGURES].[].[ZCONSENSUSDEMAND]_x000D_
[LOCID].[].[0001004006]_x000D_
[PRDID].[].[20000560]_x000D_
[KEY_FIGURES].[].[INDEPENDENTDEMAND]_x000D_
[LOCID].[].[0001004035]_x000D_
[PRDID].[].[20001067]_x000D_
[KEY_FIGURES].[].[ZCONSENSUSDEMANDQTY]_x000D_
[LOCID].[].[0001004035]_x000D_
[PRDID].[].[20001067]_x000D_
[KEY_FIGURES].[].[ZINPUTSOFC]_x000D_
[LOCID].[].[0001004035]_x000D_
[PRDID].[].[20001067]_x000D_
[KEY_FIGURES].[].[ZFORECASTOPENOUTPUT]_x000D_
[LOCID].[].[0001004035]_x000D_
[PRDID].[].[20001067]_x000D_
[KEY_FIGURES].[].[ZACTUALSALES]_x000D_
[LOCID].[].[0001004035]_x000D_
[PRDID].[].[20001067]_x000D_
[KEY_FIGURES].[].[ZCONSENSUSDEMAND]_x000D_
[LOCID].[].[0001004035]_x000D_
[PRDID].[].[20001067]_x000D_
[KEY_FIGURES].[].[INDEPENDENTDEMAND]_x000D_
[LOCID].[].[0001004035]_x000D_
[PRDID].[].[20001068]_x000D_
[KEY_FIGURES].[].[ZCONSENSUSDEMANDQTY]_x000D_
[LOCID].[].[0001004035]_x000D_
[PRDID].[].[20001068]_x000D_
[KEY_FIGURES].[].[ZINPUTSOFC]_x000D_
[LOCID].[].[0001004035]_x000D_
[PRDID].[].[20001068]_x000D_
[KEY_FIGURES].[].[ZFORECASTOPENOUTPUT]_x000D_
[LOCID].[].[0001004035]_x000D_
[PRDID].[].[20001068]_x000D_
[KEY_FIGURES].[].[ZACTUALSALES]_x000D_
[LOCID].[].[0001004035]_x000D_
[PRDID].[].[20001068]_x000D_
[KEY_FIGURES].[].[ZCONSENSUSDEMAND]_x000D_
[LOCID].[].[0001004035]_x000D_
[PRDID].[].[20001068]_x000D_
[KEY_FIGURES].[].[INDEPENDENTDEMAND]_x000D_
[LOCID].[].[0001004035]_x000D_
[PRDID].[].[20001069]_x000D_
[KEY_FIGURES].[].[ZCONSENSUSDEMANDQTY]_x000D_
[LOCID].[].[0001004035]_x000D_
[PRDID].[].[20001069]_x000D_
[KEY_FIGURES].[].[ZINPUTSOFC]_x000D_
[LOCID].[].[0001004035]_x000D_
[PRDID].[].[20001069]_x000D_
[KEY_FIGURES].[].[ZFORECASTOPENOUTPUT]_x000D_
[LOCID].[].[0001004035]_x000D_
[PRDID].[].[20001069]_x000D_
[KEY_FIGURES].[].[ZACTUALSALES]_x000D_
[LOCID].[].[0001004035]_x000D_
[PRDID].[].[20001069]_x000D_
[KEY_FIGURES].[].[ZCONSENSUSDEMAND]_x000D_
[LOCID].[].[0001004035]_x000D_
[PRDID].[].[20001069]_x000D_
[KEY_FIGURES].[].[INDEPENDENTDEMAND]_x000D_
[LOCID].[].[0001004035]_x000D_
[PRDID].[].[20001070]_x000D_
[KEY_FIGURES].[].[ZCONSENSUSDEMANDQTY]_x000D_
[LOCID].[].[0001004035]_x000D_
[PRDID].[].[20001070]_x000D_
[KEY_FIGURES].[].[ZINPUTSOFC]_x000D_
[LOCID].[].[0001004035]_x000D_
[PRDID].[].[20001070]_x000D_
[KEY_FIGURES].[].[ZFORECASTOPENOUTPUT]_x000D_
[LOCID].[].[0001004035]_x000D_
[PRDID].[].[20001070]_x000D_
[KEY_FIGURES].[].[ZACTUALSALES]_x000D_
[LOCID].[].[0001004035]_x000D_
[PRDID].[].[20001070]_x000D_
[KEY_FIGURES].[].[ZCONSENSUSDEMAND]_x000D_
[LOCID].[].[0001004035]_x000D_
[PRDID].[].[20001070]_x000D_
[KEY_FIGURES].[].[INDEPENDENTDEMAND]_x000D_
[LOCID].[].[0001004035]_x000D_
[PRDID].[].[20001071]_x000D_
[KEY_FIGURES].[].[ZCONSENSUSDEMANDQTY]_x000D_
[LOCID].[].[0001004035]_x000D_
[PRDID].[].[20001071]_x000D_
[KEY_FIGURES].[].[ZINPUTSOFC]_x000D_
[LOCID].[].[0001004035]_x000D_
[PRDID].[].[20001071]_x000D_
[KEY_FIGURES].[].[ZFORECASTOPENOUTPUT]_x000D_
[LOCID].[].[0001004035]_x000D_
[PRDID].[].[20001071]_x000D_
[KEY_FIGURES].[].[ZACTUALSALES]_x000D_
[LOCID].[].[0001004035]_x000D_
[PRDID].[].[20001071]_x000D_
[KEY_FIGURES].[].[ZCONSENSUSDEMAND]_x000D_
[LOCID].[].[0001004035]_x000D_
[PRDID].[].[20001071]_x000D_
[KEY_FIGURES].[].[INDEPENDENTDEMAND]_x000D_
[LOCID].[].[0001004035]_x000D_
[PRDID].[].[20001072]_x000D_
[KEY_FIGURES].[].[ZCONSENSUSDEMANDQTY]_x000D_
[LOCID].[].[0001004035]_x000D_
[PRDID].[].[20001072]_x000D_
[KEY_FIGURES].[].[ZINPUTSOFC]_x000D_
[LOCID].[].[0001004035]_x000D_
[PRDID].[].[20001072]_x000D_
[KEY_FIGURES].[].[ZFORECASTOPENOUTPUT]_x000D_
[LOCID].[].[0001004035]_x000D_
[PRDID].[].[20001072]_x000D_
[KEY_FIGURES].[].[ZACTUALSALES]_x000D_
[LOCID].[].[0001004035]_x000D_
[PRDID].[].[20001072]_x000D_
[KEY_FIGURES].[].[ZCONSENSUSDEMAND]_x000D_
[LOCID].[].[0001004035]_x000D_
[PRDID].[].[20001072]_x000D_
[KEY_FIGURES].[].[INDEPENDENTDEMAND]_x000D_
[LOCID].[].[0001004035]_x000D_
[PRDID].[].[20001073]_x000D_
[KEY_FIGURES].[].[ZCONSENSUSDEMANDQTY]_x000D_
[LOCID].[].[0001004035]_x000D_
[PRDID].[].[20001073]_x000D_
[KEY_FIGURES].[].[ZINPUTSOFC]_x000D_
[LOCID].[].[0001004035]_x000D_
[PRDID].[].[20001073]_x000D_
[KEY_FIGURES].[].[ZFORECASTOPENOUTPUT]_x000D_
[LOCID].[].[0001004035]_x000D_
[PRDID].[].[20001073]_x000D_
[KEY_FIGURES].[].[ZACTUALSALES]_x000D_
[LOCID].[].[0001004035]_x000D_
[PRDID].[].[20001073]_x000D_
[KEY_FIGURES].[].[ZCONSENSUSDEMAND]_x000D_
[LOCID].[].[0001004035]_x000D_
[PRDID].[].[20001073]_x000D_
[KEY_FIGURES].[].[INDEPENDENTDEMAND]_x000D_
[LOCID].[].[0001004035]_x000D_
[PRDID].[].[20001126]_x000D_
[KEY_FIGURES].[].[ZCONSENSUSDEMANDQTY]_x000D_
[LOCID].[].[0001004035]_x000D_
[PRDID].[].[20001126]_x000D_
[KEY_FIGURES].[].[ZINPUTSOFC]_x000D_
[LOCID].[].[0001004035]_x000D_
[PRDID].[].[20001126]_x000D_
[KEY_FIGURES].[].[ZFORECASTOPENOUTPUT]_x000D_
[LOCID].[].[0001004035]_x000D_
[PRDID].[].[20001126]_x000D_
[KEY_FIGURES].[].[ZACTUALSALES]_x000D_
[LOCID].[].[0001004035]_x000D_
[PRDID].[].[20001126]_x000D_
[KEY_FIGURES].[].[ZCONSENSUSDEMAND]_x000D_
[LOCID].[].[0001004035]_x000D_
[PRDID].[].[20001126]_x000D_
[KEY_FIGURES].[].[INDEPENDENTDEMAND]_x000D_
[LOCID].[].[0001004037]_x000D_
[PRDID].[].[20000012]_x000D_
[KEY_FIGURES].[].[ZCONSENSUSDEMANDQTY]_x000D_
[LOCID].[].[0001004037]_x000D_
[PRDID].[].[20000012]_x000D_
[KEY_FIGURES].[].[ZINPUTSOFC]_x000D_
[LOCID].[].[0001004037]_x000D_
[PRDID].[].[20000012]_x000D_
[KEY_FIGURES].[].[ZFORECASTOPENOUTPUT]_x000D_
[LOCID].[].[0001004037]_x000D_
[PRDID].[].[20000012]_x000D_
[KEY_FIGURES].[].[ZACTUALSALES]</t>
  </si>
  <si>
    <t>[LOCID].[].[0001004037]_x000D_
[PRDID].[].[20000012]_x000D_
[KEY_FIGURES].[].[ZCONSENSUSDEMAND]_x000D_
[LOCID].[].[0001004037]_x000D_
[PRDID].[].[20000012]_x000D_
[KEY_FIGURES].[].[INDEPENDENTDEMAND]_x000D_
[LOCID].[].[0001004037]_x000D_
[PRDID].[].[20000049]_x000D_
[KEY_FIGURES].[].[ZCONSENSUSDEMANDQTY]_x000D_
[LOCID].[].[0001004037]_x000D_
[PRDID].[].[20000049]_x000D_
[KEY_FIGURES].[].[ZINPUTSOFC]_x000D_
[LOCID].[].[0001004037]_x000D_
[PRDID].[].[20000049]_x000D_
[KEY_FIGURES].[].[ZFORECASTOPENOUTPUT]_x000D_
[LOCID].[].[0001004037]_x000D_
[PRDID].[].[20000049]_x000D_
[KEY_FIGURES].[].[ZACTUALSALES]_x000D_
[LOCID].[].[0001004037]_x000D_
[PRDID].[].[20000049]_x000D_
[KEY_FIGURES].[].[ZCONSENSUSDEMAND]_x000D_
[LOCID].[].[0001004037]_x000D_
[PRDID].[].[20000049]_x000D_
[KEY_FIGURES].[].[INDEPENDENTDEMAND]_x000D_
[LOCID].[].[0001004037]_x000D_
[PRDID].[].[20000205]_x000D_
[KEY_FIGURES].[].[ZCONSENSUSDEMANDQTY]_x000D_
[LOCID].[].[0001004037]_x000D_
[PRDID].[].[20000205]_x000D_
[KEY_FIGURES].[].[ZINPUTSOFC]_x000D_
[LOCID].[].[0001004037]_x000D_
[PRDID].[].[20000205]_x000D_
[KEY_FIGURES].[].[ZFORECASTOPENOUTPUT]_x000D_
[LOCID].[].[0001004037]_x000D_
[PRDID].[].[20000205]_x000D_
[KEY_FIGURES].[].[ZACTUALSALES]_x000D_
[LOCID].[].[0001004037]_x000D_
[PRDID].[].[20000205]_x000D_
[KEY_FIGURES].[].[ZCONSENSUSDEMAND]_x000D_
[LOCID].[].[0001004037]_x000D_
[PRDID].[].[20000205]_x000D_
[KEY_FIGURES].[].[INDEPENDENTDEMAND]_x000D_
[LOCID].[].[0001004037]_x000D_
[PRDID].[].[20000209]_x000D_
[KEY_FIGURES].[].[ZCONSENSUSDEMANDQTY]_x000D_
[LOCID].[].[0001004037]_x000D_
[PRDID].[].[20000209]_x000D_
[KEY_FIGURES].[].[ZINPUTSOFC]_x000D_
[LOCID].[].[0001004037]_x000D_
[PRDID].[].[20000209]_x000D_
[KEY_FIGURES].[].[ZFORECASTOPENOUTPUT]_x000D_
[LOCID].[].[0001004037]_x000D_
[PRDID].[].[20000209]_x000D_
[KEY_FIGURES].[].[ZACTUALSALES]_x000D_
[LOCID].[].[0001004037]_x000D_
[PRDID].[].[20000209]_x000D_
[KEY_FIGURES].[].[ZCONSENSUSDEMAND]_x000D_
[LOCID].[].[0001004037]_x000D_
[PRDID].[].[20000209]_x000D_
[KEY_FIGURES].[].[INDEPENDENTDEMAND]_x000D_
[LOCID].[].[0001004043]_x000D_
[PRDID].[].[20000587]_x000D_
[KEY_FIGURES].[].[ZCONSENSUSDEMANDQTY]_x000D_
[LOCID].[].[0001004043]_x000D_
[PRDID].[].[20000587]_x000D_
[KEY_FIGURES].[].[ZINPUTSOFC]_x000D_
[LOCID].[].[0001004043]_x000D_
[PRDID].[].[20000587]_x000D_
[KEY_FIGURES].[].[ZFORECASTOPENOUTPUT]_x000D_
[LOCID].[].[0001004043]_x000D_
[PRDID].[].[20000587]_x000D_
[KEY_FIGURES].[].[ZACTUALSALES]_x000D_
[LOCID].[].[0001004043]_x000D_
[PRDID].[].[20000587]_x000D_
[KEY_FIGURES].[].[ZCONSENSUSDEMAND]_x000D_
[LOCID].[].[0001004043]_x000D_
[PRDID].[].[20000587]_x000D_
[KEY_FIGURES].[].[INDEPENDENTDEMAND]_x000D_
[LOCID].[].[0001004043]_x000D_
[PRDID].[].[20000764]_x000D_
[KEY_FIGURES].[].[ZCONSENSUSDEMANDQTY]_x000D_
[LOCID].[].[0001004043]_x000D_
[PRDID].[].[20000764]_x000D_
[KEY_FIGURES].[].[ZINPUTSOFC]_x000D_
[LOCID].[].[0001004043]_x000D_
[PRDID].[].[20000764]_x000D_
[KEY_FIGURES].[].[ZFORECASTOPENOUTPUT]_x000D_
[LOCID].[].[0001004043]_x000D_
[PRDID].[].[20000764]_x000D_
[KEY_FIGURES].[].[ZACTUALSALES]_x000D_
[LOCID].[].[0001004043]_x000D_
[PRDID].[].[20000764]_x000D_
[KEY_FIGURES].[].[ZCONSENSUSDEMAND]_x000D_
[LOCID].[].[0001004043]_x000D_
[PRDID].[].[20000764]_x000D_
[KEY_FIGURES].[].[INDEPENDENTDEMAND]_x000D_
[LOCID].[].[0001004043]_x000D_
[PRDID].[].[20000765]_x000D_
[KEY_FIGURES].[].[ZCONSENSUSDEMANDQTY]_x000D_
[LOCID].[].[0001004043]_x000D_
[PRDID].[].[20000765]_x000D_
[KEY_FIGURES].[].[ZINPUTSOFC]_x000D_
[LOCID].[].[0001004043]_x000D_
[PRDID].[].[20000765]_x000D_
[KEY_FIGURES].[].[ZFORECASTOPENOUTPUT]_x000D_
[LOCID].[].[0001004043]_x000D_
[PRDID].[].[20000765]_x000D_
[KEY_FIGURES].[].[ZACTUALSALES]_x000D_
[LOCID].[].[0001004043]_x000D_
[PRDID].[].[20000765]_x000D_
[KEY_FIGURES].[].[ZCONSENSUSDEMAND]_x000D_
[LOCID].[].[0001004043]_x000D_
[PRDID].[].[20000765]_x000D_
[KEY_FIGURES].[].[INDEPENDENTDEMAND]_x000D_
[LOCID].[].[0001004044]_x000D_
[PRDID].[].[20000126]_x000D_
[KEY_FIGURES].[].[ZCONSENSUSDEMANDQTY]_x000D_
[LOCID].[].[0001004044]_x000D_
[PRDID].[].[20000126]_x000D_
[KEY_FIGURES].[].[ZINPUTSOFC]_x000D_
[LOCID].[].[0001004044]_x000D_
[PRDID].[].[20000126]_x000D_
[KEY_FIGURES].[].[ZFORECASTOPENOUTPUT]_x000D_
[LOCID].[].[0001004044]_x000D_
[PRDID].[].[20000126]_x000D_
[KEY_FIGURES].[].[ZACTUALSALES]_x000D_
[LOCID].[].[0001004044]_x000D_
[PRDID].[].[20000126]_x000D_
[KEY_FIGURES].[].[ZCONSENSUSDEMAND]_x000D_
[LOCID].[].[0001004044]_x000D_
[PRDID].[].[20000126]_x000D_
[KEY_FIGURES].[].[INDEPENDENTDEMAND]_x000D_
[LOCID].[].[0001004044]_x000D_
[PRDID].[].[20000144]_x000D_
[KEY_FIGURES].[].[ZCONSENSUSDEMANDQTY]_x000D_
[LOCID].[].[0001004044]_x000D_
[PRDID].[].[20000144]_x000D_
[KEY_FIGURES].[].[ZINPUTSOFC]_x000D_
[LOCID].[].[0001004044]_x000D_
[PRDID].[].[20000144]_x000D_
[KEY_FIGURES].[].[ZFORECASTOPENOUTPUT]_x000D_
[LOCID].[].[0001004044]_x000D_
[PRDID].[].[20000144]_x000D_
[KEY_FIGURES].[].[ZACTUALSALES]_x000D_
[LOCID].[].[0001004044]_x000D_
[PRDID].[].[20000144]_x000D_
[KEY_FIGURES].[].[ZCONSENSUSDEMAND]_x000D_
[LOCID].[].[0001004044]_x000D_
[PRDID].[].[20000144]_x000D_
[KEY_FIGURES].[].[INDEPENDENTDEMAND]_x000D_
[LOCID].[].[0001004045]_x000D_
[PRDID].[].[20000032]_x000D_
[KEY_FIGURES].[].[ZCONSENSUSDEMANDQTY]_x000D_
[LOCID].[].[0001004045]_x000D_
[PRDID].[].[20000032]_x000D_
[KEY_FIGURES].[].[ZINPUTSOFC]_x000D_
[LOCID].[].[0001004045]_x000D_
[PRDID].[].[20000032]_x000D_
[KEY_FIGURES].[].[ZFORECASTOPENOUTPUT]_x000D_
[LOCID].[].[0001004045]_x000D_
[PRDID].[].[20000032]_x000D_
[KEY_FIGURES].[].[ZACTUALSALES]_x000D_
[LOCID].[].[0001004045]_x000D_
[PRDID].[].[20000032]_x000D_
[KEY_FIGURES].[].[ZCONSENSUSDEMAND]_x000D_
[LOCID].[].[0001004045]_x000D_
[PRDID].[].[20000032]_x000D_
[KEY_FIGURES].[].[INDEPENDENTDEMAND]_x000D_
[LOCID].[].[0001004045]_x000D_
[PRDID].[].[20000033]_x000D_
[KEY_FIGURES].[].[ZCONSENSUSDEMANDQTY]_x000D_
[LOCID].[].[0001004045]_x000D_
[PRDID].[].[20000033]_x000D_
[KEY_FIGURES].[].[ZINPUTSOFC]_x000D_
[LOCID].[].[0001004045]_x000D_
[PRDID].[].[20000033]_x000D_
[KEY_FIGURES].[].[ZFORECASTOPENOUTPUT]_x000D_
[LOCID].[].[0001004045]_x000D_
[PRDID].[].[20000033]_x000D_
[KEY_FIGURES].[].[ZACTUALSALES]_x000D_
[LOCID].[].[0001004045]_x000D_
[PRDID].[].[20000033]_x000D_
[KEY_FIGURES].[].[ZCONSENSUSDEMAND]_x000D_
[LOCID].[].[0001004045]_x000D_
[PRDID].[].[20000033]_x000D_
[KEY_FIGURES].[].[INDEPENDENTDEMAND]_x000D_
[LOCID].[].[0001004045]_x000D_
[PRDID].[].[20000034]_x000D_
[KEY_FIGURES].[].[ZCONSENSUSDEMANDQTY]_x000D_
[LOCID].[].[0001004045]_x000D_
[PRDID].[].[20000034]_x000D_
[KEY_FIGURES].[].[ZINPUTSOFC]_x000D_
[LOCID].[].[0001004045]_x000D_
[PRDID].[].[20000034]_x000D_
[KEY_FIGURES].[].[ZFORECASTOPENOUTPUT]_x000D_
[LOCID].[].[0001004045]_x000D_
[PRDID].[].[20000034]_x000D_
[KEY_FIGURES].[].[ZACTUALSALES]_x000D_
[LOCID].[].[0001004045]_x000D_
[PRDID].[].[20000034]</t>
  </si>
  <si>
    <t>[KEY_FIGURES].[].[ZCONSENSUSDEMAND]_x000D_
[LOCID].[].[0001004045]_x000D_
[PRDID].[].[20000034]_x000D_
[KEY_FIGURES].[].[INDEPENDENTDEMAND]_x000D_
[LOCID].[].[0001004045]_x000D_
[PRDID].[].[20000035]_x000D_
[KEY_FIGURES].[].[ZCONSENSUSDEMANDQTY]_x000D_
[LOCID].[].[0001004045]_x000D_
[PRDID].[].[20000035]_x000D_
[KEY_FIGURES].[].[ZINPUTSOFC]_x000D_
[LOCID].[].[0001004045]_x000D_
[PRDID].[].[20000035]_x000D_
[KEY_FIGURES].[].[ZFORECASTOPENOUTPUT]_x000D_
[LOCID].[].[0001004045]_x000D_
[PRDID].[].[20000035]_x000D_
[KEY_FIGURES].[].[ZACTUALSALES]_x000D_
[LOCID].[].[0001004045]_x000D_
[PRDID].[].[20000035]_x000D_
[KEY_FIGURES].[].[ZCONSENSUSDEMAND]_x000D_
[LOCID].[].[0001004045]_x000D_
[PRDID].[].[20000035]_x000D_
[KEY_FIGURES].[].[INDEPENDENTDEMAND]_x000D_
[LOCID].[].[0001004045]_x000D_
[PRDID].[].[20000036]_x000D_
[KEY_FIGURES].[].[ZCONSENSUSDEMANDQTY]_x000D_
[LOCID].[].[0001004045]_x000D_
[PRDID].[].[20000036]_x000D_
[KEY_FIGURES].[].[ZINPUTSOFC]_x000D_
[LOCID].[].[0001004045]_x000D_
[PRDID].[].[20000036]_x000D_
[KEY_FIGURES].[].[ZFORECASTOPENOUTPUT]_x000D_
[LOCID].[].[0001004045]_x000D_
[PRDID].[].[20000036]_x000D_
[KEY_FIGURES].[].[ZACTUALSALES]_x000D_
[LOCID].[].[0001004045]_x000D_
[PRDID].[].[20000036]_x000D_
[KEY_FIGURES].[].[ZCONSENSUSDEMAND]_x000D_
[LOCID].[].[0001004045]_x000D_
[PRDID].[].[20000036]_x000D_
[KEY_FIGURES].[].[INDEPENDENTDEMAND]_x000D_
[LOCID].[].[0001004045]_x000D_
[PRDID].[].[20000037]_x000D_
[KEY_FIGURES].[].[ZCONSENSUSDEMANDQTY]_x000D_
[LOCID].[].[0001004045]_x000D_
[PRDID].[].[20000037]_x000D_
[KEY_FIGURES].[].[ZINPUTSOFC]_x000D_
[LOCID].[].[0001004045]_x000D_
[PRDID].[].[20000037]_x000D_
[KEY_FIGURES].[].[ZFORECASTOPENOUTPUT]_x000D_
[LOCID].[].[0001004045]_x000D_
[PRDID].[].[20000037]_x000D_
[KEY_FIGURES].[].[ZACTUALSALES]_x000D_
[LOCID].[].[0001004045]_x000D_
[PRDID].[].[20000037]_x000D_
[KEY_FIGURES].[].[ZCONSENSUSDEMAND]_x000D_
[LOCID].[].[0001004045]_x000D_
[PRDID].[].[20000037]_x000D_
[KEY_FIGURES].[].[INDEPENDENTDEMAND]_x000D_
[LOCID].[].[0001004045]_x000D_
[PRDID].[].[20000038]_x000D_
[KEY_FIGURES].[].[ZCONSENSUSDEMANDQTY]_x000D_
[LOCID].[].[0001004045]_x000D_
[PRDID].[].[20000038]_x000D_
[KEY_FIGURES].[].[ZINPUTSOFC]_x000D_
[LOCID].[].[0001004045]_x000D_
[PRDID].[].[20000038]_x000D_
[KEY_FIGURES].[].[ZFORECASTOPENOUTPUT]_x000D_
[LOCID].[].[0001004045]_x000D_
[PRDID].[].[20000038]_x000D_
[KEY_FIGURES].[].[ZACTUALSALES]_x000D_
[LOCID].[].[0001004045]_x000D_
[PRDID].[].[20000038]_x000D_
[KEY_FIGURES].[].[ZCONSENSUSDEMAND]_x000D_
[LOCID].[].[0001004045]_x000D_
[PRDID].[].[20000038]_x000D_
[KEY_FIGURES].[].[INDEPENDENTDEMAND]_x000D_
[LOCID].[].[0001004045]_x000D_
[PRDID].[].[20000039]_x000D_
[KEY_FIGURES].[].[ZCONSENSUSDEMANDQTY]_x000D_
[LOCID].[].[0001004045]_x000D_
[PRDID].[].[20000039]_x000D_
[KEY_FIGURES].[].[ZINPUTSOFC]_x000D_
[LOCID].[].[0001004045]_x000D_
[PRDID].[].[20000039]_x000D_
[KEY_FIGURES].[].[ZFORECASTOPENOUTPUT]_x000D_
[LOCID].[].[0001004045]_x000D_
[PRDID].[].[20000039]_x000D_
[KEY_FIGURES].[].[ZACTUALSALES]_x000D_
[LOCID].[].[0001004045]_x000D_
[PRDID].[].[20000039]_x000D_
[KEY_FIGURES].[].[ZCONSENSUSDEMAND]_x000D_
[LOCID].[].[0001004045]_x000D_
[PRDID].[].[20000039]_x000D_
[KEY_FIGURES].[].[INDEPENDENTDEMAND]_x000D_
[LOCID].[].[0001004045]_x000D_
[PRDID].[].[20000040]_x000D_
[KEY_FIGURES].[].[ZCONSENSUSDEMANDQTY]_x000D_
[LOCID].[].[0001004045]_x000D_
[PRDID].[].[20000040]_x000D_
[KEY_FIGURES].[].[ZINPUTSOFC]_x000D_
[LOCID].[].[0001004045]_x000D_
[PRDID].[].[20000040]_x000D_
[KEY_FIGURES].[].[ZFORECASTOPENOUTPUT]_x000D_
[LOCID].[].[0001004045]_x000D_
[PRDID].[].[20000040]_x000D_
[KEY_FIGURES].[].[ZACTUALSALES]_x000D_
[LOCID].[].[0001004045]_x000D_
[PRDID].[].[20000040]_x000D_
[KEY_FIGURES].[].[ZCONSENSUSDEMAND]_x000D_
[LOCID].[].[0001004045]_x000D_
[PRDID].[].[20000040]_x000D_
[KEY_FIGURES].[].[INDEPENDENTDEMAND]_x000D_
[LOCID].[].[0001004045]_x000D_
[PRDID].[].[20000041]_x000D_
[KEY_FIGURES].[].[ZCONSENSUSDEMANDQTY]_x000D_
[LOCID].[].[0001004045]_x000D_
[PRDID].[].[20000041]_x000D_
[KEY_FIGURES].[].[ZINPUTSOFC]_x000D_
[LOCID].[].[0001004045]_x000D_
[PRDID].[].[20000041]_x000D_
[KEY_FIGURES].[].[ZFORECASTOPENOUTPUT]_x000D_
[LOCID].[].[0001004045]_x000D_
[PRDID].[].[20000041]_x000D_
[KEY_FIGURES].[].[ZACTUALSALES]_x000D_
[LOCID].[].[0001004045]_x000D_
[PRDID].[].[20000041]_x000D_
[KEY_FIGURES].[].[ZCONSENSUSDEMAND]_x000D_
[LOCID].[].[0001004045]_x000D_
[PRDID].[].[20000041]_x000D_
[KEY_FIGURES].[].[INDEPENDENTDEMAND]_x000D_
[LOCID].[].[0001004045]_x000D_
[PRDID].[].[20000042]_x000D_
[KEY_FIGURES].[].[ZCONSENSUSDEMANDQTY]_x000D_
[LOCID].[].[0001004045]_x000D_
[PRDID].[].[20000042]_x000D_
[KEY_FIGURES].[].[ZINPUTSOFC]_x000D_
[LOCID].[].[0001004045]_x000D_
[PRDID].[].[20000042]_x000D_
[KEY_FIGURES].[].[ZFORECASTOPENOUTPUT]_x000D_
[LOCID].[].[0001004045]_x000D_
[PRDID].[].[20000042]_x000D_
[KEY_FIGURES].[].[ZACTUALSALES]_x000D_
[LOCID].[].[0001004045]_x000D_
[PRDID].[].[20000042]_x000D_
[KEY_FIGURES].[].[ZCONSENSUSDEMAND]_x000D_
[LOCID].[].[0001004045]_x000D_
[PRDID].[].[20000042]_x000D_
[KEY_FIGURES].[].[INDEPENDENTDEMAND]_x000D_
[LOCID].[].[0001004045]_x000D_
[PRDID].[].[20000043]_x000D_
[KEY_FIGURES].[].[ZCONSENSUSDEMANDQTY]_x000D_
[LOCID].[].[0001004045]_x000D_
[PRDID].[].[20000043]_x000D_
[KEY_FIGURES].[].[ZINPUTSOFC]_x000D_
[LOCID].[].[0001004045]_x000D_
[PRDID].[].[20000043]_x000D_
[KEY_FIGURES].[].[ZFORECASTOPENOUTPUT]_x000D_
[LOCID].[].[0001004045]_x000D_
[PRDID].[].[20000043]_x000D_
[KEY_FIGURES].[].[ZACTUALSALES]_x000D_
[LOCID].[].[0001004045]_x000D_
[PRDID].[].[20000043]_x000D_
[KEY_FIGURES].[].[ZCONSENSUSDEMAND]_x000D_
[LOCID].[].[0001004045]_x000D_
[PRDID].[].[20000043]_x000D_
[KEY_FIGURES].[].[INDEPENDENTDEMAND]_x000D_
[LOCID].[].[0001004045]_x000D_
[PRDID].[].[20000044]_x000D_
[KEY_FIGURES].[].[ZCONSENSUSDEMANDQTY]_x000D_
[LOCID].[].[0001004045]_x000D_
[PRDID].[].[20000044]_x000D_
[KEY_FIGURES].[].[ZINPUTSOFC]_x000D_
[LOCID].[].[0001004045]_x000D_
[PRDID].[].[20000044]_x000D_
[KEY_FIGURES].[].[ZFORECASTOPENOUTPUT]_x000D_
[LOCID].[].[0001004045]_x000D_
[PRDID].[].[20000044]_x000D_
[KEY_FIGURES].[].[ZACTUALSALES]_x000D_
[LOCID].[].[0001004045]_x000D_
[PRDID].[].[20000044]_x000D_
[KEY_FIGURES].[].[ZCONSENSUSDEMAND]_x000D_
[LOCID].[].[0001004045]_x000D_
[PRDID].[].[20000044]_x000D_
[KEY_FIGURES].[].[INDEPENDENTDEMAND]_x000D_
[LOCID].[].[0001004045]_x000D_
[PRDID].[].[20000045]_x000D_
[KEY_FIGURES].[].[ZCONSENSUSDEMANDQTY]_x000D_
[LOCID].[].[0001004045]_x000D_
[PRDID].[].[20000045]_x000D_
[KEY_FIGURES].[].[ZINPUTSOFC]_x000D_
[LOCID].[].[0001004045]_x000D_
[PRDID].[].[20000045]_x000D_
[KEY_FIGURES].[].[ZFORECASTOPENOUTPUT]_x000D_
[LOCID].[].[0001004045]_x000D_
[PRDID].[].[20000045]_x000D_
[KEY_FIGURES].[].[ZACTUALSALES]_x000D_
[LOCID].[].[0001004045]_x000D_
[PRDID].[].[20000045]_x000D_
[KEY_FIGURES].[].[ZCONSENSUSDEMAND]_x000D_
[LOCID].[].[0001004045]</t>
  </si>
  <si>
    <t>[PRDID].[].[20000045]_x000D_
[KEY_FIGURES].[].[INDEPENDENTDEMAND]_x000D_
[LOCID].[].[0001004045]_x000D_
[PRDID].[].[20000046]_x000D_
[KEY_FIGURES].[].[ZCONSENSUSDEMANDQTY]_x000D_
[LOCID].[].[0001004045]_x000D_
[PRDID].[].[20000046]_x000D_
[KEY_FIGURES].[].[ZINPUTSOFC]_x000D_
[LOCID].[].[0001004045]_x000D_
[PRDID].[].[20000046]_x000D_
[KEY_FIGURES].[].[ZFORECASTOPENOUTPUT]_x000D_
[LOCID].[].[0001004045]_x000D_
[PRDID].[].[20000046]_x000D_
[KEY_FIGURES].[].[ZACTUALSALES]_x000D_
[LOCID].[].[0001004045]_x000D_
[PRDID].[].[20000046]_x000D_
[KEY_FIGURES].[].[ZCONSENSUSDEMAND]_x000D_
[LOCID].[].[0001004045]_x000D_
[PRDID].[].[20000046]_x000D_
[KEY_FIGURES].[].[INDEPENDENTDEMAND]_x000D_
[LOCID].[].[0001004045]_x000D_
[PRDID].[].[20000047]_x000D_
[KEY_FIGURES].[].[ZCONSENSUSDEMANDQTY]_x000D_
[LOCID].[].[0001004045]_x000D_
[PRDID].[].[20000047]_x000D_
[KEY_FIGURES].[].[ZINPUTSOFC]_x000D_
[LOCID].[].[0001004045]_x000D_
[PRDID].[].[20000047]_x000D_
[KEY_FIGURES].[].[ZFORECASTOPENOUTPUT]_x000D_
[LOCID].[].[0001004045]_x000D_
[PRDID].[].[20000047]_x000D_
[KEY_FIGURES].[].[ZACTUALSALES]_x000D_
[LOCID].[].[0001004045]_x000D_
[PRDID].[].[20000047]_x000D_
[KEY_FIGURES].[].[ZCONSENSUSDEMAND]_x000D_
[LOCID].[].[0001004045]_x000D_
[PRDID].[].[20000047]_x000D_
[KEY_FIGURES].[].[INDEPENDENTDEMAND]_x000D_
[LOCID].[].[0001004045]_x000D_
[PRDID].[].[20000048]_x000D_
[KEY_FIGURES].[].[ZCONSENSUSDEMANDQTY]_x000D_
[LOCID].[].[0001004045]_x000D_
[PRDID].[].[20000048]_x000D_
[KEY_FIGURES].[].[ZINPUTSOFC]_x000D_
[LOCID].[].[0001004045]_x000D_
[PRDID].[].[20000048]_x000D_
[KEY_FIGURES].[].[ZFORECASTOPENOUTPUT]_x000D_
[LOCID].[].[0001004045]_x000D_
[PRDID].[].[20000048]_x000D_
[KEY_FIGURES].[].[ZACTUALSALES]_x000D_
[LOCID].[].[0001004045]_x000D_
[PRDID].[].[20000048]_x000D_
[KEY_FIGURES].[].[ZCONSENSUSDEMAND]_x000D_
[LOCID].[].[0001004045]_x000D_
[PRDID].[].[20000048]_x000D_
[KEY_FIGURES].[].[INDEPENDENTDEMAND]_x000D_
[LOCID].[].[0001004045]_x000D_
[PRDID].[].[20000050]_x000D_
[KEY_FIGURES].[].[ZCONSENSUSDEMANDQTY]_x000D_
[LOCID].[].[0001004045]_x000D_
[PRDID].[].[20000050]_x000D_
[KEY_FIGURES].[].[ZINPUTSOFC]_x000D_
[LOCID].[].[0001004045]_x000D_
[PRDID].[].[20000050]_x000D_
[KEY_FIGURES].[].[ZFORECASTOPENOUTPUT]_x000D_
[LOCID].[].[0001004045]_x000D_
[PRDID].[].[20000050]_x000D_
[KEY_FIGURES].[].[ZACTUALSALES]_x000D_
[LOCID].[].[0001004045]_x000D_
[PRDID].[].[20000050]_x000D_
[KEY_FIGURES].[].[ZCONSENSUSDEMAND]_x000D_
[LOCID].[].[0001004045]_x000D_
[PRDID].[].[20000050]_x000D_
[KEY_FIGURES].[].[INDEPENDENTDEMAND]_x000D_
[LOCID].[].[0001004045]_x000D_
[PRDID].[].[20000052]_x000D_
[KEY_FIGURES].[].[ZCONSENSUSDEMANDQTY]_x000D_
[LOCID].[].[0001004045]_x000D_
[PRDID].[].[20000052]_x000D_
[KEY_FIGURES].[].[ZINPUTSOFC]_x000D_
[LOCID].[].[0001004045]_x000D_
[PRDID].[].[20000052]_x000D_
[KEY_FIGURES].[].[ZFORECASTOPENOUTPUT]_x000D_
[LOCID].[].[0001004045]_x000D_
[PRDID].[].[20000052]_x000D_
[KEY_FIGURES].[].[ZACTUALSALES]_x000D_
[LOCID].[].[0001004045]_x000D_
[PRDID].[].[20000052]_x000D_
[KEY_FIGURES].[].[ZCONSENSUSDEMAND]_x000D_
[LOCID].[].[0001004045]_x000D_
[PRDID].[].[20000052]_x000D_
[KEY_FIGURES].[].[INDEPENDENTDEMAND]_x000D_
[LOCID].[].[0001004045]_x000D_
[PRDID].[].[20000053]_x000D_
[KEY_FIGURES].[].[ZCONSENSUSDEMANDQTY]_x000D_
[LOCID].[].[0001004045]_x000D_
[PRDID].[].[20000053]_x000D_
[KEY_FIGURES].[].[ZINPUTSOFC]_x000D_
[LOCID].[].[0001004045]_x000D_
[PRDID].[].[20000053]_x000D_
[KEY_FIGURES].[].[ZFORECASTOPENOUTPUT]_x000D_
[LOCID].[].[0001004045]_x000D_
[PRDID].[].[20000053]_x000D_
[KEY_FIGURES].[].[ZACTUALSALES]_x000D_
[LOCID].[].[0001004045]_x000D_
[PRDID].[].[20000053]_x000D_
[KEY_FIGURES].[].[ZCONSENSUSDEMAND]_x000D_
[LOCID].[].[0001004045]_x000D_
[PRDID].[].[20000053]_x000D_
[KEY_FIGURES].[].[INDEPENDENTDEMAND]_x000D_
[LOCID].[].[0001004045]_x000D_
[PRDID].[].[20000138]_x000D_
[KEY_FIGURES].[].[ZCONSENSUSDEMANDQTY]_x000D_
[LOCID].[].[0001004045]_x000D_
[PRDID].[].[20000138]_x000D_
[KEY_FIGURES].[].[ZINPUTSOFC]_x000D_
[LOCID].[].[0001004045]_x000D_
[PRDID].[].[20000138]_x000D_
[KEY_FIGURES].[].[ZFORECASTOPENOUTPUT]_x000D_
[LOCID].[].[0001004045]_x000D_
[PRDID].[].[20000138]_x000D_
[KEY_FIGURES].[].[ZACTUALSALES]_x000D_
[LOCID].[].[0001004045]_x000D_
[PRDID].[].[20000138]_x000D_
[KEY_FIGURES].[].[ZCONSENSUSDEMAND]_x000D_
[LOCID].[].[0001004045]_x000D_
[PRDID].[].[20000138]_x000D_
[KEY_FIGURES].[].[INDEPENDENTDEMAND]_x000D_
[LOCID].[].[0001004045]_x000D_
[PRDID].[].[20000154]_x000D_
[KEY_FIGURES].[].[ZCONSENSUSDEMANDQTY]_x000D_
[LOCID].[].[0001004045]_x000D_
[PRDID].[].[20000154]_x000D_
[KEY_FIGURES].[].[ZINPUTSOFC]_x000D_
[LOCID].[].[0001004045]_x000D_
[PRDID].[].[20000154]_x000D_
[KEY_FIGURES].[].[ZFORECASTOPENOUTPUT]_x000D_
[LOCID].[].[0001004045]_x000D_
[PRDID].[].[20000154]_x000D_
[KEY_FIGURES].[].[ZACTUALSALES]_x000D_
[LOCID].[].[0001004045]_x000D_
[PRDID].[].[20000154]_x000D_
[KEY_FIGURES].[].[ZCONSENSUSDEMAND]_x000D_
[LOCID].[].[0001004045]_x000D_
[PRDID].[].[20000154]_x000D_
[KEY_FIGURES].[].[INDEPENDENTDEMAND]_x000D_
[LOCID].[].[0001004045]_x000D_
[PRDID].[].[20000164]_x000D_
[KEY_FIGURES].[].[ZCONSENSUSDEMANDQTY]_x000D_
[LOCID].[].[0001004045]_x000D_
[PRDID].[].[20000164]_x000D_
[KEY_FIGURES].[].[ZINPUTSOFC]_x000D_
[LOCID].[].[0001004045]_x000D_
[PRDID].[].[20000164]_x000D_
[KEY_FIGURES].[].[ZFORECASTOPENOUTPUT]_x000D_
[LOCID].[].[0001004045]_x000D_
[PRDID].[].[20000164]_x000D_
[KEY_FIGURES].[].[ZACTUALSALES]_x000D_
[LOCID].[].[0001004045]_x000D_
[PRDID].[].[20000164]_x000D_
[KEY_FIGURES].[].[ZCONSENSUSDEMAND]_x000D_
[LOCID].[].[0001004045]_x000D_
[PRDID].[].[20000164]_x000D_
[KEY_FIGURES].[].[INDEPENDENTDEMAND]_x000D_
[LOCID].[].[0001004045]_x000D_
[PRDID].[].[20000222]_x000D_
[KEY_FIGURES].[].[ZCONSENSUSDEMANDQTY]_x000D_
[LOCID].[].[0001004045]_x000D_
[PRDID].[].[20000222]_x000D_
[KEY_FIGURES].[].[ZINPUTSOFC]_x000D_
[LOCID].[].[0001004045]_x000D_
[PRDID].[].[20000222]_x000D_
[KEY_FIGURES].[].[ZFORECASTOPENOUTPUT]_x000D_
[LOCID].[].[0001004045]_x000D_
[PRDID].[].[20000222]_x000D_
[KEY_FIGURES].[].[ZACTUALSALES]_x000D_
[LOCID].[].[0001004045]_x000D_
[PRDID].[].[20000222]_x000D_
[KEY_FIGURES].[].[ZCONSENSUSDEMAND]_x000D_
[LOCID].[].[0001004045]_x000D_
[PRDID].[].[20000222]_x000D_
[KEY_FIGURES].[].[INDEPENDENTDEMAND]_x000D_
[LOCID].[].[0001004045]_x000D_
[PRDID].[].[20000240]_x000D_
[KEY_FIGURES].[].[ZCONSENSUSDEMANDQTY]_x000D_
[LOCID].[].[0001004045]_x000D_
[PRDID].[].[20000240]_x000D_
[KEY_FIGURES].[].[ZINPUTSOFC]_x000D_
[LOCID].[].[0001004045]_x000D_
[PRDID].[].[20000240]_x000D_
[KEY_FIGURES].[].[ZFORECASTOPENOUTPUT]_x000D_
[LOCID].[].[0001004045]_x000D_
[PRDID].[].[20000240]_x000D_
[KEY_FIGURES].[].[ZACTUALSALES]_x000D_
[LOCID].[].[0001004045]_x000D_
[PRDID].[].[20000240]_x000D_
[KEY_FIGURES].[].[ZCONSENSUSDEMAND]_x000D_
[LOCID].[].[0001004045]_x000D_
[PRDID].[].[20000240]_x000D_
[KEY_FIGURES].[].[INDEPENDENTDEMAND]</t>
  </si>
  <si>
    <t>[LOCID].[].[0001004045]_x000D_
[PRDID].[].[20000241]_x000D_
[KEY_FIGURES].[].[ZCONSENSUSDEMANDQTY]_x000D_
[LOCID].[].[0001004045]_x000D_
[PRDID].[].[20000241]_x000D_
[KEY_FIGURES].[].[ZINPUTSOFC]_x000D_
[LOCID].[].[0001004045]_x000D_
[PRDID].[].[20000241]_x000D_
[KEY_FIGURES].[].[ZFORECASTOPENOUTPUT]_x000D_
[LOCID].[].[0001004045]_x000D_
[PRDID].[].[20000241]_x000D_
[KEY_FIGURES].[].[ZACTUALSALES]_x000D_
[LOCID].[].[0001004045]_x000D_
[PRDID].[].[20000241]_x000D_
[KEY_FIGURES].[].[ZCONSENSUSDEMAND]_x000D_
[LOCID].[].[0001004045]_x000D_
[PRDID].[].[20000241]_x000D_
[KEY_FIGURES].[].[INDEPENDENTDEMAND]_x000D_
[LOCID].[].[0001004045]_x000D_
[PRDID].[].[20000252]_x000D_
[KEY_FIGURES].[].[ZCONSENSUSDEMANDQTY]_x000D_
[LOCID].[].[0001004045]_x000D_
[PRDID].[].[20000252]_x000D_
[KEY_FIGURES].[].[ZINPUTSOFC]_x000D_
[LOCID].[].[0001004045]_x000D_
[PRDID].[].[20000252]_x000D_
[KEY_FIGURES].[].[ZFORECASTOPENOUTPUT]_x000D_
[LOCID].[].[0001004045]_x000D_
[PRDID].[].[20000252]_x000D_
[KEY_FIGURES].[].[ZACTUALSALES]_x000D_
[LOCID].[].[0001004045]_x000D_
[PRDID].[].[20000252]_x000D_
[KEY_FIGURES].[].[ZCONSENSUSDEMAND]_x000D_
[LOCID].[].[0001004045]_x000D_
[PRDID].[].[20000252]_x000D_
[KEY_FIGURES].[].[INDEPENDENTDEMAND]_x000D_
[LOCID].[].[0001004046]_x000D_
[PRDID].[].[20000014]_x000D_
[KEY_FIGURES].[].[ZCONSENSUSDEMANDQTY]_x000D_
[LOCID].[].[0001004046]_x000D_
[PRDID].[].[20000014]_x000D_
[KEY_FIGURES].[].[ZINPUTSOFC]_x000D_
[LOCID].[].[0001004046]_x000D_
[PRDID].[].[20000014]_x000D_
[KEY_FIGURES].[].[ZFORECASTOPENOUTPUT]_x000D_
[LOCID].[].[0001004046]_x000D_
[PRDID].[].[20000014]_x000D_
[KEY_FIGURES].[].[ZACTUALSALES]_x000D_
[LOCID].[].[0001004046]_x000D_
[PRDID].[].[20000014]_x000D_
[KEY_FIGURES].[].[ZCONSENSUSDEMAND]_x000D_
[LOCID].[].[0001004046]_x000D_
[PRDID].[].[20000014]_x000D_
[KEY_FIGURES].[].[INDEPENDENTDEMAND]_x000D_
[LOCID].[].[0001004046]_x000D_
[PRDID].[].[20000015]_x000D_
[KEY_FIGURES].[].[ZCONSENSUSDEMANDQTY]_x000D_
[LOCID].[].[0001004046]_x000D_
[PRDID].[].[20000015]_x000D_
[KEY_FIGURES].[].[ZINPUTSOFC]_x000D_
[LOCID].[].[0001004046]_x000D_
[PRDID].[].[20000015]_x000D_
[KEY_FIGURES].[].[ZFORECASTOPENOUTPUT]_x000D_
[LOCID].[].[0001004046]_x000D_
[PRDID].[].[20000015]_x000D_
[KEY_FIGURES].[].[ZACTUALSALES]_x000D_
[LOCID].[].[0001004046]_x000D_
[PRDID].[].[20000015]_x000D_
[KEY_FIGURES].[].[ZCONSENSUSDEMAND]_x000D_
[LOCID].[].[0001004046]_x000D_
[PRDID].[].[20000015]_x000D_
[KEY_FIGURES].[].[INDEPENDENTDEMAND]_x000D_
[LOCID].[].[0001004046]_x000D_
[PRDID].[].[20000016]_x000D_
[KEY_FIGURES].[].[ZCONSENSUSDEMANDQTY]_x000D_
[LOCID].[].[0001004046]_x000D_
[PRDID].[].[20000016]_x000D_
[KEY_FIGURES].[].[ZINPUTSOFC]_x000D_
[LOCID].[].[0001004046]_x000D_
[PRDID].[].[20000016]_x000D_
[KEY_FIGURES].[].[ZFORECASTOPENOUTPUT]_x000D_
[LOCID].[].[0001004046]_x000D_
[PRDID].[].[20000016]_x000D_
[KEY_FIGURES].[].[ZACTUALSALES]_x000D_
[LOCID].[].[0001004046]_x000D_
[PRDID].[].[20000016]_x000D_
[KEY_FIGURES].[].[ZCONSENSUSDEMAND]_x000D_
[LOCID].[].[0001004046]_x000D_
[PRDID].[].[20000016]_x000D_
[KEY_FIGURES].[].[INDEPENDENTDEMAND]_x000D_
[LOCID].[].[0001004046]_x000D_
[PRDID].[].[20000017]_x000D_
[KEY_FIGURES].[].[ZCONSENSUSDEMANDQTY]_x000D_
[LOCID].[].[0001004046]_x000D_
[PRDID].[].[20000017]_x000D_
[KEY_FIGURES].[].[ZINPUTSOFC]_x000D_
[LOCID].[].[0001004046]_x000D_
[PRDID].[].[20000017]_x000D_
[KEY_FIGURES].[].[ZFORECASTOPENOUTPUT]_x000D_
[LOCID].[].[0001004046]_x000D_
[PRDID].[].[20000017]_x000D_
[KEY_FIGURES].[].[ZACTUALSALES]_x000D_
[LOCID].[].[0001004046]_x000D_
[PRDID].[].[20000017]_x000D_
[KEY_FIGURES].[].[ZCONSENSUSDEMAND]_x000D_
[LOCID].[].[0001004046]_x000D_
[PRDID].[].[20000017]_x000D_
[KEY_FIGURES].[].[INDEPENDENTDEMAND]_x000D_
[LOCID].[].[0001004046]_x000D_
[PRDID].[].[20000018]_x000D_
[KEY_FIGURES].[].[ZCONSENSUSDEMANDQTY]_x000D_
[LOCID].[].[0001004046]_x000D_
[PRDID].[].[20000018]_x000D_
[KEY_FIGURES].[].[ZINPUTSOFC]_x000D_
[LOCID].[].[0001004046]_x000D_
[PRDID].[].[20000018]_x000D_
[KEY_FIGURES].[].[ZFORECASTOPENOUTPUT]_x000D_
[LOCID].[].[0001004046]_x000D_
[PRDID].[].[20000018]_x000D_
[KEY_FIGURES].[].[ZACTUALSALES]_x000D_
[LOCID].[].[0001004046]_x000D_
[PRDID].[].[20000018]_x000D_
[KEY_FIGURES].[].[ZCONSENSUSDEMAND]_x000D_
[LOCID].[].[0001004046]_x000D_
[PRDID].[].[20000018]_x000D_
[KEY_FIGURES].[].[INDEPENDENTDEMAND]_x000D_
[LOCID].[].[0001004046]_x000D_
[PRDID].[].[20000155]_x000D_
[KEY_FIGURES].[].[ZCONSENSUSDEMANDQTY]_x000D_
[LOCID].[].[0001004046]_x000D_
[PRDID].[].[20000155]_x000D_
[KEY_FIGURES].[].[ZINPUTSOFC]_x000D_
[LOCID].[].[0001004046]_x000D_
[PRDID].[].[20000155]_x000D_
[KEY_FIGURES].[].[ZFORECASTOPENOUTPUT]_x000D_
[LOCID].[].[0001004046]_x000D_
[PRDID].[].[20000155]_x000D_
[KEY_FIGURES].[].[ZACTUALSALES]_x000D_
[LOCID].[].[0001004046]_x000D_
[PRDID].[].[20000155]_x000D_
[KEY_FIGURES].[].[ZCONSENSUSDEMAND]_x000D_
[LOCID].[].[0001004046]_x000D_
[PRDID].[].[20000155]_x000D_
[KEY_FIGURES].[].[INDEPENDENTDEMAND]_x000D_
[LOCID].[].[0001004046]_x000D_
[PRDID].[].[20000574]_x000D_
[KEY_FIGURES].[].[ZCONSENSUSDEMANDQTY]_x000D_
[LOCID].[].[0001004046]_x000D_
[PRDID].[].[20000574]_x000D_
[KEY_FIGURES].[].[ZINPUTSOFC]_x000D_
[LOCID].[].[0001004046]_x000D_
[PRDID].[].[20000574]_x000D_
[KEY_FIGURES].[].[ZFORECASTOPENOUTPUT]_x000D_
[LOCID].[].[0001004046]_x000D_
[PRDID].[].[20000574]_x000D_
[KEY_FIGURES].[].[ZACTUALSALES]_x000D_
[LOCID].[].[0001004046]_x000D_
[PRDID].[].[20000574]_x000D_
[KEY_FIGURES].[].[ZCONSENSUSDEMAND]_x000D_
[LOCID].[].[0001004046]_x000D_
[PRDID].[].[20000574]_x000D_
[KEY_FIGURES].[].[INDEPENDENTDEMAND]_x000D_
[LOCID].[].[0001004046]_x000D_
[PRDID].[].[20000575]_x000D_
[KEY_FIGURES].[].[ZCONSENSUSDEMANDQTY]_x000D_
[LOCID].[].[0001004046]_x000D_
[PRDID].[].[20000575]_x000D_
[KEY_FIGURES].[].[ZINPUTSOFC]_x000D_
[LOCID].[].[0001004046]_x000D_
[PRDID].[].[20000575]_x000D_
[KEY_FIGURES].[].[ZFORECASTOPENOUTPUT]_x000D_
[LOCID].[].[0001004046]_x000D_
[PRDID].[].[20000575]_x000D_
[KEY_FIGURES].[].[ZACTUALSALES]_x000D_
[LOCID].[].[0001004046]_x000D_
[PRDID].[].[20000575]_x000D_
[KEY_FIGURES].[].[ZCONSENSUSDEMAND]_x000D_
[LOCID].[].[0001004046]_x000D_
[PRDID].[].[20000575]_x000D_
[KEY_FIGURES].[].[INDEPENDENTDEMAND]_x000D_
[LOCID].[].[0001004048]_x000D_
[PRDID].[].[20001043]_x000D_
[KEY_FIGURES].[].[ZCONSENSUSDEMANDQTY]_x000D_
[LOCID].[].[0001004048]_x000D_
[PRDID].[].[20001043]_x000D_
[KEY_FIGURES].[].[ZINPUTSOFC]_x000D_
[LOCID].[].[0001004048]_x000D_
[PRDID].[].[20001043]_x000D_
[KEY_FIGURES].[].[ZFORECASTOPENOUTPUT]_x000D_
[LOCID].[].[0001004048]_x000D_
[PRDID].[].[20001043]_x000D_
[KEY_FIGURES].[].[ZACTUALSALES]_x000D_
[LOCID].[].[0001004048]_x000D_
[PRDID].[].[20001043]_x000D_
[KEY_FIGURES].[].[ZCONSENSUSDEMAND]_x000D_
[LOCID].[].[0001004048]_x000D_
[PRDID].[].[20001043]_x000D_
[KEY_FIGURES].[].[INDEPENDENTDEMAND]_x000D_
[LOCID].[].[0001004048]_x000D_
[PRDID].[].[20001050]</t>
  </si>
  <si>
    <t>[KEY_FIGURES].[].[ZCONSENSUSDEMANDQTY]_x000D_
[LOCID].[].[0001004048]_x000D_
[PRDID].[].[20001050]_x000D_
[KEY_FIGURES].[].[ZINPUTSOFC]_x000D_
[LOCID].[].[0001004048]_x000D_
[PRDID].[].[20001050]_x000D_
[KEY_FIGURES].[].[ZFORECASTOPENOUTPUT]_x000D_
[LOCID].[].[0001004048]_x000D_
[PRDID].[].[20001050]_x000D_
[KEY_FIGURES].[].[ZACTUALSALES]_x000D_
[LOCID].[].[0001004048]_x000D_
[PRDID].[].[20001050]_x000D_
[KEY_FIGURES].[].[ZCONSENSUSDEMAND]_x000D_
[LOCID].[].[0001004048]_x000D_
[PRDID].[].[20001050]_x000D_
[KEY_FIGURES].[].[INDEPENDENTDEMAND]_x000D_
[LOCID].[].[0001004069]_x000D_
[PRDID].[].[20000002]_x000D_
[KEY_FIGURES].[].[ZCONSENSUSDEMANDQTY]_x000D_
[LOCID].[].[0001004069]_x000D_
[PRDID].[].[20000002]_x000D_
[KEY_FIGURES].[].[ZINPUTSOFC]_x000D_
[LOCID].[].[0001004069]_x000D_
[PRDID].[].[20000002]_x000D_
[KEY_FIGURES].[].[ZFORECASTOPENOUTPUT]_x000D_
[LOCID].[].[0001004069]_x000D_
[PRDID].[].[20000002]_x000D_
[KEY_FIGURES].[].[ZACTUALSALES]_x000D_
[LOCID].[].[0001004069]_x000D_
[PRDID].[].[20000002]_x000D_
[KEY_FIGURES].[].[ZCONSENSUSDEMAND]_x000D_
[LOCID].[].[0001004069]_x000D_
[PRDID].[].[20000002]_x000D_
[KEY_FIGURES].[].[INDEPENDENTDEMAND]_x000D_
[LOCID].[].[0001004069]_x000D_
[PRDID].[].[20000003]_x000D_
[KEY_FIGURES].[].[ZCONSENSUSDEMANDQTY]_x000D_
[LOCID].[].[0001004069]_x000D_
[PRDID].[].[20000003]_x000D_
[KEY_FIGURES].[].[ZINPUTSOFC]_x000D_
[LOCID].[].[0001004069]_x000D_
[PRDID].[].[20000003]_x000D_
[KEY_FIGURES].[].[ZFORECASTOPENOUTPUT]_x000D_
[LOCID].[].[0001004069]_x000D_
[PRDID].[].[20000003]_x000D_
[KEY_FIGURES].[].[ZACTUALSALES]_x000D_
[LOCID].[].[0001004069]_x000D_
[PRDID].[].[20000003]_x000D_
[KEY_FIGURES].[].[ZCONSENSUSDEMAND]_x000D_
[LOCID].[].[0001004069]_x000D_
[PRDID].[].[20000003]_x000D_
[KEY_FIGURES].[].[INDEPENDENTDEMAND]_x000D_
[LOCID].[].[0001004069]_x000D_
[PRDID].[].[20000004]_x000D_
[KEY_FIGURES].[].[ZCONSENSUSDEMANDQTY]_x000D_
[LOCID].[].[0001004069]_x000D_
[PRDID].[].[20000004]_x000D_
[KEY_FIGURES].[].[ZINPUTSOFC]_x000D_
[LOCID].[].[0001004069]_x000D_
[PRDID].[].[20000004]_x000D_
[KEY_FIGURES].[].[ZFORECASTOPENOUTPUT]_x000D_
[LOCID].[].[0001004069]_x000D_
[PRDID].[].[20000004]_x000D_
[KEY_FIGURES].[].[ZACTUALSALES]_x000D_
[LOCID].[].[0001004069]_x000D_
[PRDID].[].[20000004]_x000D_
[KEY_FIGURES].[].[ZCONSENSUSDEMAND]_x000D_
[LOCID].[].[0001004069]_x000D_
[PRDID].[].[20000004]_x000D_
[KEY_FIGURES].[].[INDEPENDENTDEMAND]_x000D_
[LOCID].[].[0001004069]_x000D_
[PRDID].[].[20000005]_x000D_
[KEY_FIGURES].[].[ZCONSENSUSDEMANDQTY]_x000D_
[LOCID].[].[0001004069]_x000D_
[PRDID].[].[20000005]_x000D_
[KEY_FIGURES].[].[ZINPUTSOFC]_x000D_
[LOCID].[].[0001004069]_x000D_
[PRDID].[].[20000005]_x000D_
[KEY_FIGURES].[].[ZFORECASTOPENOUTPUT]_x000D_
[LOCID].[].[0001004069]_x000D_
[PRDID].[].[20000005]_x000D_
[KEY_FIGURES].[].[ZACTUALSALES]_x000D_
[LOCID].[].[0001004069]_x000D_
[PRDID].[].[20000005]_x000D_
[KEY_FIGURES].[].[ZCONSENSUSDEMAND]_x000D_
[LOCID].[].[0001004069]_x000D_
[PRDID].[].[20000005]_x000D_
[KEY_FIGURES].[].[INDEPENDENTDEMAND]_x000D_
[LOCID].[].[0001004069]_x000D_
[PRDID].[].[20000006]_x000D_
[KEY_FIGURES].[].[ZCONSENSUSDEMANDQTY]_x000D_
[LOCID].[].[0001004069]_x000D_
[PRDID].[].[20000006]_x000D_
[KEY_FIGURES].[].[ZINPUTSOFC]_x000D_
[LOCID].[].[0001004069]_x000D_
[PRDID].[].[20000006]_x000D_
[KEY_FIGURES].[].[ZFORECASTOPENOUTPUT]_x000D_
[LOCID].[].[0001004069]_x000D_
[PRDID].[].[20000006]_x000D_
[KEY_FIGURES].[].[ZACTUALSALES]_x000D_
[LOCID].[].[0001004069]_x000D_
[PRDID].[].[20000006]_x000D_
[KEY_FIGURES].[].[ZCONSENSUSDEMAND]_x000D_
[LOCID].[].[0001004069]_x000D_
[PRDID].[].[20000006]_x000D_
[KEY_FIGURES].[].[INDEPENDENTDEMAND]_x000D_
[LOCID].[].[0001004069]_x000D_
[PRDID].[].[20000007]_x000D_
[KEY_FIGURES].[].[ZCONSENSUSDEMANDQTY]_x000D_
[LOCID].[].[0001004069]_x000D_
[PRDID].[].[20000007]_x000D_
[KEY_FIGURES].[].[ZINPUTSOFC]_x000D_
[LOCID].[].[0001004069]_x000D_
[PRDID].[].[20000007]_x000D_
[KEY_FIGURES].[].[ZFORECASTOPENOUTPUT]_x000D_
[LOCID].[].[0001004069]_x000D_
[PRDID].[].[20000007]_x000D_
[KEY_FIGURES].[].[ZACTUALSALES]_x000D_
[LOCID].[].[0001004069]_x000D_
[PRDID].[].[20000007]_x000D_
[KEY_FIGURES].[].[ZCONSENSUSDEMAND]_x000D_
[LOCID].[].[0001004069]_x000D_
[PRDID].[].[20000007]_x000D_
[KEY_FIGURES].[].[INDEPENDENTDEMAND]_x000D_
[LOCID].[].[0001004069]_x000D_
[PRDID].[].[20000008]_x000D_
[KEY_FIGURES].[].[ZCONSENSUSDEMANDQTY]_x000D_
[LOCID].[].[0001004069]_x000D_
[PRDID].[].[20000008]_x000D_
[KEY_FIGURES].[].[ZINPUTSOFC]_x000D_
[LOCID].[].[0001004069]_x000D_
[PRDID].[].[20000008]_x000D_
[KEY_FIGURES].[].[ZFORECASTOPENOUTPUT]_x000D_
[LOCID].[].[0001004069]_x000D_
[PRDID].[].[20000008]_x000D_
[KEY_FIGURES].[].[ZACTUALSALES]_x000D_
[LOCID].[].[0001004069]_x000D_
[PRDID].[].[20000008]_x000D_
[KEY_FIGURES].[].[ZCONSENSUSDEMAND]_x000D_
[LOCID].[].[0001004069]_x000D_
[PRDID].[].[20000008]_x000D_
[KEY_FIGURES].[].[INDEPENDENTDEMAND]_x000D_
[LOCID].[].[0001004069]_x000D_
[PRDID].[].[20000009]_x000D_
[KEY_FIGURES].[].[ZCONSENSUSDEMANDQTY]_x000D_
[LOCID].[].[0001004069]_x000D_
[PRDID].[].[20000009]_x000D_
[KEY_FIGURES].[].[ZINPUTSOFC]_x000D_
[LOCID].[].[0001004069]_x000D_
[PRDID].[].[20000009]_x000D_
[KEY_FIGURES].[].[ZFORECASTOPENOUTPUT]_x000D_
[LOCID].[].[0001004069]_x000D_
[PRDID].[].[20000009]_x000D_
[KEY_FIGURES].[].[ZACTUALSALES]_x000D_
[LOCID].[].[0001004069]_x000D_
[PRDID].[].[20000009]_x000D_
[KEY_FIGURES].[].[ZCONSENSUSDEMAND]_x000D_
[LOCID].[].[0001004069]_x000D_
[PRDID].[].[20000009]_x000D_
[KEY_FIGURES].[].[INDEPENDENTDEMAND]_x000D_
[LOCID].[].[0001004069]_x000D_
[PRDID].[].[20000010]_x000D_
[KEY_FIGURES].[].[ZCONSENSUSDEMANDQTY]_x000D_
[LOCID].[].[0001004069]_x000D_
[PRDID].[].[20000010]_x000D_
[KEY_FIGURES].[].[ZINPUTSOFC]_x000D_
[LOCID].[].[0001004069]_x000D_
[PRDID].[].[20000010]_x000D_
[KEY_FIGURES].[].[ZFORECASTOPENOUTPUT]_x000D_
[LOCID].[].[0001004069]_x000D_
[PRDID].[].[20000010]_x000D_
[KEY_FIGURES].[].[ZACTUALSALES]_x000D_
[LOCID].[].[0001004069]_x000D_
[PRDID].[].[20000010]_x000D_
[KEY_FIGURES].[].[ZCONSENSUSDEMAND]_x000D_
[LOCID].[].[0001004069]_x000D_
[PRDID].[].[20000010]_x000D_
[KEY_FIGURES].[].[INDEPENDENTDEMAND]_x000D_
[LOCID].[].[0001004069]_x000D_
[PRDID].[].[20000011]_x000D_
[KEY_FIGURES].[].[ZCONSENSUSDEMANDQTY]_x000D_
[LOCID].[].[0001004069]_x000D_
[PRDID].[].[20000011]_x000D_
[KEY_FIGURES].[].[ZINPUTSOFC]_x000D_
[LOCID].[].[0001004069]_x000D_
[PRDID].[].[20000011]_x000D_
[KEY_FIGURES].[].[ZFORECASTOPENOUTPUT]_x000D_
[LOCID].[].[0001004069]_x000D_
[PRDID].[].[20000011]_x000D_
[KEY_FIGURES].[].[ZACTUALSALES]_x000D_
[LOCID].[].[0001004069]_x000D_
[PRDID].[].[20000011]_x000D_
[KEY_FIGURES].[].[ZCONSENSUSDEMAND]_x000D_
[LOCID].[].[0001004069]_x000D_
[PRDID].[].[20000011]_x000D_
[KEY_FIGURES].[].[INDEPENDENTDEMAND]_x000D_
[LOCID].[].[0001004070]_x000D_
[PRDID].[].[20000002]_x000D_
[KEY_FIGURES].[].[ZCONSENSUSDEMANDQTY]_x000D_
[LOCID].[].[0001004070]</t>
  </si>
  <si>
    <t>[PRDID].[].[20000002]_x000D_
[KEY_FIGURES].[].[ZINPUTSOFC]_x000D_
[LOCID].[].[0001004070]_x000D_
[PRDID].[].[20000002]_x000D_
[KEY_FIGURES].[].[ZFORECASTOPENOUTPUT]_x000D_
[LOCID].[].[0001004070]_x000D_
[PRDID].[].[20000002]_x000D_
[KEY_FIGURES].[].[ZACTUALSALES]_x000D_
[LOCID].[].[0001004070]_x000D_
[PRDID].[].[20000002]_x000D_
[KEY_FIGURES].[].[ZCONSENSUSDEMAND]_x000D_
[LOCID].[].[0001004070]_x000D_
[PRDID].[].[20000002]_x000D_
[KEY_FIGURES].[].[INDEPENDENTDEMAND]_x000D_
[LOCID].[].[0001004086]_x000D_
[PRDID].[].[20000086]_x000D_
[KEY_FIGURES].[].[ZCONSENSUSDEMANDQTY]_x000D_
[LOCID].[].[0001004086]_x000D_
[PRDID].[].[20000086]_x000D_
[KEY_FIGURES].[].[ZINPUTSOFC]_x000D_
[LOCID].[].[0001004086]_x000D_
[PRDID].[].[20000086]_x000D_
[KEY_FIGURES].[].[ZFORECASTOPENOUTPUT]_x000D_
[LOCID].[].[0001004086]_x000D_
[PRDID].[].[20000086]_x000D_
[KEY_FIGURES].[].[ZACTUALSALES]_x000D_
[LOCID].[].[0001004086]_x000D_
[PRDID].[].[20000086]_x000D_
[KEY_FIGURES].[].[ZCONSENSUSDEMAND]_x000D_
[LOCID].[].[0001004086]_x000D_
[PRDID].[].[20000086]_x000D_
[KEY_FIGURES].[].[INDEPENDENTDEMAND]_x000D_
[LOCID].[].[0001004086]_x000D_
[PRDID].[].[20000145]_x000D_
[KEY_FIGURES].[].[ZCONSENSUSDEMANDQTY]_x000D_
[LOCID].[].[0001004086]_x000D_
[PRDID].[].[20000145]_x000D_
[KEY_FIGURES].[].[ZINPUTSOFC]_x000D_
[LOCID].[].[0001004086]_x000D_
[PRDID].[].[20000145]_x000D_
[KEY_FIGURES].[].[ZFORECASTOPENOUTPUT]_x000D_
[LOCID].[].[0001004086]_x000D_
[PRDID].[].[20000145]_x000D_
[KEY_FIGURES].[].[ZACTUALSALES]_x000D_
[LOCID].[].[0001004086]_x000D_
[PRDID].[].[20000145]_x000D_
[KEY_FIGURES].[].[ZCONSENSUSDEMAND]_x000D_
[LOCID].[].[0001004086]_x000D_
[PRDID].[].[20000145]_x000D_
[KEY_FIGURES].[].[INDEPENDENTDEMAND]_x000D_
[LOCID].[].[0001004086]_x000D_
[PRDID].[].[20000146]_x000D_
[KEY_FIGURES].[].[ZCONSENSUSDEMANDQTY]_x000D_
[LOCID].[].[0001004086]_x000D_
[PRDID].[].[20000146]_x000D_
[KEY_FIGURES].[].[ZINPUTSOFC]_x000D_
[LOCID].[].[0001004086]_x000D_
[PRDID].[].[20000146]_x000D_
[KEY_FIGURES].[].[ZFORECASTOPENOUTPUT]_x000D_
[LOCID].[].[0001004086]_x000D_
[PRDID].[].[20000146]_x000D_
[KEY_FIGURES].[].[ZACTUALSALES]_x000D_
[LOCID].[].[0001004086]_x000D_
[PRDID].[].[20000146]_x000D_
[KEY_FIGURES].[].[ZCONSENSUSDEMAND]_x000D_
[LOCID].[].[0001004086]_x000D_
[PRDID].[].[20000146]_x000D_
[KEY_FIGURES].[].[INDEPENDENTDEMAND]_x000D_
[LOCID].[].[0001004086]_x000D_
[PRDID].[].[20000147]_x000D_
[KEY_FIGURES].[].[ZCONSENSUSDEMANDQTY]_x000D_
[LOCID].[].[0001004086]_x000D_
[PRDID].[].[20000147]_x000D_
[KEY_FIGURES].[].[ZINPUTSOFC]_x000D_
[LOCID].[].[0001004086]_x000D_
[PRDID].[].[20000147]_x000D_
[KEY_FIGURES].[].[ZFORECASTOPENOUTPUT]_x000D_
[LOCID].[].[0001004086]_x000D_
[PRDID].[].[20000147]_x000D_
[KEY_FIGURES].[].[ZACTUALSALES]_x000D_
[LOCID].[].[0001004086]_x000D_
[PRDID].[].[20000147]_x000D_
[KEY_FIGURES].[].[ZCONSENSUSDEMAND]_x000D_
[LOCID].[].[0001004086]_x000D_
[PRDID].[].[20000147]_x000D_
[KEY_FIGURES].[].[INDEPENDENTDEMAND]_x000D_
[LOCID].[].[0001004086]_x000D_
[PRDID].[].[20000148]_x000D_
[KEY_FIGURES].[].[ZCONSENSUSDEMANDQTY]_x000D_
[LOCID].[].[0001004086]_x000D_
[PRDID].[].[20000148]_x000D_
[KEY_FIGURES].[].[ZINPUTSOFC]_x000D_
[LOCID].[].[0001004086]_x000D_
[PRDID].[].[20000148]_x000D_
[KEY_FIGURES].[].[ZFORECASTOPENOUTPUT]_x000D_
[LOCID].[].[0001004086]_x000D_
[PRDID].[].[20000148]_x000D_
[KEY_FIGURES].[].[ZACTUALSALES]_x000D_
[LOCID].[].[0001004086]_x000D_
[PRDID].[].[20000148]_x000D_
[KEY_FIGURES].[].[ZCONSENSUSDEMAND]_x000D_
[LOCID].[].[0001004086]_x000D_
[PRDID].[].[20000148]_x000D_
[KEY_FIGURES].[].[INDEPENDENTDEMAND]_x000D_
[LOCID].[].[0001004086]_x000D_
[PRDID].[].[20000149]_x000D_
[KEY_FIGURES].[].[ZCONSENSUSDEMANDQTY]_x000D_
[LOCID].[].[0001004086]_x000D_
[PRDID].[].[20000149]_x000D_
[KEY_FIGURES].[].[ZINPUTSOFC]_x000D_
[LOCID].[].[0001004086]_x000D_
[PRDID].[].[20000149]_x000D_
[KEY_FIGURES].[].[ZFORECASTOPENOUTPUT]_x000D_
[LOCID].[].[0001004086]_x000D_
[PRDID].[].[20000149]_x000D_
[KEY_FIGURES].[].[ZACTUALSALES]_x000D_
[LOCID].[].[0001004086]_x000D_
[PRDID].[].[20000149]_x000D_
[KEY_FIGURES].[].[ZCONSENSUSDEMAND]_x000D_
[LOCID].[].[0001004086]_x000D_
[PRDID].[].[20000149]_x000D_
[KEY_FIGURES].[].[INDEPENDENTDEMAND]_x000D_
[LOCID].[].[0001004086]_x000D_
[PRDID].[].[20000150]_x000D_
[KEY_FIGURES].[].[ZCONSENSUSDEMANDQTY]_x000D_
[LOCID].[].[0001004086]_x000D_
[PRDID].[].[20000150]_x000D_
[KEY_FIGURES].[].[ZINPUTSOFC]_x000D_
[LOCID].[].[0001004086]_x000D_
[PRDID].[].[20000150]_x000D_
[KEY_FIGURES].[].[ZFORECASTOPENOUTPUT]_x000D_
[LOCID].[].[0001004086]_x000D_
[PRDID].[].[20000150]_x000D_
[KEY_FIGURES].[].[ZACTUALSALES]_x000D_
[LOCID].[].[0001004086]_x000D_
[PRDID].[].[20000150]_x000D_
[KEY_FIGURES].[].[ZCONSENSUSDEMAND]_x000D_
[LOCID].[].[0001004086]_x000D_
[PRDID].[].[20000150]_x000D_
[KEY_FIGURES].[].[INDEPENDENTDEMAND]_x000D_
[LOCID].[].[0001004086]_x000D_
[PRDID].[].[20000151]_x000D_
[KEY_FIGURES].[].[ZCONSENSUSDEMANDQTY]_x000D_
[LOCID].[].[0001004086]_x000D_
[PRDID].[].[20000151]_x000D_
[KEY_FIGURES].[].[ZINPUTSOFC]_x000D_
[LOCID].[].[0001004086]_x000D_
[PRDID].[].[20000151]_x000D_
[KEY_FIGURES].[].[ZFORECASTOPENOUTPUT]_x000D_
[LOCID].[].[0001004086]_x000D_
[PRDID].[].[20000151]_x000D_
[KEY_FIGURES].[].[ZACTUALSALES]_x000D_
[LOCID].[].[0001004086]_x000D_
[PRDID].[].[20000151]_x000D_
[KEY_FIGURES].[].[ZCONSENSUSDEMAND]_x000D_
[LOCID].[].[0001004086]_x000D_
[PRDID].[].[20000151]_x000D_
[KEY_FIGURES].[].[INDEPENDENTDEMAND]_x000D_
[LOCID].[].[0001004086]_x000D_
[PRDID].[].[20000152]_x000D_
[KEY_FIGURES].[].[ZCONSENSUSDEMANDQTY]_x000D_
[LOCID].[].[0001004086]_x000D_
[PRDID].[].[20000152]_x000D_
[KEY_FIGURES].[].[ZINPUTSOFC]_x000D_
[LOCID].[].[0001004086]_x000D_
[PRDID].[].[20000152]_x000D_
[KEY_FIGURES].[].[ZFORECASTOPENOUTPUT]_x000D_
[LOCID].[].[0001004086]_x000D_
[PRDID].[].[20000152]_x000D_
[KEY_FIGURES].[].[ZACTUALSALES]_x000D_
[LOCID].[].[0001004086]_x000D_
[PRDID].[].[20000152]_x000D_
[KEY_FIGURES].[].[ZCONSENSUSDEMAND]_x000D_
[LOCID].[].[0001004086]_x000D_
[PRDID].[].[20000152]_x000D_
[KEY_FIGURES].[].[INDEPENDENTDEMAND]_x000D_
[LOCID].[].[0001004086]_x000D_
[PRDID].[].[20000246]_x000D_
[KEY_FIGURES].[].[ZCONSENSUSDEMANDQTY]_x000D_
[LOCID].[].[0001004086]_x000D_
[PRDID].[].[20000246]_x000D_
[KEY_FIGURES].[].[ZINPUTSOFC]_x000D_
[LOCID].[].[0001004086]_x000D_
[PRDID].[].[20000246]_x000D_
[KEY_FIGURES].[].[ZFORECASTOPENOUTPUT]_x000D_
[LOCID].[].[0001004086]_x000D_
[PRDID].[].[20000246]_x000D_
[KEY_FIGURES].[].[ZACTUALSALES]_x000D_
[LOCID].[].[0001004086]_x000D_
[PRDID].[].[20000246]_x000D_
[KEY_FIGURES].[].[ZCONSENSUSDEMAND]_x000D_
[LOCID].[].[0001004086]_x000D_
[PRDID].[].[20000246]_x000D_
[KEY_FIGURES].[].[INDEPENDENTDEMAND]_x000D_
[LOCID].[].[0001004086]_x000D_
[PRDID].[].[20000893]_x000D_
[KEY_FIGURES].[].[ZCONSENSUSDEMANDQTY]_x000D_
[LOCID].[].[0001004086]_x000D_
[PRDID].[].[20000893]_x000D_
[KEY_FIGURES].[].[ZINPUTSOFC]</t>
  </si>
  <si>
    <t>[LOCID].[].[0001004086]_x000D_
[PRDID].[].[20000893]_x000D_
[KEY_FIGURES].[].[ZFORECASTOPENOUTPUT]_x000D_
[LOCID].[].[0001004086]_x000D_
[PRDID].[].[20000893]_x000D_
[KEY_FIGURES].[].[ZACTUALSALES]_x000D_
[LOCID].[].[0001004086]_x000D_
[PRDID].[].[20000893]_x000D_
[KEY_FIGURES].[].[ZCONSENSUSDEMAND]_x000D_
[LOCID].[].[0001004086]_x000D_
[PRDID].[].[20000893]_x000D_
[KEY_FIGURES].[].[INDEPENDENTDEMAND]_x000D_
[LOCID].[].[0001004086]_x000D_
[PRDID].[].[20000908]_x000D_
[KEY_FIGURES].[].[ZCONSENSUSDEMANDQTY]_x000D_
[LOCID].[].[0001004086]_x000D_
[PRDID].[].[20000908]_x000D_
[KEY_FIGURES].[].[ZINPUTSOFC]_x000D_
[LOCID].[].[0001004086]_x000D_
[PRDID].[].[20000908]_x000D_
[KEY_FIGURES].[].[ZFORECASTOPENOUTPUT]_x000D_
[LOCID].[].[0001004086]_x000D_
[PRDID].[].[20000908]_x000D_
[KEY_FIGURES].[].[ZACTUALSALES]_x000D_
[LOCID].[].[0001004086]_x000D_
[PRDID].[].[20000908]_x000D_
[KEY_FIGURES].[].[ZCONSENSUSDEMAND]_x000D_
[LOCID].[].[0001004086]_x000D_
[PRDID].[].[20000908]_x000D_
[KEY_FIGURES].[].[INDEPENDENTDEMAND]_x000D_
[LOCID].[].[0001004089]_x000D_
[PRDID].[].[20000021]_x000D_
[KEY_FIGURES].[].[ZCONSENSUSDEMANDQTY]_x000D_
[LOCID].[].[0001004089]_x000D_
[PRDID].[].[20000021]_x000D_
[KEY_FIGURES].[].[ZINPUTSOFC]_x000D_
[LOCID].[].[0001004089]_x000D_
[PRDID].[].[20000021]_x000D_
[KEY_FIGURES].[].[ZFORECASTOPENOUTPUT]_x000D_
[LOCID].[].[0001004089]_x000D_
[PRDID].[].[20000021]_x000D_
[KEY_FIGURES].[].[ZACTUALSALES]_x000D_
[LOCID].[].[0001004089]_x000D_
[PRDID].[].[20000021]_x000D_
[KEY_FIGURES].[].[ZCONSENSUSDEMAND]_x000D_
[LOCID].[].[0001004089]_x000D_
[PRDID].[].[20000021]_x000D_
[KEY_FIGURES].[].[INDEPENDENTDEMAND]_x000D_
[LOCID].[].[0001004089]_x000D_
[PRDID].[].[20000813]_x000D_
[KEY_FIGURES].[].[ZCONSENSUSDEMANDQTY]_x000D_
[LOCID].[].[0001004089]_x000D_
[PRDID].[].[20000813]_x000D_
[KEY_FIGURES].[].[ZINPUTSOFC]_x000D_
[LOCID].[].[0001004089]_x000D_
[PRDID].[].[20000813]_x000D_
[KEY_FIGURES].[].[ZFORECASTOPENOUTPUT]_x000D_
[LOCID].[].[0001004089]_x000D_
[PRDID].[].[20000813]_x000D_
[KEY_FIGURES].[].[ZACTUALSALES]_x000D_
[LOCID].[].[0001004089]_x000D_
[PRDID].[].[20000813]_x000D_
[KEY_FIGURES].[].[ZCONSENSUSDEMAND]_x000D_
[LOCID].[].[0001004089]_x000D_
[PRDID].[].[20000813]_x000D_
[KEY_FIGURES].[].[INDEPENDENTDEMAND]_x000D_
[LOCID].[].[0001004089]_x000D_
[PRDID].[].[20000836]_x000D_
[KEY_FIGURES].[].[ZCONSENSUSDEMANDQTY]_x000D_
[LOCID].[].[0001004089]_x000D_
[PRDID].[].[20000836]_x000D_
[KEY_FIGURES].[].[ZINPUTSOFC]_x000D_
[LOCID].[].[0001004089]_x000D_
[PRDID].[].[20000836]_x000D_
[KEY_FIGURES].[].[ZFORECASTOPENOUTPUT]_x000D_
[LOCID].[].[0001004089]_x000D_
[PRDID].[].[20000836]_x000D_
[KEY_FIGURES].[].[ZACTUALSALES]_x000D_
[LOCID].[].[0001004089]_x000D_
[PRDID].[].[20000836]_x000D_
[KEY_FIGURES].[].[ZCONSENSUSDEMAND]_x000D_
[LOCID].[].[0001004089]_x000D_
[PRDID].[].[20000836]_x000D_
[KEY_FIGURES].[].[INDEPENDENTDEMAND]_x000D_
[LOCID].[].[0001004089]_x000D_
[PRDID].[].[20000838]_x000D_
[KEY_FIGURES].[].[ZCONSENSUSDEMANDQTY]_x000D_
[LOCID].[].[0001004089]_x000D_
[PRDID].[].[20000838]_x000D_
[KEY_FIGURES].[].[ZINPUTSOFC]_x000D_
[LOCID].[].[0001004089]_x000D_
[PRDID].[].[20000838]_x000D_
[KEY_FIGURES].[].[ZFORECASTOPENOUTPUT]_x000D_
[LOCID].[].[0001004089]_x000D_
[PRDID].[].[20000838]_x000D_
[KEY_FIGURES].[].[ZACTUALSALES]_x000D_
[LOCID].[].[0001004089]_x000D_
[PRDID].[].[20000838]_x000D_
[KEY_FIGURES].[].[ZCONSENSUSDEMAND]_x000D_
[LOCID].[].[0001004089]_x000D_
[PRDID].[].[20000838]_x000D_
[KEY_FIGURES].[].[INDEPENDENTDEMAND]_x000D_
[LOCID].[].[0001004089]_x000D_
[PRDID].[].[20000845]_x000D_
[KEY_FIGURES].[].[ZCONSENSUSDEMANDQTY]_x000D_
[LOCID].[].[0001004089]_x000D_
[PRDID].[].[20000845]_x000D_
[KEY_FIGURES].[].[ZINPUTSOFC]_x000D_
[LOCID].[].[0001004089]_x000D_
[PRDID].[].[20000845]_x000D_
[KEY_FIGURES].[].[ZFORECASTOPENOUTPUT]_x000D_
[LOCID].[].[0001004089]_x000D_
[PRDID].[].[20000845]_x000D_
[KEY_FIGURES].[].[ZACTUALSALES]_x000D_
[LOCID].[].[0001004089]_x000D_
[PRDID].[].[20000845]_x000D_
[KEY_FIGURES].[].[ZCONSENSUSDEMAND]_x000D_
[LOCID].[].[0001004089]_x000D_
[PRDID].[].[20000845]_x000D_
[KEY_FIGURES].[].[INDEPENDENTDEMAND]_x000D_
[LOCID].[].[0001004089]_x000D_
[PRDID].[].[20000846]_x000D_
[KEY_FIGURES].[].[ZCONSENSUSDEMANDQTY]_x000D_
[LOCID].[].[0001004089]_x000D_
[PRDID].[].[20000846]_x000D_
[KEY_FIGURES].[].[ZINPUTSOFC]_x000D_
[LOCID].[].[0001004089]_x000D_
[PRDID].[].[20000846]_x000D_
[KEY_FIGURES].[].[ZFORECASTOPENOUTPUT]_x000D_
[LOCID].[].[0001004089]_x000D_
[PRDID].[].[20000846]_x000D_
[KEY_FIGURES].[].[ZACTUALSALES]_x000D_
[LOCID].[].[0001004089]_x000D_
[PRDID].[].[20000846]_x000D_
[KEY_FIGURES].[].[ZCONSENSUSDEMAND]_x000D_
[LOCID].[].[0001004089]_x000D_
[PRDID].[].[20000846]_x000D_
[KEY_FIGURES].[].[INDEPENDENTDEMAND]_x000D_
[LOCID].[].[0001004089]_x000D_
[PRDID].[].[20000847]_x000D_
[KEY_FIGURES].[].[ZCONSENSUSDEMANDQTY]_x000D_
[LOCID].[].[0001004089]_x000D_
[PRDID].[].[20000847]_x000D_
[KEY_FIGURES].[].[ZINPUTSOFC]_x000D_
[LOCID].[].[0001004089]_x000D_
[PRDID].[].[20000847]_x000D_
[KEY_FIGURES].[].[ZFORECASTOPENOUTPUT]_x000D_
[LOCID].[].[0001004089]_x000D_
[PRDID].[].[20000847]_x000D_
[KEY_FIGURES].[].[ZACTUALSALES]_x000D_
[LOCID].[].[0001004089]_x000D_
[PRDID].[].[20000847]_x000D_
[KEY_FIGURES].[].[ZCONSENSUSDEMAND]_x000D_
[LOCID].[].[0001004089]_x000D_
[PRDID].[].[20000847]_x000D_
[KEY_FIGURES].[].[INDEPENDENTDEMAND]_x000D_
[LOCID].[].[0001004089]_x000D_
[PRDID].[].[20000848]_x000D_
[KEY_FIGURES].[].[ZCONSENSUSDEMANDQTY]_x000D_
[LOCID].[].[0001004089]_x000D_
[PRDID].[].[20000848]_x000D_
[KEY_FIGURES].[].[ZINPUTSOFC]_x000D_
[LOCID].[].[0001004089]_x000D_
[PRDID].[].[20000848]_x000D_
[KEY_FIGURES].[].[ZFORECASTOPENOUTPUT]_x000D_
[LOCID].[].[0001004089]_x000D_
[PRDID].[].[20000848]_x000D_
[KEY_FIGURES].[].[ZACTUALSALES]_x000D_
[LOCID].[].[0001004089]_x000D_
[PRDID].[].[20000848]_x000D_
[KEY_FIGURES].[].[ZCONSENSUSDEMAND]_x000D_
[LOCID].[].[0001004089]_x000D_
[PRDID].[].[20000848]_x000D_
[KEY_FIGURES].[].[INDEPENDENTDEMAND]_x000D_
[LOCID].[].[0001004089]_x000D_
[PRDID].[].[20000849]_x000D_
[KEY_FIGURES].[].[ZCONSENSUSDEMANDQTY]_x000D_
[LOCID].[].[0001004089]_x000D_
[PRDID].[].[20000849]_x000D_
[KEY_FIGURES].[].[ZINPUTSOFC]_x000D_
[LOCID].[].[0001004089]_x000D_
[PRDID].[].[20000849]_x000D_
[KEY_FIGURES].[].[ZFORECASTOPENOUTPUT]_x000D_
[LOCID].[].[0001004089]_x000D_
[PRDID].[].[20000849]_x000D_
[KEY_FIGURES].[].[ZACTUALSALES]_x000D_
[LOCID].[].[0001004089]_x000D_
[PRDID].[].[20000849]_x000D_
[KEY_FIGURES].[].[ZCONSENSUSDEMAND]_x000D_
[LOCID].[].[0001004089]_x000D_
[PRDID].[].[20000849]_x000D_
[KEY_FIGURES].[].[INDEPENDENTDEMAND]_x000D_
[LOCID].[].[0001004105]_x000D_
[PRDID].[].[20001184]_x000D_
[KEY_FIGURES].[].[ZCONSENSUSDEMANDQTY]_x000D_
[LOCID].[].[0001004105]_x000D_
[PRDID].[].[20001184]_x000D_
[KEY_FIGURES].[].[ZINPUTSOFC]_x000D_
[LOCID].[].[0001004105]_x000D_
[PRDID].[].[20001184]</t>
  </si>
  <si>
    <t>[KEY_FIGURES].[].[ZFORECASTOPENOUTPUT]_x000D_
[LOCID].[].[0001004105]_x000D_
[PRDID].[].[20001184]_x000D_
[KEY_FIGURES].[].[ZACTUALSALES]_x000D_
[LOCID].[].[0001004105]_x000D_
[PRDID].[].[20001184]_x000D_
[KEY_FIGURES].[].[ZCONSENSUSDEMAND]_x000D_
[LOCID].[].[0001004105]_x000D_
[PRDID].[].[20001184]_x000D_
[KEY_FIGURES].[].[INDEPENDENTDEMAND]_x000D_
[LOCID].[].[0001004105]_x000D_
[PRDID].[].[20001187]_x000D_
[KEY_FIGURES].[].[ZCONSENSUSDEMANDQTY]_x000D_
[LOCID].[].[0001004105]_x000D_
[PRDID].[].[20001187]_x000D_
[KEY_FIGURES].[].[ZINPUTSOFC]_x000D_
[LOCID].[].[0001004105]_x000D_
[PRDID].[].[20001187]_x000D_
[KEY_FIGURES].[].[ZFORECASTOPENOUTPUT]_x000D_
[LOCID].[].[0001004105]_x000D_
[PRDID].[].[20001187]_x000D_
[KEY_FIGURES].[].[ZACTUALSALES]_x000D_
[LOCID].[].[0001004105]_x000D_
[PRDID].[].[20001187]_x000D_
[KEY_FIGURES].[].[ZCONSENSUSDEMAND]_x000D_
[LOCID].[].[0001004105]_x000D_
[PRDID].[].[20001187]_x000D_
[KEY_FIGURES].[].[INDEPENDENTDEMAND]_x000D_
[LOCID].[].[0001004139]_x000D_
[PRDID].[].[20000085]_x000D_
[KEY_FIGURES].[].[ZCONSENSUSDEMANDQTY]_x000D_
[LOCID].[].[0001004139]_x000D_
[PRDID].[].[20000085]_x000D_
[KEY_FIGURES].[].[ZINPUTSOFC]_x000D_
[LOCID].[].[0001004139]_x000D_
[PRDID].[].[20000085]_x000D_
[KEY_FIGURES].[].[ZFORECASTOPENOUTPUT]_x000D_
[LOCID].[].[0001004139]_x000D_
[PRDID].[].[20000085]_x000D_
[KEY_FIGURES].[].[ZACTUALSALES]_x000D_
[LOCID].[].[0001004139]_x000D_
[PRDID].[].[20000085]_x000D_
[KEY_FIGURES].[].[ZCONSENSUSDEMAND]_x000D_
[LOCID].[].[0001004139]_x000D_
[PRDID].[].[20000085]_x000D_
[KEY_FIGURES].[].[INDEPENDENTDEMAND]_x000D_
[LOCID].[].[0001004139]_x000D_
[PRDID].[].[20000199]_x000D_
[KEY_FIGURES].[].[ZCONSENSUSDEMANDQTY]_x000D_
[LOCID].[].[0001004139]_x000D_
[PRDID].[].[20000199]_x000D_
[KEY_FIGURES].[].[ZINPUTSOFC]_x000D_
[LOCID].[].[0001004139]_x000D_
[PRDID].[].[20000199]_x000D_
[KEY_FIGURES].[].[ZFORECASTOPENOUTPUT]_x000D_
[LOCID].[].[0001004139]_x000D_
[PRDID].[].[20000199]_x000D_
[KEY_FIGURES].[].[ZACTUALSALES]_x000D_
[LOCID].[].[0001004139]_x000D_
[PRDID].[].[20000199]_x000D_
[KEY_FIGURES].[].[ZCONSENSUSDEMAND]_x000D_
[LOCID].[].[0001004139]_x000D_
[PRDID].[].[20000199]_x000D_
[KEY_FIGURES].[].[INDEPENDENTDEMAND]_x000D_
[LOCID].[].[0001004139]_x000D_
[PRDID].[].[20000219]_x000D_
[KEY_FIGURES].[].[ZCONSENSUSDEMANDQTY]_x000D_
[LOCID].[].[0001004139]_x000D_
[PRDID].[].[20000219]_x000D_
[KEY_FIGURES].[].[ZINPUTSOFC]_x000D_
[LOCID].[].[0001004139]_x000D_
[PRDID].[].[20000219]_x000D_
[KEY_FIGURES].[].[ZFORECASTOPENOUTPUT]_x000D_
[LOCID].[].[0001004139]_x000D_
[PRDID].[].[20000219]_x000D_
[KEY_FIGURES].[].[ZACTUALSALES]_x000D_
[LOCID].[].[0001004139]_x000D_
[PRDID].[].[20000219]_x000D_
[KEY_FIGURES].[].[ZCONSENSUSDEMAND]_x000D_
[LOCID].[].[0001004139]_x000D_
[PRDID].[].[20000219]_x000D_
[KEY_FIGURES].[].[INDEPENDENTDEMAND]_x000D_
[LOCID].[].[0001004139]_x000D_
[PRDID].[].[20000220]_x000D_
[KEY_FIGURES].[].[ZCONSENSUSDEMANDQTY]_x000D_
[LOCID].[].[0001004139]_x000D_
[PRDID].[].[20000220]_x000D_
[KEY_FIGURES].[].[ZINPUTSOFC]_x000D_
[LOCID].[].[0001004139]_x000D_
[PRDID].[].[20000220]_x000D_
[KEY_FIGURES].[].[ZFORECASTOPENOUTPUT]_x000D_
[LOCID].[].[0001004139]_x000D_
[PRDID].[].[20000220]_x000D_
[KEY_FIGURES].[].[ZACTUALSALES]_x000D_
[LOCID].[].[0001004139]_x000D_
[PRDID].[].[20000220]_x000D_
[KEY_FIGURES].[].[ZCONSENSUSDEMAND]_x000D_
[LOCID].[].[0001004139]_x000D_
[PRDID].[].[20000220]_x000D_
[KEY_FIGURES].[].[INDEPENDENTDEMAND]_x000D_
[LOCID].[].[0001004139]_x000D_
[PRDID].[].[20000221]_x000D_
[KEY_FIGURES].[].[ZCONSENSUSDEMANDQTY]_x000D_
[LOCID].[].[0001004139]_x000D_
[PRDID].[].[20000221]_x000D_
[KEY_FIGURES].[].[ZINPUTSOFC]_x000D_
[LOCID].[].[0001004139]_x000D_
[PRDID].[].[20000221]_x000D_
[KEY_FIGURES].[].[ZFORECASTOPENOUTPUT]_x000D_
[LOCID].[].[0001004139]_x000D_
[PRDID].[].[20000221]_x000D_
[KEY_FIGURES].[].[ZACTUALSALES]_x000D_
[LOCID].[].[0001004139]_x000D_
[PRDID].[].[20000221]_x000D_
[KEY_FIGURES].[].[ZCONSENSUSDEMAND]_x000D_
[LOCID].[].[0001004139]_x000D_
[PRDID].[].[20000221]_x000D_
[KEY_FIGURES].[].[INDEPENDENTDEMAND]_x000D_
[LOCID].[].[0001004142]_x000D_
[PRDID].[].[20001012]_x000D_
[KEY_FIGURES].[].[ZCONSENSUSDEMANDQTY]_x000D_
[LOCID].[].[0001004142]_x000D_
[PRDID].[].[20001012]_x000D_
[KEY_FIGURES].[].[ZINPUTSOFC]_x000D_
[LOCID].[].[0001004142]_x000D_
[PRDID].[].[20001012]_x000D_
[KEY_FIGURES].[].[ZFORECASTOPENOUTPUT]_x000D_
[LOCID].[].[0001004142]_x000D_
[PRDID].[].[20001012]_x000D_
[KEY_FIGURES].[].[ZACTUALSALES]_x000D_
[LOCID].[].[0001004142]_x000D_
[PRDID].[].[20001012]_x000D_
[KEY_FIGURES].[].[ZCONSENSUSDEMAND]_x000D_
[LOCID].[].[0001004142]_x000D_
[PRDID].[].[20001012]_x000D_
[KEY_FIGURES].[].[INDEPENDENTDEMAND]_x000D_
[LOCID].[].[0001004142]_x000D_
[PRDID].[].[20001013]_x000D_
[KEY_FIGURES].[].[ZCONSENSUSDEMANDQTY]_x000D_
[LOCID].[].[0001004142]_x000D_
[PRDID].[].[20001013]_x000D_
[KEY_FIGURES].[].[ZINPUTSOFC]_x000D_
[LOCID].[].[0001004142]_x000D_
[PRDID].[].[20001013]_x000D_
[KEY_FIGURES].[].[ZFORECASTOPENOUTPUT]_x000D_
[LOCID].[].[0001004142]_x000D_
[PRDID].[].[20001013]_x000D_
[KEY_FIGURES].[].[ZACTUALSALES]_x000D_
[LOCID].[].[0001004142]_x000D_
[PRDID].[].[20001013]_x000D_
[KEY_FIGURES].[].[ZCONSENSUSDEMAND]_x000D_
[LOCID].[].[0001004142]_x000D_
[PRDID].[].[20001013]_x000D_
[KEY_FIGURES].[].[INDEPENDENTDEMAND]_x000D_
[LOCID].[].[0001004142]_x000D_
[PRDID].[].[20001014]_x000D_
[KEY_FIGURES].[].[ZCONSENSUSDEMANDQTY]_x000D_
[LOCID].[].[0001004142]_x000D_
[PRDID].[].[20001014]_x000D_
[KEY_FIGURES].[].[ZINPUTSOFC]_x000D_
[LOCID].[].[0001004142]_x000D_
[PRDID].[].[20001014]_x000D_
[KEY_FIGURES].[].[ZFORECASTOPENOUTPUT]_x000D_
[LOCID].[].[0001004142]_x000D_
[PRDID].[].[20001014]_x000D_
[KEY_FIGURES].[].[ZACTUALSALES]_x000D_
[LOCID].[].[0001004142]_x000D_
[PRDID].[].[20001014]_x000D_
[KEY_FIGURES].[].[ZCONSENSUSDEMAND]_x000D_
[LOCID].[].[0001004142]_x000D_
[PRDID].[].[20001014]_x000D_
[KEY_FIGURES].[].[INDEPENDENTDEMAND]_x000D_
[LOCID].[].[0001004142]_x000D_
[PRDID].[].[20001015]_x000D_
[KEY_FIGURES].[].[ZCONSENSUSDEMANDQTY]_x000D_
[LOCID].[].[0001004142]_x000D_
[PRDID].[].[20001015]_x000D_
[KEY_FIGURES].[].[ZINPUTSOFC]_x000D_
[LOCID].[].[0001004142]_x000D_
[PRDID].[].[20001015]_x000D_
[KEY_FIGURES].[].[ZFORECASTOPENOUTPUT]_x000D_
[LOCID].[].[0001004142]_x000D_
[PRDID].[].[20001015]_x000D_
[KEY_FIGURES].[].[ZACTUALSALES]_x000D_
[LOCID].[].[0001004142]_x000D_
[PRDID].[].[20001015]_x000D_
[KEY_FIGURES].[].[ZCONSENSUSDEMAND]_x000D_
[LOCID].[].[0001004142]_x000D_
[PRDID].[].[20001015]_x000D_
[KEY_FIGURES].[].[INDEPENDENTDEMAND]_x000D_
[LOCID].[].[0001004142]_x000D_
[PRDID].[].[20001016]_x000D_
[KEY_FIGURES].[].[ZCONSENSUSDEMANDQTY]_x000D_
[LOCID].[].[0001004142]_x000D_
[PRDID].[].[20001016]_x000D_
[KEY_FIGURES].[].[ZINPUTSOFC]_x000D_
[LOCID].[].[0001004142]_x000D_
[PRDID].[].[20001016]_x000D_
[KEY_FIGURES].[].[ZFORECASTOPENOUTPUT]_x000D_
[LOCID].[].[0001004142]</t>
  </si>
  <si>
    <t>[PRDID].[].[20001016]_x000D_
[KEY_FIGURES].[].[ZACTUALSALES]_x000D_
[LOCID].[].[0001004142]_x000D_
[PRDID].[].[20001016]_x000D_
[KEY_FIGURES].[].[ZCONSENSUSDEMAND]_x000D_
[LOCID].[].[0001004142]_x000D_
[PRDID].[].[20001016]_x000D_
[KEY_FIGURES].[].[INDEPENDENTDEMAND]_x000D_
[LOCID].[].[0001004142]_x000D_
[PRDID].[].[20001017]_x000D_
[KEY_FIGURES].[].[ZCONSENSUSDEMANDQTY]_x000D_
[LOCID].[].[0001004142]_x000D_
[PRDID].[].[20001017]_x000D_
[KEY_FIGURES].[].[ZINPUTSOFC]_x000D_
[LOCID].[].[0001004142]_x000D_
[PRDID].[].[20001017]_x000D_
[KEY_FIGURES].[].[ZFORECASTOPENOUTPUT]_x000D_
[LOCID].[].[0001004142]_x000D_
[PRDID].[].[20001017]_x000D_
[KEY_FIGURES].[].[ZACTUALSALES]_x000D_
[LOCID].[].[0001004142]_x000D_
[PRDID].[].[20001017]_x000D_
[KEY_FIGURES].[].[ZCONSENSUSDEMAND]_x000D_
[LOCID].[].[0001004142]_x000D_
[PRDID].[].[20001017]_x000D_
[KEY_FIGURES].[].[INDEPENDENTDEMAND]_x000D_
[LOCID].[].[0001004142]_x000D_
[PRDID].[].[20001018]_x000D_
[KEY_FIGURES].[].[ZCONSENSUSDEMANDQTY]_x000D_
[LOCID].[].[0001004142]_x000D_
[PRDID].[].[20001018]_x000D_
[KEY_FIGURES].[].[ZINPUTSOFC]_x000D_
[LOCID].[].[0001004142]_x000D_
[PRDID].[].[20001018]_x000D_
[KEY_FIGURES].[].[ZFORECASTOPENOUTPUT]_x000D_
[LOCID].[].[0001004142]_x000D_
[PRDID].[].[20001018]_x000D_
[KEY_FIGURES].[].[ZACTUALSALES]_x000D_
[LOCID].[].[0001004142]_x000D_
[PRDID].[].[20001018]_x000D_
[KEY_FIGURES].[].[ZCONSENSUSDEMAND]_x000D_
[LOCID].[].[0001004142]_x000D_
[PRDID].[].[20001018]_x000D_
[KEY_FIGURES].[].[INDEPENDENTDEMAND]_x000D_
[LOCID].[].[0001004142]_x000D_
[PRDID].[].[20001019]_x000D_
[KEY_FIGURES].[].[ZCONSENSUSDEMANDQTY]_x000D_
[LOCID].[].[0001004142]_x000D_
[PRDID].[].[20001019]_x000D_
[KEY_FIGURES].[].[ZINPUTSOFC]_x000D_
[LOCID].[].[0001004142]_x000D_
[PRDID].[].[20001019]_x000D_
[KEY_FIGURES].[].[ZFORECASTOPENOUTPUT]_x000D_
[LOCID].[].[0001004142]_x000D_
[PRDID].[].[20001019]_x000D_
[KEY_FIGURES].[].[ZACTUALSALES]_x000D_
[LOCID].[].[0001004142]_x000D_
[PRDID].[].[20001019]_x000D_
[KEY_FIGURES].[].[ZCONSENSUSDEMAND]_x000D_
[LOCID].[].[0001004142]_x000D_
[PRDID].[].[20001019]_x000D_
[KEY_FIGURES].[].[INDEPENDENTDEMAND]_x000D_
[LOCID].[].[0001004142]_x000D_
[PRDID].[].[20001020]_x000D_
[KEY_FIGURES].[].[ZCONSENSUSDEMANDQTY]_x000D_
[LOCID].[].[0001004142]_x000D_
[PRDID].[].[20001020]_x000D_
[KEY_FIGURES].[].[ZINPUTSOFC]_x000D_
[LOCID].[].[0001004142]_x000D_
[PRDID].[].[20001020]_x000D_
[KEY_FIGURES].[].[ZFORECASTOPENOUTPUT]_x000D_
[LOCID].[].[0001004142]_x000D_
[PRDID].[].[20001020]_x000D_
[KEY_FIGURES].[].[ZACTUALSALES]_x000D_
[LOCID].[].[0001004142]_x000D_
[PRDID].[].[20001020]_x000D_
[KEY_FIGURES].[].[ZCONSENSUSDEMAND]_x000D_
[LOCID].[].[0001004142]_x000D_
[PRDID].[].[20001020]_x000D_
[KEY_FIGURES].[].[INDEPENDENTDEMAND]_x000D_
[LOCID].[].[0001004142]_x000D_
[PRDID].[].[20001021]_x000D_
[KEY_FIGURES].[].[ZCONSENSUSDEMANDQTY]_x000D_
[LOCID].[].[0001004142]_x000D_
[PRDID].[].[20001021]_x000D_
[KEY_FIGURES].[].[ZINPUTSOFC]_x000D_
[LOCID].[].[0001004142]_x000D_
[PRDID].[].[20001021]_x000D_
[KEY_FIGURES].[].[ZFORECASTOPENOUTPUT]_x000D_
[LOCID].[].[0001004142]_x000D_
[PRDID].[].[20001021]_x000D_
[KEY_FIGURES].[].[ZACTUALSALES]_x000D_
[LOCID].[].[0001004142]_x000D_
[PRDID].[].[20001021]_x000D_
[KEY_FIGURES].[].[ZCONSENSUSDEMAND]_x000D_
[LOCID].[].[0001004142]_x000D_
[PRDID].[].[20001021]_x000D_
[KEY_FIGURES].[].[INDEPENDENTDEMAND]_x000D_
[LOCID].[].[0001004142]_x000D_
[PRDID].[].[20001022]_x000D_
[KEY_FIGURES].[].[ZCONSENSUSDEMANDQTY]_x000D_
[LOCID].[].[0001004142]_x000D_
[PRDID].[].[20001022]_x000D_
[KEY_FIGURES].[].[ZINPUTSOFC]_x000D_
[LOCID].[].[0001004142]_x000D_
[PRDID].[].[20001022]_x000D_
[KEY_FIGURES].[].[ZFORECASTOPENOUTPUT]_x000D_
[LOCID].[].[0001004142]_x000D_
[PRDID].[].[20001022]_x000D_
[KEY_FIGURES].[].[ZACTUALSALES]_x000D_
[LOCID].[].[0001004142]_x000D_
[PRDID].[].[20001022]_x000D_
[KEY_FIGURES].[].[ZCONSENSUSDEMAND]_x000D_
[LOCID].[].[0001004142]_x000D_
[PRDID].[].[20001022]_x000D_
[KEY_FIGURES].[].[INDEPENDENTDEMAND]_x000D_
[LOCID].[].[0001004142]_x000D_
[PRDID].[].[20001023]_x000D_
[KEY_FIGURES].[].[ZCONSENSUSDEMANDQTY]_x000D_
[LOCID].[].[0001004142]_x000D_
[PRDID].[].[20001023]_x000D_
[KEY_FIGURES].[].[ZINPUTSOFC]_x000D_
[LOCID].[].[0001004142]_x000D_
[PRDID].[].[20001023]_x000D_
[KEY_FIGURES].[].[ZFORECASTOPENOUTPUT]_x000D_
[LOCID].[].[0001004142]_x000D_
[PRDID].[].[20001023]_x000D_
[KEY_FIGURES].[].[ZACTUALSALES]_x000D_
[LOCID].[].[0001004142]_x000D_
[PRDID].[].[20001023]_x000D_
[KEY_FIGURES].[].[ZCONSENSUSDEMAND]_x000D_
[LOCID].[].[0001004142]_x000D_
[PRDID].[].[20001023]_x000D_
[KEY_FIGURES].[].[INDEPENDENTDEMAND]_x000D_
[LOCID].[].[0001004142]_x000D_
[PRDID].[].[20001024]_x000D_
[KEY_FIGURES].[].[ZCONSENSUSDEMANDQTY]_x000D_
[LOCID].[].[0001004142]_x000D_
[PRDID].[].[20001024]_x000D_
[KEY_FIGURES].[].[ZINPUTSOFC]_x000D_
[LOCID].[].[0001004142]_x000D_
[PRDID].[].[20001024]_x000D_
[KEY_FIGURES].[].[ZFORECASTOPENOUTPUT]_x000D_
[LOCID].[].[0001004142]_x000D_
[PRDID].[].[20001024]_x000D_
[KEY_FIGURES].[].[ZACTUALSALES]_x000D_
[LOCID].[].[0001004142]_x000D_
[PRDID].[].[20001024]_x000D_
[KEY_FIGURES].[].[ZCONSENSUSDEMAND]_x000D_
[LOCID].[].[0001004142]_x000D_
[PRDID].[].[20001024]_x000D_
[KEY_FIGURES].[].[INDEPENDENTDEMAND]_x000D_
[LOCID].[].[0001004142]_x000D_
[PRDID].[].[20001025]_x000D_
[KEY_FIGURES].[].[ZCONSENSUSDEMANDQTY]_x000D_
[LOCID].[].[0001004142]_x000D_
[PRDID].[].[20001025]_x000D_
[KEY_FIGURES].[].[ZINPUTSOFC]_x000D_
[LOCID].[].[0001004142]_x000D_
[PRDID].[].[20001025]_x000D_
[KEY_FIGURES].[].[ZFORECASTOPENOUTPUT]_x000D_
[LOCID].[].[0001004142]_x000D_
[PRDID].[].[20001025]_x000D_
[KEY_FIGURES].[].[ZACTUALSALES]_x000D_
[LOCID].[].[0001004142]_x000D_
[PRDID].[].[20001025]_x000D_
[KEY_FIGURES].[].[ZCONSENSUSDEMAND]_x000D_
[LOCID].[].[0001004142]_x000D_
[PRDID].[].[20001025]_x000D_
[KEY_FIGURES].[].[INDEPENDENTDEMAND]_x000D_
[LOCID].[].[0001004142]_x000D_
[PRDID].[].[20001026]_x000D_
[KEY_FIGURES].[].[ZCONSENSUSDEMANDQTY]_x000D_
[LOCID].[].[0001004142]_x000D_
[PRDID].[].[20001026]_x000D_
[KEY_FIGURES].[].[ZINPUTSOFC]_x000D_
[LOCID].[].[0001004142]_x000D_
[PRDID].[].[20001026]_x000D_
[KEY_FIGURES].[].[ZFORECASTOPENOUTPUT]_x000D_
[LOCID].[].[0001004142]_x000D_
[PRDID].[].[20001026]_x000D_
[KEY_FIGURES].[].[ZACTUALSALES]_x000D_
[LOCID].[].[0001004142]_x000D_
[PRDID].[].[20001026]_x000D_
[KEY_FIGURES].[].[ZCONSENSUSDEMAND]_x000D_
[LOCID].[].[0001004142]_x000D_
[PRDID].[].[20001026]_x000D_
[KEY_FIGURES].[].[INDEPENDENTDEMAND]_x000D_
[LOCID].[].[0001004142]_x000D_
[PRDID].[].[20001027]_x000D_
[KEY_FIGURES].[].[ZCONSENSUSDEMANDQTY]_x000D_
[LOCID].[].[0001004142]_x000D_
[PRDID].[].[20001027]_x000D_
[KEY_FIGURES].[].[ZINPUTSOFC]_x000D_
[LOCID].[].[0001004142]_x000D_
[PRDID].[].[20001027]_x000D_
[KEY_FIGURES].[].[ZFORECASTOPENOUTPUT]_x000D_
[LOCID].[].[0001004142]_x000D_
[PRDID].[].[20001027]_x000D_
[KEY_FIGURES].[].[ZACTUALSALES]</t>
  </si>
  <si>
    <t>[LOCID].[].[0001004142]_x000D_
[PRDID].[].[20001027]_x000D_
[KEY_FIGURES].[].[ZCONSENSUSDEMAND]_x000D_
[LOCID].[].[0001004142]_x000D_
[PRDID].[].[20001027]_x000D_
[KEY_FIGURES].[].[INDEPENDENTDEMAND]_x000D_
[LOCID].[].[0001004142]_x000D_
[PRDID].[].[20001028]_x000D_
[KEY_FIGURES].[].[ZCONSENSUSDEMANDQTY]_x000D_
[LOCID].[].[0001004142]_x000D_
[PRDID].[].[20001028]_x000D_
[KEY_FIGURES].[].[ZINPUTSOFC]_x000D_
[LOCID].[].[0001004142]_x000D_
[PRDID].[].[20001028]_x000D_
[KEY_FIGURES].[].[ZFORECASTOPENOUTPUT]_x000D_
[LOCID].[].[0001004142]_x000D_
[PRDID].[].[20001028]_x000D_
[KEY_FIGURES].[].[ZACTUALSALES]_x000D_
[LOCID].[].[0001004142]_x000D_
[PRDID].[].[20001028]_x000D_
[KEY_FIGURES].[].[ZCONSENSUSDEMAND]_x000D_
[LOCID].[].[0001004142]_x000D_
[PRDID].[].[20001028]_x000D_
[KEY_FIGURES].[].[INDEPENDENTDEMAND]_x000D_
[LOCID].[].[0001004187]_x000D_
[PRDID].[].[20000025]_x000D_
[KEY_FIGURES].[].[ZCONSENSUSDEMANDQTY]_x000D_
[LOCID].[].[0001004187]_x000D_
[PRDID].[].[20000025]_x000D_
[KEY_FIGURES].[].[ZINPUTSOFC]_x000D_
[LOCID].[].[0001004187]_x000D_
[PRDID].[].[20000025]_x000D_
[KEY_FIGURES].[].[ZFORECASTOPENOUTPUT]_x000D_
[LOCID].[].[0001004187]_x000D_
[PRDID].[].[20000025]_x000D_
[KEY_FIGURES].[].[ZACTUALSALES]_x000D_
[LOCID].[].[0001004187]_x000D_
[PRDID].[].[20000025]_x000D_
[KEY_FIGURES].[].[ZCONSENSUSDEMAND]_x000D_
[LOCID].[].[0001004187]_x000D_
[PRDID].[].[20000025]_x000D_
[KEY_FIGURES].[].[INDEPENDENTDEMAND]_x000D_
[LOCID].[].[0001004187]_x000D_
[PRDID].[].[20000026]_x000D_
[KEY_FIGURES].[].[ZCONSENSUSDEMANDQTY]_x000D_
[LOCID].[].[0001004187]_x000D_
[PRDID].[].[20000026]_x000D_
[KEY_FIGURES].[].[ZINPUTSOFC]_x000D_
[LOCID].[].[0001004187]_x000D_
[PRDID].[].[20000026]_x000D_
[KEY_FIGURES].[].[ZFORECASTOPENOUTPUT]_x000D_
[LOCID].[].[0001004187]_x000D_
[PRDID].[].[20000026]_x000D_
[KEY_FIGURES].[].[ZACTUALSALES]_x000D_
[LOCID].[].[0001004187]_x000D_
[PRDID].[].[20000026]_x000D_
[KEY_FIGURES].[].[ZCONSENSUSDEMAND]_x000D_
[LOCID].[].[0001004187]_x000D_
[PRDID].[].[20000026]_x000D_
[KEY_FIGURES].[].[INDEPENDENTDEMAND]_x000D_
[LOCID].[].[0001004187]_x000D_
[PRDID].[].[20000027]_x000D_
[KEY_FIGURES].[].[ZCONSENSUSDEMANDQTY]_x000D_
[LOCID].[].[0001004187]_x000D_
[PRDID].[].[20000027]_x000D_
[KEY_FIGURES].[].[ZINPUTSOFC]_x000D_
[LOCID].[].[0001004187]_x000D_
[PRDID].[].[20000027]_x000D_
[KEY_FIGURES].[].[ZFORECASTOPENOUTPUT]_x000D_
[LOCID].[].[0001004187]_x000D_
[PRDID].[].[20000027]_x000D_
[KEY_FIGURES].[].[ZACTUALSALES]_x000D_
[LOCID].[].[0001004187]_x000D_
[PRDID].[].[20000027]_x000D_
[KEY_FIGURES].[].[ZCONSENSUSDEMAND]_x000D_
[LOCID].[].[0001004187]_x000D_
[PRDID].[].[20000027]_x000D_
[KEY_FIGURES].[].[INDEPENDENTDEMAND]_x000D_
[LOCID].[].[0001004187]_x000D_
[PRDID].[].[20000029]_x000D_
[KEY_FIGURES].[].[ZCONSENSUSDEMANDQTY]_x000D_
[LOCID].[].[0001004187]_x000D_
[PRDID].[].[20000029]_x000D_
[KEY_FIGURES].[].[ZINPUTSOFC]_x000D_
[LOCID].[].[0001004187]_x000D_
[PRDID].[].[20000029]_x000D_
[KEY_FIGURES].[].[ZFORECASTOPENOUTPUT]_x000D_
[LOCID].[].[0001004187]_x000D_
[PRDID].[].[20000029]_x000D_
[KEY_FIGURES].[].[ZACTUALSALES]_x000D_
[LOCID].[].[0001004187]_x000D_
[PRDID].[].[20000029]_x000D_
[KEY_FIGURES].[].[ZCONSENSUSDEMAND]_x000D_
[LOCID].[].[0001004187]_x000D_
[PRDID].[].[20000029]_x000D_
[KEY_FIGURES].[].[INDEPENDENTDEMAND]_x000D_
[LOCID].[].[0001004187]_x000D_
[PRDID].[].[20000051]_x000D_
[KEY_FIGURES].[].[ZCONSENSUSDEMANDQTY]_x000D_
[LOCID].[].[0001004187]_x000D_
[PRDID].[].[20000051]_x000D_
[KEY_FIGURES].[].[ZINPUTSOFC]_x000D_
[LOCID].[].[0001004187]_x000D_
[PRDID].[].[20000051]_x000D_
[KEY_FIGURES].[].[ZFORECASTOPENOUTPUT]_x000D_
[LOCID].[].[0001004187]_x000D_
[PRDID].[].[20000051]_x000D_
[KEY_FIGURES].[].[ZACTUALSALES]_x000D_
[LOCID].[].[0001004187]_x000D_
[PRDID].[].[20000051]_x000D_
[KEY_FIGURES].[].[ZCONSENSUSDEMAND]_x000D_
[LOCID].[].[0001004187]_x000D_
[PRDID].[].[20000051]_x000D_
[KEY_FIGURES].[].[INDEPENDENTDEMAND]_x000D_
[LOCID].[].[0001004187]_x000D_
[PRDID].[].[20000087]_x000D_
[KEY_FIGURES].[].[ZCONSENSUSDEMANDQTY]_x000D_
[LOCID].[].[0001004187]_x000D_
[PRDID].[].[20000087]_x000D_
[KEY_FIGURES].[].[ZINPUTSOFC]_x000D_
[LOCID].[].[0001004187]_x000D_
[PRDID].[].[20000087]_x000D_
[KEY_FIGURES].[].[ZFORECASTOPENOUTPUT]_x000D_
[LOCID].[].[0001004187]_x000D_
[PRDID].[].[20000087]_x000D_
[KEY_FIGURES].[].[ZACTUALSALES]_x000D_
[LOCID].[].[0001004187]_x000D_
[PRDID].[].[20000087]_x000D_
[KEY_FIGURES].[].[ZCONSENSUSDEMAND]_x000D_
[LOCID].[].[0001004187]_x000D_
[PRDID].[].[20000087]_x000D_
[KEY_FIGURES].[].[INDEPENDENTDEMAND]_x000D_
[LOCID].[].[0001004187]_x000D_
[PRDID].[].[20000121]_x000D_
[KEY_FIGURES].[].[ZCONSENSUSDEMANDQTY]_x000D_
[LOCID].[].[0001004187]_x000D_
[PRDID].[].[20000121]_x000D_
[KEY_FIGURES].[].[ZINPUTSOFC]_x000D_
[LOCID].[].[0001004187]_x000D_
[PRDID].[].[20000121]_x000D_
[KEY_FIGURES].[].[ZFORECASTOPENOUTPUT]_x000D_
[LOCID].[].[0001004187]_x000D_
[PRDID].[].[20000121]_x000D_
[KEY_FIGURES].[].[ZACTUALSALES]_x000D_
[LOCID].[].[0001004187]_x000D_
[PRDID].[].[20000121]_x000D_
[KEY_FIGURES].[].[ZCONSENSUSDEMAND]_x000D_
[LOCID].[].[0001004187]_x000D_
[PRDID].[].[20000121]_x000D_
[KEY_FIGURES].[].[INDEPENDENTDEMAND]_x000D_
[LOCID].[].[0001004192]_x000D_
[PRDID].[].[20000021]_x000D_
[KEY_FIGURES].[].[ZCONSENSUSDEMANDQTY]_x000D_
[LOCID].[].[0001004192]_x000D_
[PRDID].[].[20000021]_x000D_
[KEY_FIGURES].[].[ZINPUTSOFC]_x000D_
[LOCID].[].[0001004192]_x000D_
[PRDID].[].[20000021]_x000D_
[KEY_FIGURES].[].[ZFORECASTOPENOUTPUT]_x000D_
[LOCID].[].[0001004192]_x000D_
[PRDID].[].[20000021]_x000D_
[KEY_FIGURES].[].[ZACTUALSALES]_x000D_
[LOCID].[].[0001004192]_x000D_
[PRDID].[].[20000021]_x000D_
[KEY_FIGURES].[].[ZCONSENSUSDEMAND]_x000D_
[LOCID].[].[0001004192]_x000D_
[PRDID].[].[20000021]_x000D_
[KEY_FIGURES].[].[INDEPENDENTDEMAND]_x000D_
[LOCID].[].[0001004214]_x000D_
[PRDID].[].[20001117]_x000D_
[KEY_FIGURES].[].[ZCONSENSUSDEMANDQTY]_x000D_
[LOCID].[].[0001004214]_x000D_
[PRDID].[].[20001117]_x000D_
[KEY_FIGURES].[].[ZINPUTSOFC]_x000D_
[LOCID].[].[0001004214]_x000D_
[PRDID].[].[20001117]_x000D_
[KEY_FIGURES].[].[ZFORECASTOPENOUTPUT]_x000D_
[LOCID].[].[0001004214]_x000D_
[PRDID].[].[20001117]_x000D_
[KEY_FIGURES].[].[ZACTUALSALES]_x000D_
[LOCID].[].[0001004214]_x000D_
[PRDID].[].[20001117]_x000D_
[KEY_FIGURES].[].[ZCONSENSUSDEMAND]_x000D_
[LOCID].[].[0001004214]_x000D_
[PRDID].[].[20001117]_x000D_
[KEY_FIGURES].[].[INDEPENDENTDEMAND]_x000D_
[LOCID].[].[0001004227]_x000D_
[PRDID].[].[20000043]_x000D_
[KEY_FIGURES].[].[ZCONSENSUSDEMANDQTY]_x000D_
[LOCID].[].[0001004227]_x000D_
[PRDID].[].[20000043]_x000D_
[KEY_FIGURES].[].[ZINPUTSOFC]_x000D_
[LOCID].[].[0001004227]_x000D_
[PRDID].[].[20000043]_x000D_
[KEY_FIGURES].[].[ZFORECASTOPENOUTPUT]_x000D_
[LOCID].[].[0001004227]_x000D_
[PRDID].[].[20000043]_x000D_
[KEY_FIGURES].[].[ZACTUALSALES]_x000D_
[LOCID].[].[0001004227]_x000D_
[PRDID].[].[20000043]</t>
  </si>
  <si>
    <t>[KEY_FIGURES].[].[ZCONSENSUSDEMAND]_x000D_
[LOCID].[].[0001004227]_x000D_
[PRDID].[].[20000043]_x000D_
[KEY_FIGURES].[].[INDEPENDENTDEMAND]_x000D_
[LOCID].[].[0001004227]_x000D_
[PRDID].[].[20000044]_x000D_
[KEY_FIGURES].[].[ZCONSENSUSDEMANDQTY]_x000D_
[LOCID].[].[0001004227]_x000D_
[PRDID].[].[20000044]_x000D_
[KEY_FIGURES].[].[ZINPUTSOFC]_x000D_
[LOCID].[].[0001004227]_x000D_
[PRDID].[].[20000044]_x000D_
[KEY_FIGURES].[].[ZFORECASTOPENOUTPUT]_x000D_
[LOCID].[].[0001004227]_x000D_
[PRDID].[].[20000044]_x000D_
[KEY_FIGURES].[].[ZACTUALSALES]_x000D_
[LOCID].[].[0001004227]_x000D_
[PRDID].[].[20000044]_x000D_
[KEY_FIGURES].[].[ZCONSENSUSDEMAND]_x000D_
[LOCID].[].[0001004227]_x000D_
[PRDID].[].[20000044]_x000D_
[KEY_FIGURES].[].[INDEPENDENTDEMAND]_x000D_
[LOCID].[].[0001004227]_x000D_
[PRDID].[].[20000045]_x000D_
[KEY_FIGURES].[].[ZCONSENSUSDEMANDQTY]_x000D_
[LOCID].[].[0001004227]_x000D_
[PRDID].[].[20000045]_x000D_
[KEY_FIGURES].[].[ZINPUTSOFC]_x000D_
[LOCID].[].[0001004227]_x000D_
[PRDID].[].[20000045]_x000D_
[KEY_FIGURES].[].[ZFORECASTOPENOUTPUT]_x000D_
[LOCID].[].[0001004227]_x000D_
[PRDID].[].[20000045]_x000D_
[KEY_FIGURES].[].[ZACTUALSALES]_x000D_
[LOCID].[].[0001004227]_x000D_
[PRDID].[].[20000045]_x000D_
[KEY_FIGURES].[].[ZCONSENSUSDEMAND]_x000D_
[LOCID].[].[0001004227]_x000D_
[PRDID].[].[20000045]_x000D_
[KEY_FIGURES].[].[INDEPENDENTDEMAND]_x000D_
[LOCID].[].[0001004300]_x000D_
[PRDID].[].[20000023]_x000D_
[KEY_FIGURES].[].[ZCONSENSUSDEMANDQTY]_x000D_
[LOCID].[].[0001004300]_x000D_
[PRDID].[].[20000023]_x000D_
[KEY_FIGURES].[].[ZINPUTSOFC]_x000D_
[LOCID].[].[0001004300]_x000D_
[PRDID].[].[20000023]_x000D_
[KEY_FIGURES].[].[ZFORECASTOPENOUTPUT]_x000D_
[LOCID].[].[0001004300]_x000D_
[PRDID].[].[20000023]_x000D_
[KEY_FIGURES].[].[ZACTUALSALES]_x000D_
[LOCID].[].[0001004300]_x000D_
[PRDID].[].[20000023]_x000D_
[KEY_FIGURES].[].[ZCONSENSUSDEMAND]_x000D_
[LOCID].[].[0001004300]_x000D_
[PRDID].[].[20000023]_x000D_
[KEY_FIGURES].[].[INDEPENDENTDEMAND]_x000D_
[LOCID].[].[0001004310]_x000D_
[PRDID].[].[20000075]_x000D_
[KEY_FIGURES].[].[ZCONSENSUSDEMANDQTY]_x000D_
[LOCID].[].[0001004310]_x000D_
[PRDID].[].[20000075]_x000D_
[KEY_FIGURES].[].[ZINPUTSOFC]_x000D_
[LOCID].[].[0001004310]_x000D_
[PRDID].[].[20000075]_x000D_
[KEY_FIGURES].[].[ZFORECASTOPENOUTPUT]_x000D_
[LOCID].[].[0001004310]_x000D_
[PRDID].[].[20000075]_x000D_
[KEY_FIGURES].[].[ZACTUALSALES]_x000D_
[LOCID].[].[0001004310]_x000D_
[PRDID].[].[20000075]_x000D_
[KEY_FIGURES].[].[ZCONSENSUSDEMAND]_x000D_
[LOCID].[].[0001004310]_x000D_
[PRDID].[].[20000075]_x000D_
[KEY_FIGURES].[].[INDEPENDENTDEMAND]_x000D_
[LOCID].[].[0001004310]_x000D_
[PRDID].[].[20000320]_x000D_
[KEY_FIGURES].[].[ZCONSENSUSDEMANDQTY]_x000D_
[LOCID].[].[0001004310]_x000D_
[PRDID].[].[20000320]_x000D_
[KEY_FIGURES].[].[ZINPUTSOFC]_x000D_
[LOCID].[].[0001004310]_x000D_
[PRDID].[].[20000320]_x000D_
[KEY_FIGURES].[].[ZFORECASTOPENOUTPUT]_x000D_
[LOCID].[].[0001004310]_x000D_
[PRDID].[].[20000320]_x000D_
[KEY_FIGURES].[].[ZACTUALSALES]_x000D_
[LOCID].[].[0001004310]_x000D_
[PRDID].[].[20000320]_x000D_
[KEY_FIGURES].[].[ZCONSENSUSDEMAND]_x000D_
[LOCID].[].[0001004310]_x000D_
[PRDID].[].[20000320]_x000D_
[KEY_FIGURES].[].[INDEPENDENTDEMAND]_x000D_
[LOCID].[].[0001004362]_x000D_
[PRDID].[].[20000030]_x000D_
[KEY_FIGURES].[].[ZCONSENSUSDEMANDQTY]_x000D_
[LOCID].[].[0001004362]_x000D_
[PRDID].[].[20000030]_x000D_
[KEY_FIGURES].[].[ZINPUTSOFC]_x000D_
[LOCID].[].[0001004362]_x000D_
[PRDID].[].[20000030]_x000D_
[KEY_FIGURES].[].[ZFORECASTOPENOUTPUT]_x000D_
[LOCID].[].[0001004362]_x000D_
[PRDID].[].[20000030]_x000D_
[KEY_FIGURES].[].[ZACTUALSALES]_x000D_
[LOCID].[].[0001004362]_x000D_
[PRDID].[].[20000030]_x000D_
[KEY_FIGURES].[].[ZCONSENSUSDEMAND]_x000D_
[LOCID].[].[0001004362]_x000D_
[PRDID].[].[20000030]_x000D_
[KEY_FIGURES].[].[INDEPENDENTDEMAND]_x000D_
[LOCID].[].[0001004362]_x000D_
[PRDID].[].[20000350]_x000D_
[KEY_FIGURES].[].[ZCONSENSUSDEMANDQTY]_x000D_
[LOCID].[].[0001004362]_x000D_
[PRDID].[].[20000350]_x000D_
[KEY_FIGURES].[].[ZINPUTSOFC]_x000D_
[LOCID].[].[0001004362]_x000D_
[PRDID].[].[20000350]_x000D_
[KEY_FIGURES].[].[ZFORECASTOPENOUTPUT]_x000D_
[LOCID].[].[0001004362]_x000D_
[PRDID].[].[20000350]_x000D_
[KEY_FIGURES].[].[ZACTUALSALES]_x000D_
[LOCID].[].[0001004362]_x000D_
[PRDID].[].[20000350]_x000D_
[KEY_FIGURES].[].[ZCONSENSUSDEMAND]_x000D_
[LOCID].[].[0001004362]_x000D_
[PRDID].[].[20000350]_x000D_
[KEY_FIGURES].[].[INDEPENDENTDEMAND]_x000D_
[LOCID].[].[0001004362]_x000D_
[PRDID].[].[20000588]_x000D_
[KEY_FIGURES].[].[ZCONSENSUSDEMANDQTY]_x000D_
[LOCID].[].[0001004362]_x000D_
[PRDID].[].[20000588]_x000D_
[KEY_FIGURES].[].[ZINPUTSOFC]_x000D_
[LOCID].[].[0001004362]_x000D_
[PRDID].[].[20000588]_x000D_
[KEY_FIGURES].[].[ZFORECASTOPENOUTPUT]_x000D_
[LOCID].[].[0001004362]_x000D_
[PRDID].[].[20000588]_x000D_
[KEY_FIGURES].[].[ZACTUALSALES]_x000D_
[LOCID].[].[0001004362]_x000D_
[PRDID].[].[20000588]_x000D_
[KEY_FIGURES].[].[ZCONSENSUSDEMAND]_x000D_
[LOCID].[].[0001004362]_x000D_
[PRDID].[].[20000588]_x000D_
[KEY_FIGURES].[].[INDEPENDENTDEMAND]_x000D_
[LOCID].[].[0001004362]_x000D_
[PRDID].[].[20000589]_x000D_
[KEY_FIGURES].[].[ZCONSENSUSDEMANDQTY]_x000D_
[LOCID].[].[0001004362]_x000D_
[PRDID].[].[20000589]_x000D_
[KEY_FIGURES].[].[ZINPUTSOFC]_x000D_
[LOCID].[].[0001004362]_x000D_
[PRDID].[].[20000589]_x000D_
[KEY_FIGURES].[].[ZFORECASTOPENOUTPUT]_x000D_
[LOCID].[].[0001004362]_x000D_
[PRDID].[].[20000589]_x000D_
[KEY_FIGURES].[].[ZACTUALSALES]_x000D_
[LOCID].[].[0001004362]_x000D_
[PRDID].[].[20000589]_x000D_
[KEY_FIGURES].[].[ZCONSENSUSDEMAND]_x000D_
[LOCID].[].[0001004362]_x000D_
[PRDID].[].[20000589]_x000D_
[KEY_FIGURES].[].[INDEPENDENTDEMAND]_x000D_
[LOCID].[].[0001004362]_x000D_
[PRDID].[].[20000590]_x000D_
[KEY_FIGURES].[].[ZCONSENSUSDEMANDQTY]_x000D_
[LOCID].[].[0001004362]_x000D_
[PRDID].[].[20000590]_x000D_
[KEY_FIGURES].[].[ZINPUTSOFC]_x000D_
[LOCID].[].[0001004362]_x000D_
[PRDID].[].[20000590]_x000D_
[KEY_FIGURES].[].[ZFORECASTOPENOUTPUT]_x000D_
[LOCID].[].[0001004362]_x000D_
[PRDID].[].[20000590]_x000D_
[KEY_FIGURES].[].[ZACTUALSALES]_x000D_
[LOCID].[].[0001004362]_x000D_
[PRDID].[].[20000590]_x000D_
[KEY_FIGURES].[].[ZCONSENSUSDEMAND]_x000D_
[LOCID].[].[0001004362]_x000D_
[PRDID].[].[20000590]_x000D_
[KEY_FIGURES].[].[INDEPENDENTDEMAND]_x000D_
[LOCID].[].[0001004362]_x000D_
[PRDID].[].[20000591]_x000D_
[KEY_FIGURES].[].[ZCONSENSUSDEMANDQTY]_x000D_
[LOCID].[].[0001004362]_x000D_
[PRDID].[].[20000591]_x000D_
[KEY_FIGURES].[].[ZINPUTSOFC]_x000D_
[LOCID].[].[0001004362]_x000D_
[PRDID].[].[20000591]_x000D_
[KEY_FIGURES].[].[ZFORECASTOPENOUTPUT]_x000D_
[LOCID].[].[0001004362]_x000D_
[PRDID].[].[20000591]_x000D_
[KEY_FIGURES].[].[ZACTUALSALES]_x000D_
[LOCID].[].[0001004362]_x000D_
[PRDID].[].[20000591]_x000D_
[KEY_FIGURES].[].[ZCONSENSUSDEMAND]_x000D_
[LOCID].[].[0001004362]</t>
  </si>
  <si>
    <t>[PRDID].[].[20000591]_x000D_
[KEY_FIGURES].[].[INDEPENDENTDEMAND]_x000D_
[LOCID].[].[0001004362]_x000D_
[PRDID].[].[20000592]_x000D_
[KEY_FIGURES].[].[ZCONSENSUSDEMANDQTY]_x000D_
[LOCID].[].[0001004362]_x000D_
[PRDID].[].[20000592]_x000D_
[KEY_FIGURES].[].[ZINPUTSOFC]_x000D_
[LOCID].[].[0001004362]_x000D_
[PRDID].[].[20000592]_x000D_
[KEY_FIGURES].[].[ZFORECASTOPENOUTPUT]_x000D_
[LOCID].[].[0001004362]_x000D_
[PRDID].[].[20000592]_x000D_
[KEY_FIGURES].[].[ZACTUALSALES]_x000D_
[LOCID].[].[0001004362]_x000D_
[PRDID].[].[20000592]_x000D_
[KEY_FIGURES].[].[ZCONSENSUSDEMAND]_x000D_
[LOCID].[].[0001004362]_x000D_
[PRDID].[].[20000592]_x000D_
[KEY_FIGURES].[].[INDEPENDENTDEMAND]_x000D_
[LOCID].[].[0001004362]_x000D_
[PRDID].[].[20000938]_x000D_
[KEY_FIGURES].[].[ZCONSENSUSDEMANDQTY]_x000D_
[LOCID].[].[0001004362]_x000D_
[PRDID].[].[20000938]_x000D_
[KEY_FIGURES].[].[ZINPUTSOFC]_x000D_
[LOCID].[].[0001004362]_x000D_
[PRDID].[].[20000938]_x000D_
[KEY_FIGURES].[].[ZFORECASTOPENOUTPUT]_x000D_
[LOCID].[].[0001004362]_x000D_
[PRDID].[].[20000938]_x000D_
[KEY_FIGURES].[].[ZACTUALSALES]_x000D_
[LOCID].[].[0001004362]_x000D_
[PRDID].[].[20000938]_x000D_
[KEY_FIGURES].[].[ZCONSENSUSDEMAND]_x000D_
[LOCID].[].[0001004362]_x000D_
[PRDID].[].[20000938]_x000D_
[KEY_FIGURES].[].[INDEPENDENTDEMAND]_x000D_
[LOCID].[].[0001004365]_x000D_
[PRDID].[].[20000953]_x000D_
[KEY_FIGURES].[].[ZCONSENSUSDEMANDQTY]_x000D_
[LOCID].[].[0001004365]_x000D_
[PRDID].[].[20000953]_x000D_
[KEY_FIGURES].[].[ZINPUTSOFC]_x000D_
[LOCID].[].[0001004365]_x000D_
[PRDID].[].[20000953]_x000D_
[KEY_FIGURES].[].[ZFORECASTOPENOUTPUT]_x000D_
[LOCID].[].[0001004365]_x000D_
[PRDID].[].[20000953]_x000D_
[KEY_FIGURES].[].[ZACTUALSALES]_x000D_
[LOCID].[].[0001004365]_x000D_
[PRDID].[].[20000953]_x000D_
[KEY_FIGURES].[].[ZCONSENSUSDEMAND]_x000D_
[LOCID].[].[0001004365]_x000D_
[PRDID].[].[20000953]_x000D_
[KEY_FIGURES].[].[INDEPENDENTDEMAND]_x000D_
[LOCID].[].[0001004369]_x000D_
[PRDID].[].[20000631]_x000D_
[KEY_FIGURES].[].[ZCONSENSUSDEMANDQTY]_x000D_
[LOCID].[].[0001004369]_x000D_
[PRDID].[].[20000631]_x000D_
[KEY_FIGURES].[].[ZINPUTSOFC]_x000D_
[LOCID].[].[0001004369]_x000D_
[PRDID].[].[20000631]_x000D_
[KEY_FIGURES].[].[ZFORECASTOPENOUTPUT]_x000D_
[LOCID].[].[0001004369]_x000D_
[PRDID].[].[20000631]_x000D_
[KEY_FIGURES].[].[ZACTUALSALES]_x000D_
[LOCID].[].[0001004369]_x000D_
[PRDID].[].[20000631]_x000D_
[KEY_FIGURES].[].[ZCONSENSUSDEMAND]_x000D_
[LOCID].[].[0001004369]_x000D_
[PRDID].[].[20000631]_x000D_
[KEY_FIGURES].[].[INDEPENDENTDEMAND]_x000D_
[LOCID].[].[0001004369]_x000D_
[PRDID].[].[20000633]_x000D_
[KEY_FIGURES].[].[ZCONSENSUSDEMANDQTY]_x000D_
[LOCID].[].[0001004369]_x000D_
[PRDID].[].[20000633]_x000D_
[KEY_FIGURES].[].[ZINPUTSOFC]_x000D_
[LOCID].[].[0001004369]_x000D_
[PRDID].[].[20000633]_x000D_
[KEY_FIGURES].[].[ZFORECASTOPENOUTPUT]_x000D_
[LOCID].[].[0001004369]_x000D_
[PRDID].[].[20000633]_x000D_
[KEY_FIGURES].[].[ZACTUALSALES]_x000D_
[LOCID].[].[0001004369]_x000D_
[PRDID].[].[20000633]_x000D_
[KEY_FIGURES].[].[ZCONSENSUSDEMAND]_x000D_
[LOCID].[].[0001004369]_x000D_
[PRDID].[].[20000633]_x000D_
[KEY_FIGURES].[].[INDEPENDENTDEMAND]_x000D_
[LOCID].[].[0001004369]_x000D_
[PRDID].[].[20000635]_x000D_
[KEY_FIGURES].[].[ZCONSENSUSDEMANDQTY]_x000D_
[LOCID].[].[0001004369]_x000D_
[PRDID].[].[20000635]_x000D_
[KEY_FIGURES].[].[ZINPUTSOFC]_x000D_
[LOCID].[].[0001004369]_x000D_
[PRDID].[].[20000635]_x000D_
[KEY_FIGURES].[].[ZFORECASTOPENOUTPUT]_x000D_
[LOCID].[].[0001004369]_x000D_
[PRDID].[].[20000635]_x000D_
[KEY_FIGURES].[].[ZACTUALSALES]_x000D_
[LOCID].[].[0001004369]_x000D_
[PRDID].[].[20000635]_x000D_
[KEY_FIGURES].[].[ZCONSENSUSDEMAND]_x000D_
[LOCID].[].[0001004369]_x000D_
[PRDID].[].[20000635]_x000D_
[KEY_FIGURES].[].[INDEPENDENTDEMAND]_x000D_
[LOCID].[].[0001004398]_x000D_
[PRDID].[].[20000144]_x000D_
[KEY_FIGURES].[].[ZCONSENSUSDEMANDQTY]_x000D_
[LOCID].[].[0001004398]_x000D_
[PRDID].[].[20000144]_x000D_
[KEY_FIGURES].[].[ZINPUTSOFC]_x000D_
[LOCID].[].[0001004398]_x000D_
[PRDID].[].[20000144]_x000D_
[KEY_FIGURES].[].[ZFORECASTOPENOUTPUT]_x000D_
[LOCID].[].[0001004398]_x000D_
[PRDID].[].[20000144]_x000D_
[KEY_FIGURES].[].[ZACTUALSALES]_x000D_
[LOCID].[].[0001004398]_x000D_
[PRDID].[].[20000144]_x000D_
[KEY_FIGURES].[].[ZCONSENSUSDEMAND]_x000D_
[LOCID].[].[0001004398]_x000D_
[PRDID].[].[20000144]_x000D_
[KEY_FIGURES].[].[INDEPENDENTDEMAND]_x000D_
[LOCID].[].[0001004398]_x000D_
[PRDID].[].[20000249]_x000D_
[KEY_FIGURES].[].[ZCONSENSUSDEMANDQTY]_x000D_
[LOCID].[].[0001004398]_x000D_
[PRDID].[].[20000249]_x000D_
[KEY_FIGURES].[].[ZINPUTSOFC]_x000D_
[LOCID].[].[0001004398]_x000D_
[PRDID].[].[20000249]_x000D_
[KEY_FIGURES].[].[ZFORECASTOPENOUTPUT]_x000D_
[LOCID].[].[0001004398]_x000D_
[PRDID].[].[20000249]_x000D_
[KEY_FIGURES].[].[ZACTUALSALES]_x000D_
[LOCID].[].[0001004398]_x000D_
[PRDID].[].[20000249]_x000D_
[KEY_FIGURES].[].[ZCONSENSUSDEMAND]_x000D_
[LOCID].[].[0001004398]_x000D_
[PRDID].[].[20000249]_x000D_
[KEY_FIGURES].[].[INDEPENDENTDEMAND]_x000D_
[LOCID].[].[0001004398]_x000D_
[PRDID].[].[20000258]_x000D_
[KEY_FIGURES].[].[ZCONSENSUSDEMANDQTY]_x000D_
[LOCID].[].[0001004398]_x000D_
[PRDID].[].[20000258]_x000D_
[KEY_FIGURES].[].[ZINPUTSOFC]_x000D_
[LOCID].[].[0001004398]_x000D_
[PRDID].[].[20000258]_x000D_
[KEY_FIGURES].[].[ZFORECASTOPENOUTPUT]_x000D_
[LOCID].[].[0001004398]_x000D_
[PRDID].[].[20000258]_x000D_
[KEY_FIGURES].[].[ZACTUALSALES]_x000D_
[LOCID].[].[0001004398]_x000D_
[PRDID].[].[20000258]_x000D_
[KEY_FIGURES].[].[ZCONSENSUSDEMAND]_x000D_
[LOCID].[].[0001004398]_x000D_
[PRDID].[].[20000258]_x000D_
[KEY_FIGURES].[].[INDEPENDENTDEMAND]_x000D_
[LOCID].[].[0001004407]_x000D_
[PRDID].[].[20000025]_x000D_
[KEY_FIGURES].[].[ZCONSENSUSDEMANDQTY]_x000D_
[LOCID].[].[0001004407]_x000D_
[PRDID].[].[20000025]_x000D_
[KEY_FIGURES].[].[ZINPUTSOFC]_x000D_
[LOCID].[].[0001004407]_x000D_
[PRDID].[].[20000025]_x000D_
[KEY_FIGURES].[].[ZFORECASTOPENOUTPUT]_x000D_
[LOCID].[].[0001004407]_x000D_
[PRDID].[].[20000025]_x000D_
[KEY_FIGURES].[].[ZACTUALSALES]_x000D_
[LOCID].[].[0001004407]_x000D_
[PRDID].[].[20000025]_x000D_
[KEY_FIGURES].[].[ZCONSENSUSDEMAND]_x000D_
[LOCID].[].[0001004407]_x000D_
[PRDID].[].[20000025]_x000D_
[KEY_FIGURES].[].[INDEPENDENTDEMAND]_x000D_
[LOCID].[].[0001004407]_x000D_
[PRDID].[].[20000026]_x000D_
[KEY_FIGURES].[].[ZCONSENSUSDEMANDQTY]_x000D_
[LOCID].[].[0001004407]_x000D_
[PRDID].[].[20000026]_x000D_
[KEY_FIGURES].[].[ZINPUTSOFC]_x000D_
[LOCID].[].[0001004407]_x000D_
[PRDID].[].[20000026]_x000D_
[KEY_FIGURES].[].[ZFORECASTOPENOUTPUT]_x000D_
[LOCID].[].[0001004407]_x000D_
[PRDID].[].[20000026]_x000D_
[KEY_FIGURES].[].[ZACTUALSALES]_x000D_
[LOCID].[].[0001004407]_x000D_
[PRDID].[].[20000026]_x000D_
[KEY_FIGURES].[].[ZCONSENSUSDEMAND]_x000D_
[LOCID].[].[0001004407]_x000D_
[PRDID].[].[20000026]_x000D_
[KEY_FIGURES].[].[INDEPENDENTDEMAND]</t>
  </si>
  <si>
    <t>[LOCID].[].[0001004407]_x000D_
[PRDID].[].[20000027]_x000D_
[KEY_FIGURES].[].[ZCONSENSUSDEMANDQTY]_x000D_
[LOCID].[].[0001004407]_x000D_
[PRDID].[].[20000027]_x000D_
[KEY_FIGURES].[].[ZINPUTSOFC]_x000D_
[LOCID].[].[0001004407]_x000D_
[PRDID].[].[20000027]_x000D_
[KEY_FIGURES].[].[ZFORECASTOPENOUTPUT]_x000D_
[LOCID].[].[0001004407]_x000D_
[PRDID].[].[20000027]_x000D_
[KEY_FIGURES].[].[ZACTUALSALES]_x000D_
[LOCID].[].[0001004407]_x000D_
[PRDID].[].[20000027]_x000D_
[KEY_FIGURES].[].[ZCONSENSUSDEMAND]_x000D_
[LOCID].[].[0001004407]_x000D_
[PRDID].[].[20000027]_x000D_
[KEY_FIGURES].[].[INDEPENDENTDEMAND]_x000D_
[LOCID].[].[0001004407]_x000D_
[PRDID].[].[20000028]_x000D_
[KEY_FIGURES].[].[ZCONSENSUSDEMANDQTY]_x000D_
[LOCID].[].[0001004407]_x000D_
[PRDID].[].[20000028]_x000D_
[KEY_FIGURES].[].[ZINPUTSOFC]_x000D_
[LOCID].[].[0001004407]_x000D_
[PRDID].[].[20000028]_x000D_
[KEY_FIGURES].[].[ZFORECASTOPENOUTPUT]_x000D_
[LOCID].[].[0001004407]_x000D_
[PRDID].[].[20000028]_x000D_
[KEY_FIGURES].[].[ZACTUALSALES]_x000D_
[LOCID].[].[0001004407]_x000D_
[PRDID].[].[20000028]_x000D_
[KEY_FIGURES].[].[ZCONSENSUSDEMAND]_x000D_
[LOCID].[].[0001004407]_x000D_
[PRDID].[].[20000028]_x000D_
[KEY_FIGURES].[].[INDEPENDENTDEMAND]_x000D_
[LOCID].[].[0001004407]_x000D_
[PRDID].[].[20000029]_x000D_
[KEY_FIGURES].[].[ZCONSENSUSDEMANDQTY]_x000D_
[LOCID].[].[0001004407]_x000D_
[PRDID].[].[20000029]_x000D_
[KEY_FIGURES].[].[ZINPUTSOFC]_x000D_
[LOCID].[].[0001004407]_x000D_
[PRDID].[].[20000029]_x000D_
[KEY_FIGURES].[].[ZFORECASTOPENOUTPUT]_x000D_
[LOCID].[].[0001004407]_x000D_
[PRDID].[].[20000029]_x000D_
[KEY_FIGURES].[].[ZACTUALSALES]_x000D_
[LOCID].[].[0001004407]_x000D_
[PRDID].[].[20000029]_x000D_
[KEY_FIGURES].[].[ZCONSENSUSDEMAND]_x000D_
[LOCID].[].[0001004407]_x000D_
[PRDID].[].[20000029]_x000D_
[KEY_FIGURES].[].[INDEPENDENTDEMAND]_x000D_
[LOCID].[].[0001004407]_x000D_
[PRDID].[].[20000087]_x000D_
[KEY_FIGURES].[].[ZCONSENSUSDEMANDQTY]_x000D_
[LOCID].[].[0001004407]_x000D_
[PRDID].[].[20000087]_x000D_
[KEY_FIGURES].[].[ZINPUTSOFC]_x000D_
[LOCID].[].[0001004407]_x000D_
[PRDID].[].[20000087]_x000D_
[KEY_FIGURES].[].[ZFORECASTOPENOUTPUT]_x000D_
[LOCID].[].[0001004407]_x000D_
[PRDID].[].[20000087]_x000D_
[KEY_FIGURES].[].[ZACTUALSALES]_x000D_
[LOCID].[].[0001004407]_x000D_
[PRDID].[].[20000087]_x000D_
[KEY_FIGURES].[].[ZCONSENSUSDEMAND]_x000D_
[LOCID].[].[0001004407]_x000D_
[PRDID].[].[20000087]_x000D_
[KEY_FIGURES].[].[INDEPENDENTDEMAND]_x000D_
[LOCID].[].[0001004409]_x000D_
[PRDID].[].[20000057]_x000D_
[KEY_FIGURES].[].[ZCONSENSUSDEMANDQTY]_x000D_
[LOCID].[].[0001004409]_x000D_
[PRDID].[].[20000057]_x000D_
[KEY_FIGURES].[].[ZINPUTSOFC]_x000D_
[LOCID].[].[0001004409]_x000D_
[PRDID].[].[20000057]_x000D_
[KEY_FIGURES].[].[ZFORECASTOPENOUTPUT]_x000D_
[LOCID].[].[0001004409]_x000D_
[PRDID].[].[20000057]_x000D_
[KEY_FIGURES].[].[ZACTUALSALES]_x000D_
[LOCID].[].[0001004409]_x000D_
[PRDID].[].[20000057]_x000D_
[KEY_FIGURES].[].[ZCONSENSUSDEMAND]_x000D_
[LOCID].[].[0001004409]_x000D_
[PRDID].[].[20000057]_x000D_
[KEY_FIGURES].[].[INDEPENDENTDEMAND]_x000D_
[LOCID].[].[0001004409]_x000D_
[PRDID].[].[20000062]_x000D_
[KEY_FIGURES].[].[ZCONSENSUSDEMANDQTY]_x000D_
[LOCID].[].[0001004409]_x000D_
[PRDID].[].[20000062]_x000D_
[KEY_FIGURES].[].[ZINPUTSOFC]_x000D_
[LOCID].[].[0001004409]_x000D_
[PRDID].[].[20000062]_x000D_
[KEY_FIGURES].[].[ZFORECASTOPENOUTPUT]_x000D_
[LOCID].[].[0001004409]_x000D_
[PRDID].[].[20000062]_x000D_
[KEY_FIGURES].[].[ZACTUALSALES]_x000D_
[LOCID].[].[0001004409]_x000D_
[PRDID].[].[20000062]_x000D_
[KEY_FIGURES].[].[ZCONSENSUSDEMAND]_x000D_
[LOCID].[].[0001004409]_x000D_
[PRDID].[].[20000062]_x000D_
[KEY_FIGURES].[].[INDEPENDENTDEMAND]_x000D_
[LOCID].[].[0001004409]_x000D_
[PRDID].[].[20000063]_x000D_
[KEY_FIGURES].[].[ZCONSENSUSDEMANDQTY]_x000D_
[LOCID].[].[0001004409]_x000D_
[PRDID].[].[20000063]_x000D_
[KEY_FIGURES].[].[ZINPUTSOFC]_x000D_
[LOCID].[].[0001004409]_x000D_
[PRDID].[].[20000063]_x000D_
[KEY_FIGURES].[].[ZFORECASTOPENOUTPUT]_x000D_
[LOCID].[].[0001004409]_x000D_
[PRDID].[].[20000063]_x000D_
[KEY_FIGURES].[].[ZACTUALSALES]_x000D_
[LOCID].[].[0001004409]_x000D_
[PRDID].[].[20000063]_x000D_
[KEY_FIGURES].[].[ZCONSENSUSDEMAND]_x000D_
[LOCID].[].[0001004409]_x000D_
[PRDID].[].[20000063]_x000D_
[KEY_FIGURES].[].[INDEPENDENTDEMAND]_x000D_
[LOCID].[].[0001004409]_x000D_
[PRDID].[].[20000066]_x000D_
[KEY_FIGURES].[].[ZCONSENSUSDEMANDQTY]_x000D_
[LOCID].[].[0001004409]_x000D_
[PRDID].[].[20000066]_x000D_
[KEY_FIGURES].[].[ZINPUTSOFC]_x000D_
[LOCID].[].[0001004409]_x000D_
[PRDID].[].[20000066]_x000D_
[KEY_FIGURES].[].[ZFORECASTOPENOUTPUT]_x000D_
[LOCID].[].[0001004409]_x000D_
[PRDID].[].[20000066]_x000D_
[KEY_FIGURES].[].[ZACTUALSALES]_x000D_
[LOCID].[].[0001004409]_x000D_
[PRDID].[].[20000066]_x000D_
[KEY_FIGURES].[].[ZCONSENSUSDEMAND]_x000D_
[LOCID].[].[0001004409]_x000D_
[PRDID].[].[20000066]_x000D_
[KEY_FIGURES].[].[INDEPENDENTDEMAND]_x000D_
[LOCID].[].[0001004409]_x000D_
[PRDID].[].[20000073]_x000D_
[KEY_FIGURES].[].[ZCONSENSUSDEMANDQTY]_x000D_
[LOCID].[].[0001004409]_x000D_
[PRDID].[].[20000073]_x000D_
[KEY_FIGURES].[].[ZINPUTSOFC]_x000D_
[LOCID].[].[0001004409]_x000D_
[PRDID].[].[20000073]_x000D_
[KEY_FIGURES].[].[ZFORECASTOPENOUTPUT]_x000D_
[LOCID].[].[0001004409]_x000D_
[PRDID].[].[20000073]_x000D_
[KEY_FIGURES].[].[ZACTUALSALES]_x000D_
[LOCID].[].[0001004409]_x000D_
[PRDID].[].[20000073]_x000D_
[KEY_FIGURES].[].[ZCONSENSUSDEMAND]_x000D_
[LOCID].[].[0001004409]_x000D_
[PRDID].[].[20000073]_x000D_
[KEY_FIGURES].[].[INDEPENDENTDEMAND]_x000D_
[LOCID].[].[0001004409]_x000D_
[PRDID].[].[20000094]_x000D_
[KEY_FIGURES].[].[ZCONSENSUSDEMANDQTY]_x000D_
[LOCID].[].[0001004409]_x000D_
[PRDID].[].[20000094]_x000D_
[KEY_FIGURES].[].[ZINPUTSOFC]_x000D_
[LOCID].[].[0001004409]_x000D_
[PRDID].[].[20000094]_x000D_
[KEY_FIGURES].[].[ZFORECASTOPENOUTPUT]_x000D_
[LOCID].[].[0001004409]_x000D_
[PRDID].[].[20000094]_x000D_
[KEY_FIGURES].[].[ZACTUALSALES]_x000D_
[LOCID].[].[0001004409]_x000D_
[PRDID].[].[20000094]_x000D_
[KEY_FIGURES].[].[ZCONSENSUSDEMAND]_x000D_
[LOCID].[].[0001004409]_x000D_
[PRDID].[].[20000094]_x000D_
[KEY_FIGURES].[].[INDEPENDENTDEMAND]_x000D_
[LOCID].[].[0001004409]_x000D_
[PRDID].[].[20000095]_x000D_
[KEY_FIGURES].[].[ZCONSENSUSDEMANDQTY]_x000D_
[LOCID].[].[0001004409]_x000D_
[PRDID].[].[20000095]_x000D_
[KEY_FIGURES].[].[ZINPUTSOFC]_x000D_
[LOCID].[].[0001004409]_x000D_
[PRDID].[].[20000095]_x000D_
[KEY_FIGURES].[].[ZFORECASTOPENOUTPUT]_x000D_
[LOCID].[].[0001004409]_x000D_
[PRDID].[].[20000095]_x000D_
[KEY_FIGURES].[].[ZACTUALSALES]_x000D_
[LOCID].[].[0001004409]_x000D_
[PRDID].[].[20000095]_x000D_
[KEY_FIGURES].[].[ZCONSENSUSDEMAND]_x000D_
[LOCID].[].[0001004409]_x000D_
[PRDID].[].[20000095]_x000D_
[KEY_FIGURES].[].[INDEPENDENTDEMAND]_x000D_
[LOCID].[].[0001004409]_x000D_
[PRDID].[].[20000097]</t>
  </si>
  <si>
    <t>[KEY_FIGURES].[].[ZCONSENSUSDEMANDQTY]_x000D_
[LOCID].[].[0001004409]_x000D_
[PRDID].[].[20000097]_x000D_
[KEY_FIGURES].[].[ZINPUTSOFC]_x000D_
[LOCID].[].[0001004409]_x000D_
[PRDID].[].[20000097]_x000D_
[KEY_FIGURES].[].[ZFORECASTOPENOUTPUT]_x000D_
[LOCID].[].[0001004409]_x000D_
[PRDID].[].[20000097]_x000D_
[KEY_FIGURES].[].[ZACTUALSALES]_x000D_
[LOCID].[].[0001004409]_x000D_
[PRDID].[].[20000097]_x000D_
[KEY_FIGURES].[].[ZCONSENSUSDEMAND]_x000D_
[LOCID].[].[0001004409]_x000D_
[PRDID].[].[20000097]_x000D_
[KEY_FIGURES].[].[INDEPENDENTDEMAND]_x000D_
[LOCID].[].[0001004409]_x000D_
[PRDID].[].[20000237]_x000D_
[KEY_FIGURES].[].[ZCONSENSUSDEMANDQTY]_x000D_
[LOCID].[].[0001004409]_x000D_
[PRDID].[].[20000237]_x000D_
[KEY_FIGURES].[].[ZINPUTSOFC]_x000D_
[LOCID].[].[0001004409]_x000D_
[PRDID].[].[20000237]_x000D_
[KEY_FIGURES].[].[ZFORECASTOPENOUTPUT]_x000D_
[LOCID].[].[0001004409]_x000D_
[PRDID].[].[20000237]_x000D_
[KEY_FIGURES].[].[ZACTUALSALES]_x000D_
[LOCID].[].[0001004409]_x000D_
[PRDID].[].[20000237]_x000D_
[KEY_FIGURES].[].[ZCONSENSUSDEMAND]_x000D_
[LOCID].[].[0001004409]_x000D_
[PRDID].[].[20000237]_x000D_
[KEY_FIGURES].[].[INDEPENDENTDEMAND]_x000D_
[LOCID].[].[0001004409]_x000D_
[PRDID].[].[20000238]_x000D_
[KEY_FIGURES].[].[ZCONSENSUSDEMANDQTY]_x000D_
[LOCID].[].[0001004409]_x000D_
[PRDID].[].[20000238]_x000D_
[KEY_FIGURES].[].[ZINPUTSOFC]_x000D_
[LOCID].[].[0001004409]_x000D_
[PRDID].[].[20000238]_x000D_
[KEY_FIGURES].[].[ZFORECASTOPENOUTPUT]_x000D_
[LOCID].[].[0001004409]_x000D_
[PRDID].[].[20000238]_x000D_
[KEY_FIGURES].[].[ZACTUALSALES]_x000D_
[LOCID].[].[0001004409]_x000D_
[PRDID].[].[20000238]_x000D_
[KEY_FIGURES].[].[ZCONSENSUSDEMAND]_x000D_
[LOCID].[].[0001004409]_x000D_
[PRDID].[].[20000238]_x000D_
[KEY_FIGURES].[].[INDEPENDENTDEMAND]_x000D_
[LOCID].[].[0001004409]_x000D_
[PRDID].[].[20000248]_x000D_
[KEY_FIGURES].[].[ZCONSENSUSDEMANDQTY]_x000D_
[LOCID].[].[0001004409]_x000D_
[PRDID].[].[20000248]_x000D_
[KEY_FIGURES].[].[ZINPUTSOFC]_x000D_
[LOCID].[].[0001004409]_x000D_
[PRDID].[].[20000248]_x000D_
[KEY_FIGURES].[].[ZFORECASTOPENOUTPUT]_x000D_
[LOCID].[].[0001004409]_x000D_
[PRDID].[].[20000248]_x000D_
[KEY_FIGURES].[].[ZACTUALSALES]_x000D_
[LOCID].[].[0001004409]_x000D_
[PRDID].[].[20000248]_x000D_
[KEY_FIGURES].[].[ZCONSENSUSDEMAND]_x000D_
[LOCID].[].[0001004409]_x000D_
[PRDID].[].[20000248]_x000D_
[KEY_FIGURES].[].[INDEPENDENTDEMAND]_x000D_
[LOCID].[].[0001004409]_x000D_
[PRDID].[].[20000260]_x000D_
[KEY_FIGURES].[].[ZCONSENSUSDEMANDQTY]_x000D_
[LOCID].[].[0001004409]_x000D_
[PRDID].[].[20000260]_x000D_
[KEY_FIGURES].[].[ZINPUTSOFC]_x000D_
[LOCID].[].[0001004409]_x000D_
[PRDID].[].[20000260]_x000D_
[KEY_FIGURES].[].[ZFORECASTOPENOUTPUT]_x000D_
[LOCID].[].[0001004409]_x000D_
[PRDID].[].[20000260]_x000D_
[KEY_FIGURES].[].[ZACTUALSALES]_x000D_
[LOCID].[].[0001004409]_x000D_
[PRDID].[].[20000260]_x000D_
[KEY_FIGURES].[].[ZCONSENSUSDEMAND]_x000D_
[LOCID].[].[0001004409]_x000D_
[PRDID].[].[20000260]_x000D_
[KEY_FIGURES].[].[INDEPENDENTDEMAND]_x000D_
[LOCID].[].[0001004409]_x000D_
[PRDID].[].[20000932]_x000D_
[KEY_FIGURES].[].[ZCONSENSUSDEMANDQTY]_x000D_
[LOCID].[].[0001004409]_x000D_
[PRDID].[].[20000932]_x000D_
[KEY_FIGURES].[].[ZINPUTSOFC]_x000D_
[LOCID].[].[0001004409]_x000D_
[PRDID].[].[20000932]_x000D_
[KEY_FIGURES].[].[ZFORECASTOPENOUTPUT]_x000D_
[LOCID].[].[0001004409]_x000D_
[PRDID].[].[20000932]_x000D_
[KEY_FIGURES].[].[ZACTUALSALES]_x000D_
[LOCID].[].[0001004409]_x000D_
[PRDID].[].[20000932]_x000D_
[KEY_FIGURES].[].[ZCONSENSUSDEMAND]_x000D_
[LOCID].[].[0001004409]_x000D_
[PRDID].[].[20000932]_x000D_
[KEY_FIGURES].[].[INDEPENDENTDEMAND]_x000D_
[LOCID].[].[0001004428]_x000D_
[PRDID].[].[20000190]_x000D_
[KEY_FIGURES].[].[ZCONSENSUSDEMANDQTY]_x000D_
[LOCID].[].[0001004428]_x000D_
[PRDID].[].[20000190]_x000D_
[KEY_FIGURES].[].[ZINPUTSOFC]_x000D_
[LOCID].[].[0001004428]_x000D_
[PRDID].[].[20000190]_x000D_
[KEY_FIGURES].[].[ZFORECASTOPENOUTPUT]_x000D_
[LOCID].[].[0001004428]_x000D_
[PRDID].[].[20000190]_x000D_
[KEY_FIGURES].[].[ZACTUALSALES]_x000D_
[LOCID].[].[0001004428]_x000D_
[PRDID].[].[20000190]_x000D_
[KEY_FIGURES].[].[ZCONSENSUSDEMAND]_x000D_
[LOCID].[].[0001004428]_x000D_
[PRDID].[].[20000190]_x000D_
[KEY_FIGURES].[].[INDEPENDENTDEMAND]_x000D_
[LOCID].[].[0001004428]_x000D_
[PRDID].[].[20000210]_x000D_
[KEY_FIGURES].[].[ZCONSENSUSDEMANDQTY]_x000D_
[LOCID].[].[0001004428]_x000D_
[PRDID].[].[20000210]_x000D_
[KEY_FIGURES].[].[ZINPUTSOFC]_x000D_
[LOCID].[].[0001004428]_x000D_
[PRDID].[].[20000210]_x000D_
[KEY_FIGURES].[].[ZFORECASTOPENOUTPUT]_x000D_
[LOCID].[].[0001004428]_x000D_
[PRDID].[].[20000210]_x000D_
[KEY_FIGURES].[].[ZACTUALSALES]_x000D_
[LOCID].[].[0001004428]_x000D_
[PRDID].[].[20000210]_x000D_
[KEY_FIGURES].[].[ZCONSENSUSDEMAND]_x000D_
[LOCID].[].[0001004428]_x000D_
[PRDID].[].[20000210]_x000D_
[KEY_FIGURES].[].[INDEPENDENTDEMAND]_x000D_
[LOCID].[].[0001004443]_x000D_
[PRDID].[].[20000099]_x000D_
[KEY_FIGURES].[].[ZCONSENSUSDEMANDQTY]_x000D_
[LOCID].[].[0001004443]_x000D_
[PRDID].[].[20000099]_x000D_
[KEY_FIGURES].[].[ZINPUTSOFC]_x000D_
[LOCID].[].[0001004443]_x000D_
[PRDID].[].[20000099]_x000D_
[KEY_FIGURES].[].[ZFORECASTOPENOUTPUT]_x000D_
[LOCID].[].[0001004443]_x000D_
[PRDID].[].[20000099]_x000D_
[KEY_FIGURES].[].[ZACTUALSALES]_x000D_
[LOCID].[].[0001004443]_x000D_
[PRDID].[].[20000099]_x000D_
[KEY_FIGURES].[].[ZCONSENSUSDEMAND]_x000D_
[LOCID].[].[0001004443]_x000D_
[PRDID].[].[20000099]_x000D_
[KEY_FIGURES].[].[INDEPENDENTDEMAND]_x000D_
[LOCID].[].[0001004443]_x000D_
[PRDID].[].[20000100]_x000D_
[KEY_FIGURES].[].[ZCONSENSUSDEMANDQTY]_x000D_
[LOCID].[].[0001004443]_x000D_
[PRDID].[].[20000100]_x000D_
[KEY_FIGURES].[].[ZINPUTSOFC]_x000D_
[LOCID].[].[0001004443]_x000D_
[PRDID].[].[20000100]_x000D_
[KEY_FIGURES].[].[ZFORECASTOPENOUTPUT]_x000D_
[LOCID].[].[0001004443]_x000D_
[PRDID].[].[20000100]_x000D_
[KEY_FIGURES].[].[ZACTUALSALES]_x000D_
[LOCID].[].[0001004443]_x000D_
[PRDID].[].[20000100]_x000D_
[KEY_FIGURES].[].[ZCONSENSUSDEMAND]_x000D_
[LOCID].[].[0001004443]_x000D_
[PRDID].[].[20000100]_x000D_
[KEY_FIGURES].[].[INDEPENDENTDEMAND]_x000D_
[LOCID].[].[0001004443]_x000D_
[PRDID].[].[20000101]_x000D_
[KEY_FIGURES].[].[ZCONSENSUSDEMANDQTY]_x000D_
[LOCID].[].[0001004443]_x000D_
[PRDID].[].[20000101]_x000D_
[KEY_FIGURES].[].[ZINPUTSOFC]_x000D_
[LOCID].[].[0001004443]_x000D_
[PRDID].[].[20000101]_x000D_
[KEY_FIGURES].[].[ZFORECASTOPENOUTPUT]_x000D_
[LOCID].[].[0001004443]_x000D_
[PRDID].[].[20000101]_x000D_
[KEY_FIGURES].[].[ZACTUALSALES]_x000D_
[LOCID].[].[0001004443]_x000D_
[PRDID].[].[20000101]_x000D_
[KEY_FIGURES].[].[ZCONSENSUSDEMAND]_x000D_
[LOCID].[].[0001004443]_x000D_
[PRDID].[].[20000101]_x000D_
[KEY_FIGURES].[].[INDEPENDENTDEMAND]_x000D_
[LOCID].[].[0001004443]_x000D_
[PRDID].[].[20000102]_x000D_
[KEY_FIGURES].[].[ZCONSENSUSDEMANDQTY]_x000D_
[LOCID].[].[0001004443]</t>
  </si>
  <si>
    <t>[PRDID].[].[20000102]_x000D_
[KEY_FIGURES].[].[ZINPUTSOFC]_x000D_
[LOCID].[].[0001004443]_x000D_
[PRDID].[].[20000102]_x000D_
[KEY_FIGURES].[].[ZFORECASTOPENOUTPUT]_x000D_
[LOCID].[].[0001004443]_x000D_
[PRDID].[].[20000102]_x000D_
[KEY_FIGURES].[].[ZACTUALSALES]_x000D_
[LOCID].[].[0001004443]_x000D_
[PRDID].[].[20000102]_x000D_
[KEY_FIGURES].[].[ZCONSENSUSDEMAND]_x000D_
[LOCID].[].[0001004443]_x000D_
[PRDID].[].[20000102]_x000D_
[KEY_FIGURES].[].[INDEPENDENTDEMAND]_x000D_
[LOCID].[].[0001004443]_x000D_
[PRDID].[].[20000103]_x000D_
[KEY_FIGURES].[].[ZCONSENSUSDEMANDQTY]_x000D_
[LOCID].[].[0001004443]_x000D_
[PRDID].[].[20000103]_x000D_
[KEY_FIGURES].[].[ZINPUTSOFC]_x000D_
[LOCID].[].[0001004443]_x000D_
[PRDID].[].[20000103]_x000D_
[KEY_FIGURES].[].[ZFORECASTOPENOUTPUT]_x000D_
[LOCID].[].[0001004443]_x000D_
[PRDID].[].[20000103]_x000D_
[KEY_FIGURES].[].[ZACTUALSALES]_x000D_
[LOCID].[].[0001004443]_x000D_
[PRDID].[].[20000103]_x000D_
[KEY_FIGURES].[].[ZCONSENSUSDEMAND]_x000D_
[LOCID].[].[0001004443]_x000D_
[PRDID].[].[20000103]_x000D_
[KEY_FIGURES].[].[INDEPENDENTDEMAND]_x000D_
[LOCID].[].[0001004443]_x000D_
[PRDID].[].[20000104]_x000D_
[KEY_FIGURES].[].[ZCONSENSUSDEMANDQTY]_x000D_
[LOCID].[].[0001004443]_x000D_
[PRDID].[].[20000104]_x000D_
[KEY_FIGURES].[].[ZINPUTSOFC]_x000D_
[LOCID].[].[0001004443]_x000D_
[PRDID].[].[20000104]_x000D_
[KEY_FIGURES].[].[ZFORECASTOPENOUTPUT]_x000D_
[LOCID].[].[0001004443]_x000D_
[PRDID].[].[20000104]_x000D_
[KEY_FIGURES].[].[ZACTUALSALES]_x000D_
[LOCID].[].[0001004443]_x000D_
[PRDID].[].[20000104]_x000D_
[KEY_FIGURES].[].[ZCONSENSUSDEMAND]_x000D_
[LOCID].[].[0001004443]_x000D_
[PRDID].[].[20000104]_x000D_
[KEY_FIGURES].[].[INDEPENDENTDEMAND]_x000D_
[LOCID].[].[0001004443]_x000D_
[PRDID].[].[20000105]_x000D_
[KEY_FIGURES].[].[ZCONSENSUSDEMANDQTY]_x000D_
[LOCID].[].[0001004443]_x000D_
[PRDID].[].[20000105]_x000D_
[KEY_FIGURES].[].[ZINPUTSOFC]_x000D_
[LOCID].[].[0001004443]_x000D_
[PRDID].[].[20000105]_x000D_
[KEY_FIGURES].[].[ZFORECASTOPENOUTPUT]_x000D_
[LOCID].[].[0001004443]_x000D_
[PRDID].[].[20000105]_x000D_
[KEY_FIGURES].[].[ZACTUALSALES]_x000D_
[LOCID].[].[0001004443]_x000D_
[PRDID].[].[20000105]_x000D_
[KEY_FIGURES].[].[ZCONSENSUSDEMAND]_x000D_
[LOCID].[].[0001004443]_x000D_
[PRDID].[].[20000105]_x000D_
[KEY_FIGURES].[].[INDEPENDENTDEMAND]_x000D_
[LOCID].[].[0001004443]_x000D_
[PRDID].[].[20000106]_x000D_
[KEY_FIGURES].[].[ZCONSENSUSDEMANDQTY]_x000D_
[LOCID].[].[0001004443]_x000D_
[PRDID].[].[20000106]_x000D_
[KEY_FIGURES].[].[ZINPUTSOFC]_x000D_
[LOCID].[].[0001004443]_x000D_
[PRDID].[].[20000106]_x000D_
[KEY_FIGURES].[].[ZFORECASTOPENOUTPUT]_x000D_
[LOCID].[].[0001004443]_x000D_
[PRDID].[].[20000106]_x000D_
[KEY_FIGURES].[].[ZACTUALSALES]_x000D_
[LOCID].[].[0001004443]_x000D_
[PRDID].[].[20000106]_x000D_
[KEY_FIGURES].[].[ZCONSENSUSDEMAND]_x000D_
[LOCID].[].[0001004443]_x000D_
[PRDID].[].[20000106]_x000D_
[KEY_FIGURES].[].[INDEPENDENTDEMAND]_x000D_
[LOCID].[].[0001004443]_x000D_
[PRDID].[].[20000107]_x000D_
[KEY_FIGURES].[].[ZCONSENSUSDEMANDQTY]_x000D_
[LOCID].[].[0001004443]_x000D_
[PRDID].[].[20000107]_x000D_
[KEY_FIGURES].[].[ZINPUTSOFC]_x000D_
[LOCID].[].[0001004443]_x000D_
[PRDID].[].[20000107]_x000D_
[KEY_FIGURES].[].[ZFORECASTOPENOUTPUT]_x000D_
[LOCID].[].[0001004443]_x000D_
[PRDID].[].[20000107]_x000D_
[KEY_FIGURES].[].[ZACTUALSALES]_x000D_
[LOCID].[].[0001004443]_x000D_
[PRDID].[].[20000107]_x000D_
[KEY_FIGURES].[].[ZCONSENSUSDEMAND]_x000D_
[LOCID].[].[0001004443]_x000D_
[PRDID].[].[20000107]_x000D_
[KEY_FIGURES].[].[INDEPENDENTDEMAND]_x000D_
[LOCID].[].[0001004443]_x000D_
[PRDID].[].[20000108]_x000D_
[KEY_FIGURES].[].[ZCONSENSUSDEMANDQTY]_x000D_
[LOCID].[].[0001004443]_x000D_
[PRDID].[].[20000108]_x000D_
[KEY_FIGURES].[].[ZINPUTSOFC]_x000D_
[LOCID].[].[0001004443]_x000D_
[PRDID].[].[20000108]_x000D_
[KEY_FIGURES].[].[ZFORECASTOPENOUTPUT]_x000D_
[LOCID].[].[0001004443]_x000D_
[PRDID].[].[20000108]_x000D_
[KEY_FIGURES].[].[ZACTUALSALES]_x000D_
[LOCID].[].[0001004443]_x000D_
[PRDID].[].[20000108]_x000D_
[KEY_FIGURES].[].[ZCONSENSUSDEMAND]_x000D_
[LOCID].[].[0001004443]_x000D_
[PRDID].[].[20000108]_x000D_
[KEY_FIGURES].[].[INDEPENDENTDEMAND]_x000D_
[LOCID].[].[0001004443]_x000D_
[PRDID].[].[20000109]_x000D_
[KEY_FIGURES].[].[ZCONSENSUSDEMANDQTY]_x000D_
[LOCID].[].[0001004443]_x000D_
[PRDID].[].[20000109]_x000D_
[KEY_FIGURES].[].[ZINPUTSOFC]_x000D_
[LOCID].[].[0001004443]_x000D_
[PRDID].[].[20000109]_x000D_
[KEY_FIGURES].[].[ZFORECASTOPENOUTPUT]_x000D_
[LOCID].[].[0001004443]_x000D_
[PRDID].[].[20000109]_x000D_
[KEY_FIGURES].[].[ZACTUALSALES]_x000D_
[LOCID].[].[0001004443]_x000D_
[PRDID].[].[20000109]_x000D_
[KEY_FIGURES].[].[ZCONSENSUSDEMAND]_x000D_
[LOCID].[].[0001004443]_x000D_
[PRDID].[].[20000109]_x000D_
[KEY_FIGURES].[].[INDEPENDENTDEMAND]_x000D_
[LOCID].[].[0001004443]_x000D_
[PRDID].[].[20000110]_x000D_
[KEY_FIGURES].[].[ZCONSENSUSDEMANDQTY]_x000D_
[LOCID].[].[0001004443]_x000D_
[PRDID].[].[20000110]_x000D_
[KEY_FIGURES].[].[ZINPUTSOFC]_x000D_
[LOCID].[].[0001004443]_x000D_
[PRDID].[].[20000110]_x000D_
[KEY_FIGURES].[].[ZFORECASTOPENOUTPUT]_x000D_
[LOCID].[].[0001004443]_x000D_
[PRDID].[].[20000110]_x000D_
[KEY_FIGURES].[].[ZACTUALSALES]_x000D_
[LOCID].[].[0001004443]_x000D_
[PRDID].[].[20000110]_x000D_
[KEY_FIGURES].[].[ZCONSENSUSDEMAND]_x000D_
[LOCID].[].[0001004443]_x000D_
[PRDID].[].[20000110]_x000D_
[KEY_FIGURES].[].[INDEPENDENTDEMAND]_x000D_
[LOCID].[].[0001004443]_x000D_
[PRDID].[].[20000111]_x000D_
[KEY_FIGURES].[].[ZCONSENSUSDEMANDQTY]_x000D_
[LOCID].[].[0001004443]_x000D_
[PRDID].[].[20000111]_x000D_
[KEY_FIGURES].[].[ZINPUTSOFC]_x000D_
[LOCID].[].[0001004443]_x000D_
[PRDID].[].[20000111]_x000D_
[KEY_FIGURES].[].[ZFORECASTOPENOUTPUT]_x000D_
[LOCID].[].[0001004443]_x000D_
[PRDID].[].[20000111]_x000D_
[KEY_FIGURES].[].[ZACTUALSALES]_x000D_
[LOCID].[].[0001004443]_x000D_
[PRDID].[].[20000111]_x000D_
[KEY_FIGURES].[].[ZCONSENSUSDEMAND]_x000D_
[LOCID].[].[0001004443]_x000D_
[PRDID].[].[20000111]_x000D_
[KEY_FIGURES].[].[INDEPENDENTDEMAND]_x000D_
[LOCID].[].[0001004443]_x000D_
[PRDID].[].[20000112]_x000D_
[KEY_FIGURES].[].[ZCONSENSUSDEMANDQTY]_x000D_
[LOCID].[].[0001004443]_x000D_
[PRDID].[].[20000112]_x000D_
[KEY_FIGURES].[].[ZINPUTSOFC]_x000D_
[LOCID].[].[0001004443]_x000D_
[PRDID].[].[20000112]_x000D_
[KEY_FIGURES].[].[ZFORECASTOPENOUTPUT]_x000D_
[LOCID].[].[0001004443]_x000D_
[PRDID].[].[20000112]_x000D_
[KEY_FIGURES].[].[ZACTUALSALES]_x000D_
[LOCID].[].[0001004443]_x000D_
[PRDID].[].[20000112]_x000D_
[KEY_FIGURES].[].[ZCONSENSUSDEMAND]_x000D_
[LOCID].[].[0001004443]_x000D_
[PRDID].[].[20000112]_x000D_
[KEY_FIGURES].[].[INDEPENDENTDEMAND]_x000D_
[LOCID].[].[0001004443]_x000D_
[PRDID].[].[20000113]_x000D_
[KEY_FIGURES].[].[ZCONSENSUSDEMANDQTY]_x000D_
[LOCID].[].[0001004443]_x000D_
[PRDID].[].[20000113]_x000D_
[KEY_FIGURES].[].[ZINPUTSOFC]</t>
  </si>
  <si>
    <t>[LOCID].[].[0001004443]_x000D_
[PRDID].[].[20000113]_x000D_
[KEY_FIGURES].[].[ZFORECASTOPENOUTPUT]_x000D_
[LOCID].[].[0001004443]_x000D_
[PRDID].[].[20000113]_x000D_
[KEY_FIGURES].[].[ZACTUALSALES]_x000D_
[LOCID].[].[0001004443]_x000D_
[PRDID].[].[20000113]_x000D_
[KEY_FIGURES].[].[ZCONSENSUSDEMAND]_x000D_
[LOCID].[].[0001004443]_x000D_
[PRDID].[].[20000113]_x000D_
[KEY_FIGURES].[].[INDEPENDENTDEMAND]_x000D_
[LOCID].[].[0001004443]_x000D_
[PRDID].[].[20000114]_x000D_
[KEY_FIGURES].[].[ZCONSENSUSDEMANDQTY]_x000D_
[LOCID].[].[0001004443]_x000D_
[PRDID].[].[20000114]_x000D_
[KEY_FIGURES].[].[ZINPUTSOFC]_x000D_
[LOCID].[].[0001004443]_x000D_
[PRDID].[].[20000114]_x000D_
[KEY_FIGURES].[].[ZFORECASTOPENOUTPUT]_x000D_
[LOCID].[].[0001004443]_x000D_
[PRDID].[].[20000114]_x000D_
[KEY_FIGURES].[].[ZACTUALSALES]_x000D_
[LOCID].[].[0001004443]_x000D_
[PRDID].[].[20000114]_x000D_
[KEY_FIGURES].[].[ZCONSENSUSDEMAND]_x000D_
[LOCID].[].[0001004443]_x000D_
[PRDID].[].[20000114]_x000D_
[KEY_FIGURES].[].[INDEPENDENTDEMAND]_x000D_
[LOCID].[].[0001004443]_x000D_
[PRDID].[].[20000182]_x000D_
[KEY_FIGURES].[].[ZCONSENSUSDEMANDQTY]_x000D_
[LOCID].[].[0001004443]_x000D_
[PRDID].[].[20000182]_x000D_
[KEY_FIGURES].[].[ZINPUTSOFC]_x000D_
[LOCID].[].[0001004443]_x000D_
[PRDID].[].[20000182]_x000D_
[KEY_FIGURES].[].[ZFORECASTOPENOUTPUT]_x000D_
[LOCID].[].[0001004443]_x000D_
[PRDID].[].[20000182]_x000D_
[KEY_FIGURES].[].[ZACTUALSALES]_x000D_
[LOCID].[].[0001004443]_x000D_
[PRDID].[].[20000182]_x000D_
[KEY_FIGURES].[].[ZCONSENSUSDEMAND]_x000D_
[LOCID].[].[0001004443]_x000D_
[PRDID].[].[20000182]_x000D_
[KEY_FIGURES].[].[INDEPENDENTDEMAND]_x000D_
[LOCID].[].[0001004443]_x000D_
[PRDID].[].[20000183]_x000D_
[KEY_FIGURES].[].[ZCONSENSUSDEMANDQTY]_x000D_
[LOCID].[].[0001004443]_x000D_
[PRDID].[].[20000183]_x000D_
[KEY_FIGURES].[].[ZINPUTSOFC]_x000D_
[LOCID].[].[0001004443]_x000D_
[PRDID].[].[20000183]_x000D_
[KEY_FIGURES].[].[ZFORECASTOPENOUTPUT]_x000D_
[LOCID].[].[0001004443]_x000D_
[PRDID].[].[20000183]_x000D_
[KEY_FIGURES].[].[ZACTUALSALES]_x000D_
[LOCID].[].[0001004443]_x000D_
[PRDID].[].[20000183]_x000D_
[KEY_FIGURES].[].[ZCONSENSUSDEMAND]_x000D_
[LOCID].[].[0001004443]_x000D_
[PRDID].[].[20000183]_x000D_
[KEY_FIGURES].[].[INDEPENDENTDEMAND]_x000D_
[LOCID].[].[0001004443]_x000D_
[PRDID].[].[20000608]_x000D_
[KEY_FIGURES].[].[ZCONSENSUSDEMANDQTY]_x000D_
[LOCID].[].[0001004443]_x000D_
[PRDID].[].[20000608]_x000D_
[KEY_FIGURES].[].[ZINPUTSOFC]_x000D_
[LOCID].[].[0001004443]_x000D_
[PRDID].[].[20000608]_x000D_
[KEY_FIGURES].[].[ZFORECASTOPENOUTPUT]_x000D_
[LOCID].[].[0001004443]_x000D_
[PRDID].[].[20000608]_x000D_
[KEY_FIGURES].[].[ZACTUALSALES]_x000D_
[LOCID].[].[0001004443]_x000D_
[PRDID].[].[20000608]_x000D_
[KEY_FIGURES].[].[ZCONSENSUSDEMAND]_x000D_
[LOCID].[].[0001004443]_x000D_
[PRDID].[].[20000608]_x000D_
[KEY_FIGURES].[].[INDEPENDENTDEMAND]_x000D_
[LOCID].[].[0001004443]_x000D_
[PRDID].[].[20000616]_x000D_
[KEY_FIGURES].[].[ZCONSENSUSDEMANDQTY]_x000D_
[LOCID].[].[0001004443]_x000D_
[PRDID].[].[20000616]_x000D_
[KEY_FIGURES].[].[ZINPUTSOFC]_x000D_
[LOCID].[].[0001004443]_x000D_
[PRDID].[].[20000616]_x000D_
[KEY_FIGURES].[].[ZFORECASTOPENOUTPUT]_x000D_
[LOCID].[].[0001004443]_x000D_
[PRDID].[].[20000616]_x000D_
[KEY_FIGURES].[].[ZACTUALSALES]_x000D_
[LOCID].[].[0001004443]_x000D_
[PRDID].[].[20000616]_x000D_
[KEY_FIGURES].[].[ZCONSENSUSDEMAND]_x000D_
[LOCID].[].[0001004443]_x000D_
[PRDID].[].[20000616]_x000D_
[KEY_FIGURES].[].[INDEPENDENTDEMAND]_x000D_
[LOCID].[].[0001004443]_x000D_
[PRDID].[].[20000658]_x000D_
[KEY_FIGURES].[].[ZCONSENSUSDEMANDQTY]_x000D_
[LOCID].[].[0001004443]_x000D_
[PRDID].[].[20000658]_x000D_
[KEY_FIGURES].[].[ZINPUTSOFC]_x000D_
[LOCID].[].[0001004443]_x000D_
[PRDID].[].[20000658]_x000D_
[KEY_FIGURES].[].[ZFORECASTOPENOUTPUT]_x000D_
[LOCID].[].[0001004443]_x000D_
[PRDID].[].[20000658]_x000D_
[KEY_FIGURES].[].[ZACTUALSALES]_x000D_
[LOCID].[].[0001004443]_x000D_
[PRDID].[].[20000658]_x000D_
[KEY_FIGURES].[].[ZCONSENSUSDEMAND]_x000D_
[LOCID].[].[0001004443]_x000D_
[PRDID].[].[20000658]_x000D_
[KEY_FIGURES].[].[INDEPENDENTDEMAND]_x000D_
[LOCID].[].[0001004443]_x000D_
[PRDID].[].[20000659]_x000D_
[KEY_FIGURES].[].[ZCONSENSUSDEMANDQTY]_x000D_
[LOCID].[].[0001004443]_x000D_
[PRDID].[].[20000659]_x000D_
[KEY_FIGURES].[].[ZINPUTSOFC]_x000D_
[LOCID].[].[0001004443]_x000D_
[PRDID].[].[20000659]_x000D_
[KEY_FIGURES].[].[ZFORECASTOPENOUTPUT]_x000D_
[LOCID].[].[0001004443]_x000D_
[PRDID].[].[20000659]_x000D_
[KEY_FIGURES].[].[ZACTUALSALES]_x000D_
[LOCID].[].[0001004443]_x000D_
[PRDID].[].[20000659]_x000D_
[KEY_FIGURES].[].[ZCONSENSUSDEMAND]_x000D_
[LOCID].[].[0001004443]_x000D_
[PRDID].[].[20000659]_x000D_
[KEY_FIGURES].[].[INDEPENDENTDEMAND]_x000D_
[LOCID].[].[0001004443]_x000D_
[PRDID].[].[20000660]_x000D_
[KEY_FIGURES].[].[ZCONSENSUSDEMANDQTY]_x000D_
[LOCID].[].[0001004443]_x000D_
[PRDID].[].[20000660]_x000D_
[KEY_FIGURES].[].[ZINPUTSOFC]_x000D_
[LOCID].[].[0001004443]_x000D_
[PRDID].[].[20000660]_x000D_
[KEY_FIGURES].[].[ZFORECASTOPENOUTPUT]_x000D_
[LOCID].[].[0001004443]_x000D_
[PRDID].[].[20000660]_x000D_
[KEY_FIGURES].[].[ZACTUALSALES]_x000D_
[LOCID].[].[0001004443]_x000D_
[PRDID].[].[20000660]_x000D_
[KEY_FIGURES].[].[ZCONSENSUSDEMAND]_x000D_
[LOCID].[].[0001004443]_x000D_
[PRDID].[].[20000660]_x000D_
[KEY_FIGURES].[].[INDEPENDENTDEMAND]_x000D_
[LOCID].[].[0001004443]_x000D_
[PRDID].[].[20000694]_x000D_
[KEY_FIGURES].[].[ZCONSENSUSDEMANDQTY]_x000D_
[LOCID].[].[0001004443]_x000D_
[PRDID].[].[20000694]_x000D_
[KEY_FIGURES].[].[ZINPUTSOFC]_x000D_
[LOCID].[].[0001004443]_x000D_
[PRDID].[].[20000694]_x000D_
[KEY_FIGURES].[].[ZFORECASTOPENOUTPUT]_x000D_
[LOCID].[].[0001004443]_x000D_
[PRDID].[].[20000694]_x000D_
[KEY_FIGURES].[].[ZACTUALSALES]_x000D_
[LOCID].[].[0001004443]_x000D_
[PRDID].[].[20000694]_x000D_
[KEY_FIGURES].[].[ZCONSENSUSDEMAND]_x000D_
[LOCID].[].[0001004443]_x000D_
[PRDID].[].[20000694]_x000D_
[KEY_FIGURES].[].[INDEPENDENTDEMAND]_x000D_
[LOCID].[].[0001004443]_x000D_
[PRDID].[].[20000695]_x000D_
[KEY_FIGURES].[].[ZCONSENSUSDEMANDQTY]_x000D_
[LOCID].[].[0001004443]_x000D_
[PRDID].[].[20000695]_x000D_
[KEY_FIGURES].[].[ZINPUTSOFC]_x000D_
[LOCID].[].[0001004443]_x000D_
[PRDID].[].[20000695]_x000D_
[KEY_FIGURES].[].[ZFORECASTOPENOUTPUT]_x000D_
[LOCID].[].[0001004443]_x000D_
[PRDID].[].[20000695]_x000D_
[KEY_FIGURES].[].[ZACTUALSALES]_x000D_
[LOCID].[].[0001004443]_x000D_
[PRDID].[].[20000695]_x000D_
[KEY_FIGURES].[].[ZCONSENSUSDEMAND]_x000D_
[LOCID].[].[0001004443]_x000D_
[PRDID].[].[20000695]_x000D_
[KEY_FIGURES].[].[INDEPENDENTDEMAND]_x000D_
[LOCID].[].[0001004443]_x000D_
[PRDID].[].[20000696]_x000D_
[KEY_FIGURES].[].[ZCONSENSUSDEMANDQTY]_x000D_
[LOCID].[].[0001004443]_x000D_
[PRDID].[].[20000696]_x000D_
[KEY_FIGURES].[].[ZINPUTSOFC]_x000D_
[LOCID].[].[0001004443]_x000D_
[PRDID].[].[20000696]</t>
  </si>
  <si>
    <t>[KEY_FIGURES].[].[ZFORECASTOPENOUTPUT]_x000D_
[LOCID].[].[0001004443]_x000D_
[PRDID].[].[20000696]_x000D_
[KEY_FIGURES].[].[ZACTUALSALES]_x000D_
[LOCID].[].[0001004443]_x000D_
[PRDID].[].[20000696]_x000D_
[KEY_FIGURES].[].[ZCONSENSUSDEMAND]_x000D_
[LOCID].[].[0001004443]_x000D_
[PRDID].[].[20000696]_x000D_
[KEY_FIGURES].[].[INDEPENDENTDEMAND]_x000D_
[LOCID].[].[0001004443]_x000D_
[PRDID].[].[20000698]_x000D_
[KEY_FIGURES].[].[ZCONSENSUSDEMANDQTY]_x000D_
[LOCID].[].[0001004443]_x000D_
[PRDID].[].[20000698]_x000D_
[KEY_FIGURES].[].[ZINPUTSOFC]_x000D_
[LOCID].[].[0001004443]_x000D_
[PRDID].[].[20000698]_x000D_
[KEY_FIGURES].[].[ZFORECASTOPENOUTPUT]_x000D_
[LOCID].[].[0001004443]_x000D_
[PRDID].[].[20000698]_x000D_
[KEY_FIGURES].[].[ZACTUALSALES]_x000D_
[LOCID].[].[0001004443]_x000D_
[PRDID].[].[20000698]_x000D_
[KEY_FIGURES].[].[ZCONSENSUSDEMAND]_x000D_
[LOCID].[].[0001004443]_x000D_
[PRDID].[].[20000698]_x000D_
[KEY_FIGURES].[].[INDEPENDENTDEMAND]_x000D_
[LOCID].[].[0001004443]_x000D_
[PRDID].[].[20000699]_x000D_
[KEY_FIGURES].[].[ZCONSENSUSDEMANDQTY]_x000D_
[LOCID].[].[0001004443]_x000D_
[PRDID].[].[20000699]_x000D_
[KEY_FIGURES].[].[ZINPUTSOFC]_x000D_
[LOCID].[].[0001004443]_x000D_
[PRDID].[].[20000699]_x000D_
[KEY_FIGURES].[].[ZFORECASTOPENOUTPUT]_x000D_
[LOCID].[].[0001004443]_x000D_
[PRDID].[].[20000699]_x000D_
[KEY_FIGURES].[].[ZACTUALSALES]_x000D_
[LOCID].[].[0001004443]_x000D_
[PRDID].[].[20000699]_x000D_
[KEY_FIGURES].[].[ZCONSENSUSDEMAND]_x000D_
[LOCID].[].[0001004443]_x000D_
[PRDID].[].[20000699]_x000D_
[KEY_FIGURES].[].[INDEPENDENTDEMAND]_x000D_
[LOCID].[].[0001004443]_x000D_
[PRDID].[].[20000863]_x000D_
[KEY_FIGURES].[].[ZCONSENSUSDEMANDQTY]_x000D_
[LOCID].[].[0001004443]_x000D_
[PRDID].[].[20000863]_x000D_
[KEY_FIGURES].[].[ZINPUTSOFC]_x000D_
[LOCID].[].[0001004443]_x000D_
[PRDID].[].[20000863]_x000D_
[KEY_FIGURES].[].[ZFORECASTOPENOUTPUT]_x000D_
[LOCID].[].[0001004443]_x000D_
[PRDID].[].[20000863]_x000D_
[KEY_FIGURES].[].[ZACTUALSALES]_x000D_
[LOCID].[].[0001004443]_x000D_
[PRDID].[].[20000863]_x000D_
[KEY_FIGURES].[].[ZCONSENSUSDEMAND]_x000D_
[LOCID].[].[0001004443]_x000D_
[PRDID].[].[20000863]_x000D_
[KEY_FIGURES].[].[INDEPENDENTDEMAND]_x000D_
[LOCID].[].[0001004443]_x000D_
[PRDID].[].[20000865]_x000D_
[KEY_FIGURES].[].[ZCONSENSUSDEMANDQTY]_x000D_
[LOCID].[].[0001004443]_x000D_
[PRDID].[].[20000865]_x000D_
[KEY_FIGURES].[].[ZINPUTSOFC]_x000D_
[LOCID].[].[0001004443]_x000D_
[PRDID].[].[20000865]_x000D_
[KEY_FIGURES].[].[ZFORECASTOPENOUTPUT]_x000D_
[LOCID].[].[0001004443]_x000D_
[PRDID].[].[20000865]_x000D_
[KEY_FIGURES].[].[ZACTUALSALES]_x000D_
[LOCID].[].[0001004443]_x000D_
[PRDID].[].[20000865]_x000D_
[KEY_FIGURES].[].[ZCONSENSUSDEMAND]_x000D_
[LOCID].[].[0001004443]_x000D_
[PRDID].[].[20000865]_x000D_
[KEY_FIGURES].[].[INDEPENDENTDEMAND]_x000D_
[LOCID].[].[0001004443]_x000D_
[PRDID].[].[20000866]_x000D_
[KEY_FIGURES].[].[ZCONSENSUSDEMANDQTY]_x000D_
[LOCID].[].[0001004443]_x000D_
[PRDID].[].[20000866]_x000D_
[KEY_FIGURES].[].[ZINPUTSOFC]_x000D_
[LOCID].[].[0001004443]_x000D_
[PRDID].[].[20000866]_x000D_
[KEY_FIGURES].[].[ZFORECASTOPENOUTPUT]_x000D_
[LOCID].[].[0001004443]_x000D_
[PRDID].[].[20000866]_x000D_
[KEY_FIGURES].[].[ZACTUALSALES]_x000D_
[LOCID].[].[0001004443]_x000D_
[PRDID].[].[20000866]_x000D_
[KEY_FIGURES].[].[ZCONSENSUSDEMAND]_x000D_
[LOCID].[].[0001004443]_x000D_
[PRDID].[].[20000866]_x000D_
[KEY_FIGURES].[].[INDEPENDENTDEMAND]_x000D_
[LOCID].[].[0001004443]_x000D_
[PRDID].[].[20000874]_x000D_
[KEY_FIGURES].[].[ZCONSENSUSDEMANDQTY]_x000D_
[LOCID].[].[0001004443]_x000D_
[PRDID].[].[20000874]_x000D_
[KEY_FIGURES].[].[ZINPUTSOFC]_x000D_
[LOCID].[].[0001004443]_x000D_
[PRDID].[].[20000874]_x000D_
[KEY_FIGURES].[].[ZFORECASTOPENOUTPUT]_x000D_
[LOCID].[].[0001004443]_x000D_
[PRDID].[].[20000874]_x000D_
[KEY_FIGURES].[].[ZACTUALSALES]_x000D_
[LOCID].[].[0001004443]_x000D_
[PRDID].[].[20000874]_x000D_
[KEY_FIGURES].[].[ZCONSENSUSDEMAND]_x000D_
[LOCID].[].[0001004443]_x000D_
[PRDID].[].[20000874]_x000D_
[KEY_FIGURES].[].[INDEPENDENTDEMAND]_x000D_
[LOCID].[].[0001004443]_x000D_
[PRDID].[].[20000875]_x000D_
[KEY_FIGURES].[].[ZCONSENSUSDEMANDQTY]_x000D_
[LOCID].[].[0001004443]_x000D_
[PRDID].[].[20000875]_x000D_
[KEY_FIGURES].[].[ZINPUTSOFC]_x000D_
[LOCID].[].[0001004443]_x000D_
[PRDID].[].[20000875]_x000D_
[KEY_FIGURES].[].[ZFORECASTOPENOUTPUT]_x000D_
[LOCID].[].[0001004443]_x000D_
[PRDID].[].[20000875]_x000D_
[KEY_FIGURES].[].[ZACTUALSALES]_x000D_
[LOCID].[].[0001004443]_x000D_
[PRDID].[].[20000875]_x000D_
[KEY_FIGURES].[].[ZCONSENSUSDEMAND]_x000D_
[LOCID].[].[0001004443]_x000D_
[PRDID].[].[20000875]_x000D_
[KEY_FIGURES].[].[INDEPENDENTDEMAND]_x000D_
[LOCID].[].[0001004443]_x000D_
[PRDID].[].[20000890]_x000D_
[KEY_FIGURES].[].[ZCONSENSUSDEMANDQTY]_x000D_
[LOCID].[].[0001004443]_x000D_
[PRDID].[].[20000890]_x000D_
[KEY_FIGURES].[].[ZINPUTSOFC]_x000D_
[LOCID].[].[0001004443]_x000D_
[PRDID].[].[20000890]_x000D_
[KEY_FIGURES].[].[ZFORECASTOPENOUTPUT]_x000D_
[LOCID].[].[0001004443]_x000D_
[PRDID].[].[20000890]_x000D_
[KEY_FIGURES].[].[ZACTUALSALES]_x000D_
[LOCID].[].[0001004443]_x000D_
[PRDID].[].[20000890]_x000D_
[KEY_FIGURES].[].[ZCONSENSUSDEMAND]_x000D_
[LOCID].[].[0001004443]_x000D_
[PRDID].[].[20000890]_x000D_
[KEY_FIGURES].[].[INDEPENDENTDEMAND]_x000D_
[LOCID].[].[0001004449]_x000D_
[PRDID].[].[20000093]_x000D_
[KEY_FIGURES].[].[ZCONSENSUSDEMANDQTY]_x000D_
[LOCID].[].[0001004449]_x000D_
[PRDID].[].[20000093]_x000D_
[KEY_FIGURES].[].[ZINPUTSOFC]_x000D_
[LOCID].[].[0001004449]_x000D_
[PRDID].[].[20000093]_x000D_
[KEY_FIGURES].[].[ZFORECASTOPENOUTPUT]_x000D_
[LOCID].[].[0001004449]_x000D_
[PRDID].[].[20000093]_x000D_
[KEY_FIGURES].[].[ZACTUALSALES]_x000D_
[LOCID].[].[0001004449]_x000D_
[PRDID].[].[20000093]_x000D_
[KEY_FIGURES].[].[ZCONSENSUSDEMAND]_x000D_
[LOCID].[].[0001004449]_x000D_
[PRDID].[].[20000093]_x000D_
[KEY_FIGURES].[].[INDEPENDENTDEMAND]_x000D_
[LOCID].[].[0001004459]_x000D_
[PRDID].[].[20000092]_x000D_
[KEY_FIGURES].[].[ZCONSENSUSDEMANDQTY]_x000D_
[LOCID].[].[0001004459]_x000D_
[PRDID].[].[20000092]_x000D_
[KEY_FIGURES].[].[ZINPUTSOFC]_x000D_
[LOCID].[].[0001004459]_x000D_
[PRDID].[].[20000092]_x000D_
[KEY_FIGURES].[].[ZFORECASTOPENOUTPUT]_x000D_
[LOCID].[].[0001004459]_x000D_
[PRDID].[].[20000092]_x000D_
[KEY_FIGURES].[].[ZACTUALSALES]_x000D_
[LOCID].[].[0001004459]_x000D_
[PRDID].[].[20000092]_x000D_
[KEY_FIGURES].[].[ZCONSENSUSDEMAND]_x000D_
[LOCID].[].[0001004459]_x000D_
[PRDID].[].[20000092]_x000D_
[KEY_FIGURES].[].[INDEPENDENTDEMAND]_x000D_
[LOCID].[].[0001004459]_x000D_
[PRDID].[].[20000116]_x000D_
[KEY_FIGURES].[].[ZCONSENSUSDEMANDQTY]_x000D_
[LOCID].[].[0001004459]_x000D_
[PRDID].[].[20000116]_x000D_
[KEY_FIGURES].[].[ZINPUTSOFC]_x000D_
[LOCID].[].[0001004459]_x000D_
[PRDID].[].[20000116]_x000D_
[KEY_FIGURES].[].[ZFORECASTOPENOUTPUT]_x000D_
[LOCID].[].[0001004459]</t>
  </si>
  <si>
    <t>[PRDID].[].[20000116]_x000D_
[KEY_FIGURES].[].[ZACTUALSALES]_x000D_
[LOCID].[].[0001004459]_x000D_
[PRDID].[].[20000116]_x000D_
[KEY_FIGURES].[].[ZCONSENSUSDEMAND]_x000D_
[LOCID].[].[0001004459]_x000D_
[PRDID].[].[20000116]_x000D_
[KEY_FIGURES].[].[INDEPENDENTDEMAND]_x000D_
[LOCID].[].[0001004469]_x000D_
[PRDID].[].[20000015]_x000D_
[KEY_FIGURES].[].[ZCONSENSUSDEMANDQTY]_x000D_
[LOCID].[].[0001004469]_x000D_
[PRDID].[].[20000015]_x000D_
[KEY_FIGURES].[].[ZINPUTSOFC]_x000D_
[LOCID].[].[0001004469]_x000D_
[PRDID].[].[20000015]_x000D_
[KEY_FIGURES].[].[ZFORECASTOPENOUTPUT]_x000D_
[LOCID].[].[0001004469]_x000D_
[PRDID].[].[20000015]_x000D_
[KEY_FIGURES].[].[ZACTUALSALES]_x000D_
[LOCID].[].[0001004469]_x000D_
[PRDID].[].[20000015]_x000D_
[KEY_FIGURES].[].[ZCONSENSUSDEMAND]_x000D_
[LOCID].[].[0001004469]_x000D_
[PRDID].[].[20000015]_x000D_
[KEY_FIGURES].[].[INDEPENDENTDEMAND]_x000D_
[LOCID].[].[0001004469]_x000D_
[PRDID].[].[20000016]_x000D_
[KEY_FIGURES].[].[ZCONSENSUSDEMANDQTY]_x000D_
[LOCID].[].[0001004469]_x000D_
[PRDID].[].[20000016]_x000D_
[KEY_FIGURES].[].[ZINPUTSOFC]_x000D_
[LOCID].[].[0001004469]_x000D_
[PRDID].[].[20000016]_x000D_
[KEY_FIGURES].[].[ZFORECASTOPENOUTPUT]_x000D_
[LOCID].[].[0001004469]_x000D_
[PRDID].[].[20000016]_x000D_
[KEY_FIGURES].[].[ZACTUALSALES]_x000D_
[LOCID].[].[0001004469]_x000D_
[PRDID].[].[20000016]_x000D_
[KEY_FIGURES].[].[ZCONSENSUSDEMAND]_x000D_
[LOCID].[].[0001004469]_x000D_
[PRDID].[].[20000016]_x000D_
[KEY_FIGURES].[].[INDEPENDENTDEMAND]_x000D_
[LOCID].[].[0001004469]_x000D_
[PRDID].[].[20000103]_x000D_
[KEY_FIGURES].[].[ZCONSENSUSDEMANDQTY]_x000D_
[LOCID].[].[0001004469]_x000D_
[PRDID].[].[20000103]_x000D_
[KEY_FIGURES].[].[ZINPUTSOFC]_x000D_
[LOCID].[].[0001004469]_x000D_
[PRDID].[].[20000103]_x000D_
[KEY_FIGURES].[].[ZFORECASTOPENOUTPUT]_x000D_
[LOCID].[].[0001004469]_x000D_
[PRDID].[].[20000103]_x000D_
[KEY_FIGURES].[].[ZACTUALSALES]_x000D_
[LOCID].[].[0001004469]_x000D_
[PRDID].[].[20000103]_x000D_
[KEY_FIGURES].[].[ZCONSENSUSDEMAND]_x000D_
[LOCID].[].[0001004469]_x000D_
[PRDID].[].[20000103]_x000D_
[KEY_FIGURES].[].[INDEPENDENTDEMAND]_x000D_
[LOCID].[].[0001004469]_x000D_
[PRDID].[].[20000107]_x000D_
[KEY_FIGURES].[].[ZCONSENSUSDEMANDQTY]_x000D_
[LOCID].[].[0001004469]_x000D_
[PRDID].[].[20000107]_x000D_
[KEY_FIGURES].[].[ZINPUTSOFC]_x000D_
[LOCID].[].[0001004469]_x000D_
[PRDID].[].[20000107]_x000D_
[KEY_FIGURES].[].[ZFORECASTOPENOUTPUT]_x000D_
[LOCID].[].[0001004469]_x000D_
[PRDID].[].[20000107]_x000D_
[KEY_FIGURES].[].[ZACTUALSALES]_x000D_
[LOCID].[].[0001004469]_x000D_
[PRDID].[].[20000107]_x000D_
[KEY_FIGURES].[].[ZCONSENSUSDEMAND]_x000D_
[LOCID].[].[0001004469]_x000D_
[PRDID].[].[20000107]_x000D_
[KEY_FIGURES].[].[INDEPENDENTDEMAND]_x000D_
[LOCID].[].[0001004469]_x000D_
[PRDID].[].[20000112]_x000D_
[KEY_FIGURES].[].[ZCONSENSUSDEMANDQTY]_x000D_
[LOCID].[].[0001004469]_x000D_
[PRDID].[].[20000112]_x000D_
[KEY_FIGURES].[].[ZINPUTSOFC]_x000D_
[LOCID].[].[0001004469]_x000D_
[PRDID].[].[20000112]_x000D_
[KEY_FIGURES].[].[ZFORECASTOPENOUTPUT]_x000D_
[LOCID].[].[0001004469]_x000D_
[PRDID].[].[20000112]_x000D_
[KEY_FIGURES].[].[ZACTUALSALES]_x000D_
[LOCID].[].[0001004469]_x000D_
[PRDID].[].[20000112]_x000D_
[KEY_FIGURES].[].[ZCONSENSUSDEMAND]_x000D_
[LOCID].[].[0001004469]_x000D_
[PRDID].[].[20000112]_x000D_
[KEY_FIGURES].[].[INDEPENDENTDEMAND]_x000D_
[LOCID].[].[0001004469]_x000D_
[PRDID].[].[20000116]_x000D_
[KEY_FIGURES].[].[ZCONSENSUSDEMANDQTY]_x000D_
[LOCID].[].[0001004469]_x000D_
[PRDID].[].[20000116]_x000D_
[KEY_FIGURES].[].[ZINPUTSOFC]_x000D_
[LOCID].[].[0001004469]_x000D_
[PRDID].[].[20000116]_x000D_
[KEY_FIGURES].[].[ZFORECASTOPENOUTPUT]_x000D_
[LOCID].[].[0001004469]_x000D_
[PRDID].[].[20000116]_x000D_
[KEY_FIGURES].[].[ZACTUALSALES]_x000D_
[LOCID].[].[0001004469]_x000D_
[PRDID].[].[20000116]_x000D_
[KEY_FIGURES].[].[ZCONSENSUSDEMAND]_x000D_
[LOCID].[].[0001004469]_x000D_
[PRDID].[].[20000116]_x000D_
[KEY_FIGURES].[].[INDEPENDENTDEMAND]_x000D_
[LOCID].[].[0001004469]_x000D_
[PRDID].[].[20000149]_x000D_
[KEY_FIGURES].[].[ZCONSENSUSDEMANDQTY]_x000D_
[LOCID].[].[0001004469]_x000D_
[PRDID].[].[20000149]_x000D_
[KEY_FIGURES].[].[ZINPUTSOFC]_x000D_
[LOCID].[].[0001004469]_x000D_
[PRDID].[].[20000149]_x000D_
[KEY_FIGURES].[].[ZFORECASTOPENOUTPUT]_x000D_
[LOCID].[].[0001004469]_x000D_
[PRDID].[].[20000149]_x000D_
[KEY_FIGURES].[].[ZACTUALSALES]_x000D_
[LOCID].[].[0001004469]_x000D_
[PRDID].[].[20000149]_x000D_
[KEY_FIGURES].[].[ZCONSENSUSDEMAND]_x000D_
[LOCID].[].[0001004469]_x000D_
[PRDID].[].[20000149]_x000D_
[KEY_FIGURES].[].[INDEPENDENTDEMAND]_x000D_
[LOCID].[].[0001004469]_x000D_
[PRDID].[].[20000156]_x000D_
[KEY_FIGURES].[].[ZCONSENSUSDEMANDQTY]_x000D_
[LOCID].[].[0001004469]_x000D_
[PRDID].[].[20000156]_x000D_
[KEY_FIGURES].[].[ZINPUTSOFC]_x000D_
[LOCID].[].[0001004469]_x000D_
[PRDID].[].[20000156]_x000D_
[KEY_FIGURES].[].[ZFORECASTOPENOUTPUT]_x000D_
[LOCID].[].[0001004469]_x000D_
[PRDID].[].[20000156]_x000D_
[KEY_FIGURES].[].[ZACTUALSALES]_x000D_
[LOCID].[].[0001004469]_x000D_
[PRDID].[].[20000156]_x000D_
[KEY_FIGURES].[].[ZCONSENSUSDEMAND]_x000D_
[LOCID].[].[0001004469]_x000D_
[PRDID].[].[20000156]_x000D_
[KEY_FIGURES].[].[INDEPENDENTDEMAND]_x000D_
[LOCID].[].[0001004469]_x000D_
[PRDID].[].[20000233]_x000D_
[KEY_FIGURES].[].[ZCONSENSUSDEMANDQTY]_x000D_
[LOCID].[].[0001004469]_x000D_
[PRDID].[].[20000233]_x000D_
[KEY_FIGURES].[].[ZINPUTSOFC]_x000D_
[LOCID].[].[0001004469]_x000D_
[PRDID].[].[20000233]_x000D_
[KEY_FIGURES].[].[ZFORECASTOPENOUTPUT]_x000D_
[LOCID].[].[0001004469]_x000D_
[PRDID].[].[20000233]_x000D_
[KEY_FIGURES].[].[ZACTUALSALES]_x000D_
[LOCID].[].[0001004469]_x000D_
[PRDID].[].[20000233]_x000D_
[KEY_FIGURES].[].[ZCONSENSUSDEMAND]_x000D_
[LOCID].[].[0001004469]_x000D_
[PRDID].[].[20000233]_x000D_
[KEY_FIGURES].[].[INDEPENDENTDEMAND]_x000D_
[LOCID].[].[0001004469]_x000D_
[PRDID].[].[20000237]_x000D_
[KEY_FIGURES].[].[ZCONSENSUSDEMANDQTY]_x000D_
[LOCID].[].[0001004469]_x000D_
[PRDID].[].[20000237]_x000D_
[KEY_FIGURES].[].[ZINPUTSOFC]_x000D_
[LOCID].[].[0001004469]_x000D_
[PRDID].[].[20000237]_x000D_
[KEY_FIGURES].[].[ZFORECASTOPENOUTPUT]_x000D_
[LOCID].[].[0001004469]_x000D_
[PRDID].[].[20000237]_x000D_
[KEY_FIGURES].[].[ZACTUALSALES]_x000D_
[LOCID].[].[0001004469]_x000D_
[PRDID].[].[20000237]_x000D_
[KEY_FIGURES].[].[ZCONSENSUSDEMAND]_x000D_
[LOCID].[].[0001004469]_x000D_
[PRDID].[].[20000237]_x000D_
[KEY_FIGURES].[].[INDEPENDENTDEMAND]_x000D_
[LOCID].[].[0001004469]_x000D_
[PRDID].[].[20000249]_x000D_
[KEY_FIGURES].[].[ZCONSENSUSDEMANDQTY]_x000D_
[LOCID].[].[0001004469]_x000D_
[PRDID].[].[20000249]_x000D_
[KEY_FIGURES].[].[ZINPUTSOFC]_x000D_
[LOCID].[].[0001004469]_x000D_
[PRDID].[].[20000249]_x000D_
[KEY_FIGURES].[].[ZFORECASTOPENOUTPUT]_x000D_
[LOCID].[].[0001004469]_x000D_
[PRDID].[].[20000249]_x000D_
[KEY_FIGURES].[].[ZACTUALSALES]</t>
  </si>
  <si>
    <t>[LOCID].[].[0001004469]_x000D_
[PRDID].[].[20000249]_x000D_
[KEY_FIGURES].[].[ZCONSENSUSDEMAND]_x000D_
[LOCID].[].[0001004469]_x000D_
[PRDID].[].[20000249]_x000D_
[KEY_FIGURES].[].[INDEPENDENTDEMAND]_x000D_
[LOCID].[].[0001004469]_x000D_
[PRDID].[].[20000264]_x000D_
[KEY_FIGURES].[].[ZCONSENSUSDEMANDQTY]_x000D_
[LOCID].[].[0001004469]_x000D_
[PRDID].[].[20000264]_x000D_
[KEY_FIGURES].[].[ZINPUTSOFC]_x000D_
[LOCID].[].[0001004469]_x000D_
[PRDID].[].[20000264]_x000D_
[KEY_FIGURES].[].[ZFORECASTOPENOUTPUT]_x000D_
[LOCID].[].[0001004469]_x000D_
[PRDID].[].[20000264]_x000D_
[KEY_FIGURES].[].[ZACTUALSALES]_x000D_
[LOCID].[].[0001004469]_x000D_
[PRDID].[].[20000264]_x000D_
[KEY_FIGURES].[].[ZCONSENSUSDEMAND]_x000D_
[LOCID].[].[0001004469]_x000D_
[PRDID].[].[20000264]_x000D_
[KEY_FIGURES].[].[INDEPENDENTDEMAND]_x000D_
[LOCID].[].[0001004469]_x000D_
[PRDID].[].[20000351]_x000D_
[KEY_FIGURES].[].[ZCONSENSUSDEMANDQTY]_x000D_
[LOCID].[].[0001004469]_x000D_
[PRDID].[].[20000351]_x000D_
[KEY_FIGURES].[].[ZINPUTSOFC]_x000D_
[LOCID].[].[0001004469]_x000D_
[PRDID].[].[20000351]_x000D_
[KEY_FIGURES].[].[ZFORECASTOPENOUTPUT]_x000D_
[LOCID].[].[0001004469]_x000D_
[PRDID].[].[20000351]_x000D_
[KEY_FIGURES].[].[ZACTUALSALES]_x000D_
[LOCID].[].[0001004469]_x000D_
[PRDID].[].[20000351]_x000D_
[KEY_FIGURES].[].[ZCONSENSUSDEMAND]_x000D_
[LOCID].[].[0001004469]_x000D_
[PRDID].[].[20000351]_x000D_
[KEY_FIGURES].[].[INDEPENDENTDEMAND]_x000D_
[LOCID].[].[0001004469]_x000D_
[PRDID].[].[20000377]_x000D_
[KEY_FIGURES].[].[ZCONSENSUSDEMANDQTY]_x000D_
[LOCID].[].[0001004469]_x000D_
[PRDID].[].[20000377]_x000D_
[KEY_FIGURES].[].[ZINPUTSOFC]_x000D_
[LOCID].[].[0001004469]_x000D_
[PRDID].[].[20000377]_x000D_
[KEY_FIGURES].[].[ZFORECASTOPENOUTPUT]_x000D_
[LOCID].[].[0001004469]_x000D_
[PRDID].[].[20000377]_x000D_
[KEY_FIGURES].[].[ZACTUALSALES]_x000D_
[LOCID].[].[0001004469]_x000D_
[PRDID].[].[20000377]_x000D_
[KEY_FIGURES].[].[ZCONSENSUSDEMAND]_x000D_
[LOCID].[].[0001004469]_x000D_
[PRDID].[].[20000377]_x000D_
[KEY_FIGURES].[].[INDEPENDENTDEMAND]_x000D_
[LOCID].[].[0001004469]_x000D_
[PRDID].[].[20000400]_x000D_
[KEY_FIGURES].[].[ZCONSENSUSDEMANDQTY]_x000D_
[LOCID].[].[0001004469]_x000D_
[PRDID].[].[20000400]_x000D_
[KEY_FIGURES].[].[ZINPUTSOFC]_x000D_
[LOCID].[].[0001004469]_x000D_
[PRDID].[].[20000400]_x000D_
[KEY_FIGURES].[].[ZFORECASTOPENOUTPUT]_x000D_
[LOCID].[].[0001004469]_x000D_
[PRDID].[].[20000400]_x000D_
[KEY_FIGURES].[].[ZACTUALSALES]_x000D_
[LOCID].[].[0001004469]_x000D_
[PRDID].[].[20000400]_x000D_
[KEY_FIGURES].[].[ZCONSENSUSDEMAND]_x000D_
[LOCID].[].[0001004469]_x000D_
[PRDID].[].[20000400]_x000D_
[KEY_FIGURES].[].[INDEPENDENTDEMAND]_x000D_
[LOCID].[].[0001004469]_x000D_
[PRDID].[].[20000775]_x000D_
[KEY_FIGURES].[].[ZCONSENSUSDEMANDQTY]_x000D_
[LOCID].[].[0001004469]_x000D_
[PRDID].[].[20000775]_x000D_
[KEY_FIGURES].[].[ZINPUTSOFC]_x000D_
[LOCID].[].[0001004469]_x000D_
[PRDID].[].[20000775]_x000D_
[KEY_FIGURES].[].[ZFORECASTOPENOUTPUT]_x000D_
[LOCID].[].[0001004469]_x000D_
[PRDID].[].[20000775]_x000D_
[KEY_FIGURES].[].[ZACTUALSALES]_x000D_
[LOCID].[].[0001004469]_x000D_
[PRDID].[].[20000775]_x000D_
[KEY_FIGURES].[].[ZCONSENSUSDEMAND]_x000D_
[LOCID].[].[0001004469]_x000D_
[PRDID].[].[20000775]_x000D_
[KEY_FIGURES].[].[INDEPENDENTDEMAND]_x000D_
[LOCID].[].[0001004469]_x000D_
[PRDID].[].[20000848]_x000D_
[KEY_FIGURES].[].[ZCONSENSUSDEMANDQTY]_x000D_
[LOCID].[].[0001004469]_x000D_
[PRDID].[].[20000848]_x000D_
[KEY_FIGURES].[].[ZINPUTSOFC]_x000D_
[LOCID].[].[0001004469]_x000D_
[PRDID].[].[20000848]_x000D_
[KEY_FIGURES].[].[ZFORECASTOPENOUTPUT]_x000D_
[LOCID].[].[0001004469]_x000D_
[PRDID].[].[20000848]_x000D_
[KEY_FIGURES].[].[ZACTUALSALES]_x000D_
[LOCID].[].[0001004469]_x000D_
[PRDID].[].[20000848]_x000D_
[KEY_FIGURES].[].[ZCONSENSUSDEMAND]_x000D_
[LOCID].[].[0001004469]_x000D_
[PRDID].[].[20000848]_x000D_
[KEY_FIGURES].[].[INDEPENDENTDEMAND]_x000D_
[LOCID].[].[0001004486]_x000D_
[PRDID].[].[20001058]_x000D_
[KEY_FIGURES].[].[ZCONSENSUSDEMANDQTY]_x000D_
[LOCID].[].[0001004486]_x000D_
[PRDID].[].[20001058]_x000D_
[KEY_FIGURES].[].[ZINPUTSOFC]_x000D_
[LOCID].[].[0001004486]_x000D_
[PRDID].[].[20001058]_x000D_
[KEY_FIGURES].[].[ZFORECASTOPENOUTPUT]_x000D_
[LOCID].[].[0001004486]_x000D_
[PRDID].[].[20001058]_x000D_
[KEY_FIGURES].[].[ZACTUALSALES]_x000D_
[LOCID].[].[0001004486]_x000D_
[PRDID].[].[20001058]_x000D_
[KEY_FIGURES].[].[ZCONSENSUSDEMAND]_x000D_
[LOCID].[].[0001004486]_x000D_
[PRDID].[].[20001058]_x000D_
[KEY_FIGURES].[].[INDEPENDENTDEMAND]_x000D_
[LOCID].[].[0001004486]_x000D_
[PRDID].[].[20001152]_x000D_
[KEY_FIGURES].[].[ZCONSENSUSDEMANDQTY]_x000D_
[LOCID].[].[0001004486]_x000D_
[PRDID].[].[20001152]_x000D_
[KEY_FIGURES].[].[ZINPUTSOFC]_x000D_
[LOCID].[].[0001004486]_x000D_
[PRDID].[].[20001152]_x000D_
[KEY_FIGURES].[].[ZFORECASTOPENOUTPUT]_x000D_
[LOCID].[].[0001004486]_x000D_
[PRDID].[].[20001152]_x000D_
[KEY_FIGURES].[].[ZACTUALSALES]_x000D_
[LOCID].[].[0001004486]_x000D_
[PRDID].[].[20001152]_x000D_
[KEY_FIGURES].[].[ZCONSENSUSDEMAND]_x000D_
[LOCID].[].[0001004486]_x000D_
[PRDID].[].[20001152]_x000D_
[KEY_FIGURES].[].[INDEPENDENTDEMAND]_x000D_
[LOCID].[].[0001004486]_x000D_
[PRDID].[].[20001153]_x000D_
[KEY_FIGURES].[].[ZCONSENSUSDEMANDQTY]_x000D_
[LOCID].[].[0001004486]_x000D_
[PRDID].[].[20001153]_x000D_
[KEY_FIGURES].[].[ZINPUTSOFC]_x000D_
[LOCID].[].[0001004486]_x000D_
[PRDID].[].[20001153]_x000D_
[KEY_FIGURES].[].[ZFORECASTOPENOUTPUT]_x000D_
[LOCID].[].[0001004486]_x000D_
[PRDID].[].[20001153]_x000D_
[KEY_FIGURES].[].[ZACTUALSALES]_x000D_
[LOCID].[].[0001004486]_x000D_
[PRDID].[].[20001153]_x000D_
[KEY_FIGURES].[].[ZCONSENSUSDEMAND]_x000D_
[LOCID].[].[0001004486]_x000D_
[PRDID].[].[20001153]_x000D_
[KEY_FIGURES].[].[INDEPENDENTDEMAND]_x000D_
[LOCID].[].[0001004486]_x000D_
[PRDID].[].[20001154]_x000D_
[KEY_FIGURES].[].[ZCONSENSUSDEMANDQTY]_x000D_
[LOCID].[].[0001004486]_x000D_
[PRDID].[].[20001154]_x000D_
[KEY_FIGURES].[].[ZINPUTSOFC]_x000D_
[LOCID].[].[0001004486]_x000D_
[PRDID].[].[20001154]_x000D_
[KEY_FIGURES].[].[ZFORECASTOPENOUTPUT]_x000D_
[LOCID].[].[0001004486]_x000D_
[PRDID].[].[20001154]_x000D_
[KEY_FIGURES].[].[ZACTUALSALES]_x000D_
[LOCID].[].[0001004486]_x000D_
[PRDID].[].[20001154]_x000D_
[KEY_FIGURES].[].[ZCONSENSUSDEMAND]_x000D_
[LOCID].[].[0001004486]_x000D_
[PRDID].[].[20001154]_x000D_
[KEY_FIGURES].[].[INDEPENDENTDEMAND]_x000D_
[LOCID].[].[0001004486]_x000D_
[PRDID].[].[20001155]_x000D_
[KEY_FIGURES].[].[ZCONSENSUSDEMANDQTY]_x000D_
[LOCID].[].[0001004486]_x000D_
[PRDID].[].[20001155]_x000D_
[KEY_FIGURES].[].[ZINPUTSOFC]_x000D_
[LOCID].[].[0001004486]_x000D_
[PRDID].[].[20001155]_x000D_
[KEY_FIGURES].[].[ZFORECASTOPENOUTPUT]_x000D_
[LOCID].[].[0001004486]_x000D_
[PRDID].[].[20001155]_x000D_
[KEY_FIGURES].[].[ZACTUALSALES]_x000D_
[LOCID].[].[0001004486]_x000D_
[PRDID].[].[20001155]</t>
  </si>
  <si>
    <t>[KEY_FIGURES].[].[ZCONSENSUSDEMAND]_x000D_
[LOCID].[].[0001004486]_x000D_
[PRDID].[].[20001155]_x000D_
[KEY_FIGURES].[].[INDEPENDENTDEMAND]_x000D_
[LOCID].[].[0001004486]_x000D_
[PRDID].[].[20001156]_x000D_
[KEY_FIGURES].[].[ZCONSENSUSDEMANDQTY]_x000D_
[LOCID].[].[0001004486]_x000D_
[PRDID].[].[20001156]_x000D_
[KEY_FIGURES].[].[ZINPUTSOFC]_x000D_
[LOCID].[].[0001004486]_x000D_
[PRDID].[].[20001156]_x000D_
[KEY_FIGURES].[].[ZFORECASTOPENOUTPUT]_x000D_
[LOCID].[].[0001004486]_x000D_
[PRDID].[].[20001156]_x000D_
[KEY_FIGURES].[].[ZACTUALSALES]_x000D_
[LOCID].[].[0001004486]_x000D_
[PRDID].[].[20001156]_x000D_
[KEY_FIGURES].[].[ZCONSENSUSDEMAND]_x000D_
[LOCID].[].[0001004486]_x000D_
[PRDID].[].[20001156]_x000D_
[KEY_FIGURES].[].[INDEPENDENTDEMAND]_x000D_
[LOCID].[].[0001004486]_x000D_
[PRDID].[].[20001157]_x000D_
[KEY_FIGURES].[].[ZCONSENSUSDEMANDQTY]_x000D_
[LOCID].[].[0001004486]_x000D_
[PRDID].[].[20001157]_x000D_
[KEY_FIGURES].[].[ZINPUTSOFC]_x000D_
[LOCID].[].[0001004486]_x000D_
[PRDID].[].[20001157]_x000D_
[KEY_FIGURES].[].[ZFORECASTOPENOUTPUT]_x000D_
[LOCID].[].[0001004486]_x000D_
[PRDID].[].[20001157]_x000D_
[KEY_FIGURES].[].[ZACTUALSALES]_x000D_
[LOCID].[].[0001004486]_x000D_
[PRDID].[].[20001157]_x000D_
[KEY_FIGURES].[].[ZCONSENSUSDEMAND]_x000D_
[LOCID].[].[0001004486]_x000D_
[PRDID].[].[20001157]_x000D_
[KEY_FIGURES].[].[INDEPENDENTDEMAND]_x000D_
[LOCID].[].[0001004491]_x000D_
[PRDID].[].[20000088]_x000D_
[KEY_FIGURES].[].[ZCONSENSUSDEMANDQTY]_x000D_
[LOCID].[].[0001004491]_x000D_
[PRDID].[].[20000088]_x000D_
[KEY_FIGURES].[].[ZINPUTSOFC]_x000D_
[LOCID].[].[0001004491]_x000D_
[PRDID].[].[20000088]_x000D_
[KEY_FIGURES].[].[ZFORECASTOPENOUTPUT]_x000D_
[LOCID].[].[0001004491]_x000D_
[PRDID].[].[20000088]_x000D_
[KEY_FIGURES].[].[ZACTUALSALES]_x000D_
[LOCID].[].[0001004491]_x000D_
[PRDID].[].[20000088]_x000D_
[KEY_FIGURES].[].[ZCONSENSUSDEMAND]_x000D_
[LOCID].[].[0001004491]_x000D_
[PRDID].[].[20000088]_x000D_
[KEY_FIGURES].[].[INDEPENDENTDEMAND]_x000D_
[LOCID].[].[0001004503]_x000D_
[PRDID].[].[20000119]_x000D_
[KEY_FIGURES].[].[ZCONSENSUSDEMANDQTY]_x000D_
[LOCID].[].[0001004503]_x000D_
[PRDID].[].[20000119]_x000D_
[KEY_FIGURES].[].[ZINPUTSOFC]_x000D_
[LOCID].[].[0001004503]_x000D_
[PRDID].[].[20000119]_x000D_
[KEY_FIGURES].[].[ZFORECASTOPENOUTPUT]_x000D_
[LOCID].[].[0001004503]_x000D_
[PRDID].[].[20000119]_x000D_
[KEY_FIGURES].[].[ZACTUALSALES]_x000D_
[LOCID].[].[0001004503]_x000D_
[PRDID].[].[20000119]_x000D_
[KEY_FIGURES].[].[ZCONSENSUSDEMAND]_x000D_
[LOCID].[].[0001004503]_x000D_
[PRDID].[].[20000119]_x000D_
[KEY_FIGURES].[].[INDEPENDENTDEMAND]_x000D_
[LOCID].[].[0001004503]_x000D_
[PRDID].[].[20000122]_x000D_
[KEY_FIGURES].[].[ZCONSENSUSDEMANDQTY]_x000D_
[LOCID].[].[0001004503]_x000D_
[PRDID].[].[20000122]_x000D_
[KEY_FIGURES].[].[ZINPUTSOFC]_x000D_
[LOCID].[].[0001004503]_x000D_
[PRDID].[].[20000122]_x000D_
[KEY_FIGURES].[].[ZFORECASTOPENOUTPUT]_x000D_
[LOCID].[].[0001004503]_x000D_
[PRDID].[].[20000122]_x000D_
[KEY_FIGURES].[].[ZACTUALSALES]_x000D_
[LOCID].[].[0001004503]_x000D_
[PRDID].[].[20000122]_x000D_
[KEY_FIGURES].[].[ZCONSENSUSDEMAND]_x000D_
[LOCID].[].[0001004503]_x000D_
[PRDID].[].[20000122]_x000D_
[KEY_FIGURES].[].[INDEPENDENTDEMAND]_x000D_
[LOCID].[].[0001004503]_x000D_
[PRDID].[].[20000123]_x000D_
[KEY_FIGURES].[].[ZCONSENSUSDEMANDQTY]_x000D_
[LOCID].[].[0001004503]_x000D_
[PRDID].[].[20000123]_x000D_
[KEY_FIGURES].[].[ZINPUTSOFC]_x000D_
[LOCID].[].[0001004503]_x000D_
[PRDID].[].[20000123]_x000D_
[KEY_FIGURES].[].[ZFORECASTOPENOUTPUT]_x000D_
[LOCID].[].[0001004503]_x000D_
[PRDID].[].[20000123]_x000D_
[KEY_FIGURES].[].[ZACTUALSALES]_x000D_
[LOCID].[].[0001004503]_x000D_
[PRDID].[].[20000123]_x000D_
[KEY_FIGURES].[].[ZCONSENSUSDEMAND]_x000D_
[LOCID].[].[0001004503]_x000D_
[PRDID].[].[20000123]_x000D_
[KEY_FIGURES].[].[INDEPENDENTDEMAND]_x000D_
[LOCID].[].[0001004504]_x000D_
[PRDID].[].[20000120]_x000D_
[KEY_FIGURES].[].[ZCONSENSUSDEMANDQTY]_x000D_
[LOCID].[].[0001004504]_x000D_
[PRDID].[].[20000120]_x000D_
[KEY_FIGURES].[].[ZINPUTSOFC]_x000D_
[LOCID].[].[0001004504]_x000D_
[PRDID].[].[20000120]_x000D_
[KEY_FIGURES].[].[ZFORECASTOPENOUTPUT]_x000D_
[LOCID].[].[0001004504]_x000D_
[PRDID].[].[20000120]_x000D_
[KEY_FIGURES].[].[ZACTUALSALES]_x000D_
[LOCID].[].[0001004504]_x000D_
[PRDID].[].[20000120]_x000D_
[KEY_FIGURES].[].[ZCONSENSUSDEMAND]_x000D_
[LOCID].[].[0001004504]_x000D_
[PRDID].[].[20000120]_x000D_
[KEY_FIGURES].[].[INDEPENDENTDEMAND]_x000D_
[LOCID].[].[0001004505]_x000D_
[PRDID].[].[20000031]_x000D_
[KEY_FIGURES].[].[ZCONSENSUSDEMANDQTY]_x000D_
[LOCID].[].[0001004505]_x000D_
[PRDID].[].[20000031]_x000D_
[KEY_FIGURES].[].[ZINPUTSOFC]_x000D_
[LOCID].[].[0001004505]_x000D_
[PRDID].[].[20000031]_x000D_
[KEY_FIGURES].[].[ZFORECASTOPENOUTPUT]_x000D_
[LOCID].[].[0001004505]_x000D_
[PRDID].[].[20000031]_x000D_
[KEY_FIGURES].[].[ZACTUALSALES]_x000D_
[LOCID].[].[0001004505]_x000D_
[PRDID].[].[20000031]_x000D_
[KEY_FIGURES].[].[ZCONSENSUSDEMAND]_x000D_
[LOCID].[].[0001004505]_x000D_
[PRDID].[].[20000031]_x000D_
[KEY_FIGURES].[].[INDEPENDENTDEMAND]_x000D_
[LOCID].[].[0001004512]_x000D_
[PRDID].[].[20000139]_x000D_
[KEY_FIGURES].[].[ZCONSENSUSDEMANDQTY]_x000D_
[LOCID].[].[0001004512]_x000D_
[PRDID].[].[20000139]_x000D_
[KEY_FIGURES].[].[ZINPUTSOFC]_x000D_
[LOCID].[].[0001004512]_x000D_
[PRDID].[].[20000139]_x000D_
[KEY_FIGURES].[].[ZFORECASTOPENOUTPUT]_x000D_
[LOCID].[].[0001004512]_x000D_
[PRDID].[].[20000139]_x000D_
[KEY_FIGURES].[].[ZACTUALSALES]_x000D_
[LOCID].[].[0001004512]_x000D_
[PRDID].[].[20000139]_x000D_
[KEY_FIGURES].[].[ZCONSENSUSDEMAND]_x000D_
[LOCID].[].[0001004512]_x000D_
[PRDID].[].[20000139]_x000D_
[KEY_FIGURES].[].[INDEPENDENTDEMAND]_x000D_
[LOCID].[].[0001004512]_x000D_
[PRDID].[].[20000140]_x000D_
[KEY_FIGURES].[].[ZCONSENSUSDEMANDQTY]_x000D_
[LOCID].[].[0001004512]_x000D_
[PRDID].[].[20000140]_x000D_
[KEY_FIGURES].[].[ZINPUTSOFC]_x000D_
[LOCID].[].[0001004512]_x000D_
[PRDID].[].[20000140]_x000D_
[KEY_FIGURES].[].[ZFORECASTOPENOUTPUT]_x000D_
[LOCID].[].[0001004512]_x000D_
[PRDID].[].[20000140]_x000D_
[KEY_FIGURES].[].[ZACTUALSALES]_x000D_
[LOCID].[].[0001004512]_x000D_
[PRDID].[].[20000140]_x000D_
[KEY_FIGURES].[].[ZCONSENSUSDEMAND]_x000D_
[LOCID].[].[0001004512]_x000D_
[PRDID].[].[20000140]_x000D_
[KEY_FIGURES].[].[INDEPENDENTDEMAND]_x000D_
[LOCID].[].[0001004512]_x000D_
[PRDID].[].[20000177]_x000D_
[KEY_FIGURES].[].[ZCONSENSUSDEMANDQTY]_x000D_
[LOCID].[].[0001004512]_x000D_
[PRDID].[].[20000177]_x000D_
[KEY_FIGURES].[].[ZINPUTSOFC]_x000D_
[LOCID].[].[0001004512]_x000D_
[PRDID].[].[20000177]_x000D_
[KEY_FIGURES].[].[ZFORECASTOPENOUTPUT]_x000D_
[LOCID].[].[0001004512]_x000D_
[PRDID].[].[20000177]_x000D_
[KEY_FIGURES].[].[ZACTUALSALES]_x000D_
[LOCID].[].[0001004512]_x000D_
[PRDID].[].[20000177]_x000D_
[KEY_FIGURES].[].[ZCONSENSUSDEMAND]_x000D_
[LOCID].[].[0001004512]</t>
  </si>
  <si>
    <t>[PRDID].[].[20000177]_x000D_
[KEY_FIGURES].[].[INDEPENDENTDEMAND]_x000D_
[LOCID].[].[0001004512]_x000D_
[PRDID].[].[20000178]_x000D_
[KEY_FIGURES].[].[ZCONSENSUSDEMANDQTY]_x000D_
[LOCID].[].[0001004512]_x000D_
[PRDID].[].[20000178]_x000D_
[KEY_FIGURES].[].[ZINPUTSOFC]_x000D_
[LOCID].[].[0001004512]_x000D_
[PRDID].[].[20000178]_x000D_
[KEY_FIGURES].[].[ZFORECASTOPENOUTPUT]_x000D_
[LOCID].[].[0001004512]_x000D_
[PRDID].[].[20000178]_x000D_
[KEY_FIGURES].[].[ZACTUALSALES]_x000D_
[LOCID].[].[0001004512]_x000D_
[PRDID].[].[20000178]_x000D_
[KEY_FIGURES].[].[ZCONSENSUSDEMAND]_x000D_
[LOCID].[].[0001004512]_x000D_
[PRDID].[].[20000178]_x000D_
[KEY_FIGURES].[].[INDEPENDENTDEMAND]_x000D_
[LOCID].[].[0001004512]_x000D_
[PRDID].[].[20000179]_x000D_
[KEY_FIGURES].[].[ZCONSENSUSDEMANDQTY]_x000D_
[LOCID].[].[0001004512]_x000D_
[PRDID].[].[20000179]_x000D_
[KEY_FIGURES].[].[ZINPUTSOFC]_x000D_
[LOCID].[].[0001004512]_x000D_
[PRDID].[].[20000179]_x000D_
[KEY_FIGURES].[].[ZFORECASTOPENOUTPUT]_x000D_
[LOCID].[].[0001004512]_x000D_
[PRDID].[].[20000179]_x000D_
[KEY_FIGURES].[].[ZACTUALSALES]_x000D_
[LOCID].[].[0001004512]_x000D_
[PRDID].[].[20000179]_x000D_
[KEY_FIGURES].[].[ZCONSENSUSDEMAND]_x000D_
[LOCID].[].[0001004512]_x000D_
[PRDID].[].[20000179]_x000D_
[KEY_FIGURES].[].[INDEPENDENTDEMAND]_x000D_
[LOCID].[].[0001004512]_x000D_
[PRDID].[].[20000180]_x000D_
[KEY_FIGURES].[].[ZCONSENSUSDEMANDQTY]_x000D_
[LOCID].[].[0001004512]_x000D_
[PRDID].[].[20000180]_x000D_
[KEY_FIGURES].[].[ZINPUTSOFC]_x000D_
[LOCID].[].[0001004512]_x000D_
[PRDID].[].[20000180]_x000D_
[KEY_FIGURES].[].[ZFORECASTOPENOUTPUT]_x000D_
[LOCID].[].[0001004512]_x000D_
[PRDID].[].[20000180]_x000D_
[KEY_FIGURES].[].[ZACTUALSALES]_x000D_
[LOCID].[].[0001004512]_x000D_
[PRDID].[].[20000180]_x000D_
[KEY_FIGURES].[].[ZCONSENSUSDEMAND]_x000D_
[LOCID].[].[0001004512]_x000D_
[PRDID].[].[20000180]_x000D_
[KEY_FIGURES].[].[INDEPENDENTDEMAND]_x000D_
[LOCID].[].[0001004522]_x000D_
[PRDID].[].[20000128]_x000D_
[KEY_FIGURES].[].[ZCONSENSUSDEMANDQTY]_x000D_
[LOCID].[].[0001004522]_x000D_
[PRDID].[].[20000128]_x000D_
[KEY_FIGURES].[].[ZINPUTSOFC]_x000D_
[LOCID].[].[0001004522]_x000D_
[PRDID].[].[20000128]_x000D_
[KEY_FIGURES].[].[ZFORECASTOPENOUTPUT]_x000D_
[LOCID].[].[0001004522]_x000D_
[PRDID].[].[20000128]_x000D_
[KEY_FIGURES].[].[ZACTUALSALES]_x000D_
[LOCID].[].[0001004522]_x000D_
[PRDID].[].[20000128]_x000D_
[KEY_FIGURES].[].[ZCONSENSUSDEMAND]_x000D_
[LOCID].[].[0001004522]_x000D_
[PRDID].[].[20000128]_x000D_
[KEY_FIGURES].[].[INDEPENDENTDEMAND]_x000D_
[LOCID].[].[0001004522]_x000D_
[PRDID].[].[20000129]_x000D_
[KEY_FIGURES].[].[ZCONSENSUSDEMANDQTY]_x000D_
[LOCID].[].[0001004522]_x000D_
[PRDID].[].[20000129]_x000D_
[KEY_FIGURES].[].[ZINPUTSOFC]_x000D_
[LOCID].[].[0001004522]_x000D_
[PRDID].[].[20000129]_x000D_
[KEY_FIGURES].[].[ZFORECASTOPENOUTPUT]_x000D_
[LOCID].[].[0001004522]_x000D_
[PRDID].[].[20000129]_x000D_
[KEY_FIGURES].[].[ZACTUALSALES]_x000D_
[LOCID].[].[0001004522]_x000D_
[PRDID].[].[20000129]_x000D_
[KEY_FIGURES].[].[ZCONSENSUSDEMAND]_x000D_
[LOCID].[].[0001004522]_x000D_
[PRDID].[].[20000129]_x000D_
[KEY_FIGURES].[].[INDEPENDENTDEMAND]_x000D_
[LOCID].[].[0001004522]_x000D_
[PRDID].[].[20000130]_x000D_
[KEY_FIGURES].[].[ZCONSENSUSDEMANDQTY]_x000D_
[LOCID].[].[0001004522]_x000D_
[PRDID].[].[20000130]_x000D_
[KEY_FIGURES].[].[ZINPUTSOFC]_x000D_
[LOCID].[].[0001004522]_x000D_
[PRDID].[].[20000130]_x000D_
[KEY_FIGURES].[].[ZFORECASTOPENOUTPUT]_x000D_
[LOCID].[].[0001004522]_x000D_
[PRDID].[].[20000130]_x000D_
[KEY_FIGURES].[].[ZACTUALSALES]_x000D_
[LOCID].[].[0001004522]_x000D_
[PRDID].[].[20000130]_x000D_
[KEY_FIGURES].[].[ZCONSENSUSDEMAND]_x000D_
[LOCID].[].[0001004522]_x000D_
[PRDID].[].[20000130]_x000D_
[KEY_FIGURES].[].[INDEPENDENTDEMAND]_x000D_
[LOCID].[].[0001004522]_x000D_
[PRDID].[].[20000352]_x000D_
[KEY_FIGURES].[].[ZCONSENSUSDEMANDQTY]_x000D_
[LOCID].[].[0001004522]_x000D_
[PRDID].[].[20000352]_x000D_
[KEY_FIGURES].[].[ZINPUTSOFC]_x000D_
[LOCID].[].[0001004522]_x000D_
[PRDID].[].[20000352]_x000D_
[KEY_FIGURES].[].[ZFORECASTOPENOUTPUT]_x000D_
[LOCID].[].[0001004522]_x000D_
[PRDID].[].[20000352]_x000D_
[KEY_FIGURES].[].[ZACTUALSALES]_x000D_
[LOCID].[].[0001004522]_x000D_
[PRDID].[].[20000352]_x000D_
[KEY_FIGURES].[].[ZCONSENSUSDEMAND]_x000D_
[LOCID].[].[0001004522]_x000D_
[PRDID].[].[20000352]_x000D_
[KEY_FIGURES].[].[INDEPENDENTDEMAND]_x000D_
[LOCID].[].[0001004522]_x000D_
[PRDID].[].[20000353]_x000D_
[KEY_FIGURES].[].[ZCONSENSUSDEMANDQTY]_x000D_
[LOCID].[].[0001004522]_x000D_
[PRDID].[].[20000353]_x000D_
[KEY_FIGURES].[].[ZINPUTSOFC]_x000D_
[LOCID].[].[0001004522]_x000D_
[PRDID].[].[20000353]_x000D_
[KEY_FIGURES].[].[ZFORECASTOPENOUTPUT]_x000D_
[LOCID].[].[0001004522]_x000D_
[PRDID].[].[20000353]_x000D_
[KEY_FIGURES].[].[ZACTUALSALES]_x000D_
[LOCID].[].[0001004522]_x000D_
[PRDID].[].[20000353]_x000D_
[KEY_FIGURES].[].[ZCONSENSUSDEMAND]_x000D_
[LOCID].[].[0001004522]_x000D_
[PRDID].[].[20000353]_x000D_
[KEY_FIGURES].[].[INDEPENDENTDEMAND]_x000D_
[LOCID].[].[0001004522]_x000D_
[PRDID].[].[20000354]_x000D_
[KEY_FIGURES].[].[ZCONSENSUSDEMANDQTY]_x000D_
[LOCID].[].[0001004522]_x000D_
[PRDID].[].[20000354]_x000D_
[KEY_FIGURES].[].[ZINPUTSOFC]_x000D_
[LOCID].[].[0001004522]_x000D_
[PRDID].[].[20000354]_x000D_
[KEY_FIGURES].[].[ZFORECASTOPENOUTPUT]_x000D_
[LOCID].[].[0001004522]_x000D_
[PRDID].[].[20000354]_x000D_
[KEY_FIGURES].[].[ZACTUALSALES]_x000D_
[LOCID].[].[0001004522]_x000D_
[PRDID].[].[20000354]_x000D_
[KEY_FIGURES].[].[ZCONSENSUSDEMAND]_x000D_
[LOCID].[].[0001004522]_x000D_
[PRDID].[].[20000354]_x000D_
[KEY_FIGURES].[].[INDEPENDENTDEMAND]_x000D_
[LOCID].[].[0001004522]_x000D_
[PRDID].[].[20000355]_x000D_
[KEY_FIGURES].[].[ZCONSENSUSDEMANDQTY]_x000D_
[LOCID].[].[0001004522]_x000D_
[PRDID].[].[20000355]_x000D_
[KEY_FIGURES].[].[ZINPUTSOFC]_x000D_
[LOCID].[].[0001004522]_x000D_
[PRDID].[].[20000355]_x000D_
[KEY_FIGURES].[].[ZFORECASTOPENOUTPUT]_x000D_
[LOCID].[].[0001004522]_x000D_
[PRDID].[].[20000355]_x000D_
[KEY_FIGURES].[].[ZACTUALSALES]_x000D_
[LOCID].[].[0001004522]_x000D_
[PRDID].[].[20000355]_x000D_
[KEY_FIGURES].[].[ZCONSENSUSDEMAND]_x000D_
[LOCID].[].[0001004522]_x000D_
[PRDID].[].[20000355]_x000D_
[KEY_FIGURES].[].[INDEPENDENTDEMAND]_x000D_
[LOCID].[].[0001004522]_x000D_
[PRDID].[].[20000356]_x000D_
[KEY_FIGURES].[].[ZCONSENSUSDEMANDQTY]_x000D_
[LOCID].[].[0001004522]_x000D_
[PRDID].[].[20000356]_x000D_
[KEY_FIGURES].[].[ZINPUTSOFC]_x000D_
[LOCID].[].[0001004522]_x000D_
[PRDID].[].[20000356]_x000D_
[KEY_FIGURES].[].[ZFORECASTOPENOUTPUT]_x000D_
[LOCID].[].[0001004522]_x000D_
[PRDID].[].[20000356]_x000D_
[KEY_FIGURES].[].[ZACTUALSALES]_x000D_
[LOCID].[].[0001004522]_x000D_
[PRDID].[].[20000356]_x000D_
[KEY_FIGURES].[].[ZCONSENSUSDEMAND]_x000D_
[LOCID].[].[0001004522]_x000D_
[PRDID].[].[20000356]_x000D_
[KEY_FIGURES].[].[INDEPENDENTDEMAND]</t>
  </si>
  <si>
    <t>[LOCID].[].[0001004522]_x000D_
[PRDID].[].[20000357]_x000D_
[KEY_FIGURES].[].[ZCONSENSUSDEMANDQTY]_x000D_
[LOCID].[].[0001004522]_x000D_
[PRDID].[].[20000357]_x000D_
[KEY_FIGURES].[].[ZINPUTSOFC]_x000D_
[LOCID].[].[0001004522]_x000D_
[PRDID].[].[20000357]_x000D_
[KEY_FIGURES].[].[ZFORECASTOPENOUTPUT]_x000D_
[LOCID].[].[0001004522]_x000D_
[PRDID].[].[20000357]_x000D_
[KEY_FIGURES].[].[ZACTUALSALES]_x000D_
[LOCID].[].[0001004522]_x000D_
[PRDID].[].[20000357]_x000D_
[KEY_FIGURES].[].[ZCONSENSUSDEMAND]_x000D_
[LOCID].[].[0001004522]_x000D_
[PRDID].[].[20000357]_x000D_
[KEY_FIGURES].[].[INDEPENDENTDEMAND]_x000D_
[LOCID].[].[0001004522]_x000D_
[PRDID].[].[20000358]_x000D_
[KEY_FIGURES].[].[ZCONSENSUSDEMANDQTY]_x000D_
[LOCID].[].[0001004522]_x000D_
[PRDID].[].[20000358]_x000D_
[KEY_FIGURES].[].[ZINPUTSOFC]_x000D_
[LOCID].[].[0001004522]_x000D_
[PRDID].[].[20000358]_x000D_
[KEY_FIGURES].[].[ZFORECASTOPENOUTPUT]_x000D_
[LOCID].[].[0001004522]_x000D_
[PRDID].[].[20000358]_x000D_
[KEY_FIGURES].[].[ZACTUALSALES]_x000D_
[LOCID].[].[0001004522]_x000D_
[PRDID].[].[20000358]_x000D_
[KEY_FIGURES].[].[ZCONSENSUSDEMAND]_x000D_
[LOCID].[].[0001004522]_x000D_
[PRDID].[].[20000358]_x000D_
[KEY_FIGURES].[].[INDEPENDENTDEMAND]_x000D_
[LOCID].[].[0001004522]_x000D_
[PRDID].[].[20000359]_x000D_
[KEY_FIGURES].[].[ZCONSENSUSDEMANDQTY]_x000D_
[LOCID].[].[0001004522]_x000D_
[PRDID].[].[20000359]_x000D_
[KEY_FIGURES].[].[ZINPUTSOFC]_x000D_
[LOCID].[].[0001004522]_x000D_
[PRDID].[].[20000359]_x000D_
[KEY_FIGURES].[].[ZFORECASTOPENOUTPUT]_x000D_
[LOCID].[].[0001004522]_x000D_
[PRDID].[].[20000359]_x000D_
[KEY_FIGURES].[].[ZACTUALSALES]_x000D_
[LOCID].[].[0001004522]_x000D_
[PRDID].[].[20000359]_x000D_
[KEY_FIGURES].[].[ZCONSENSUSDEMAND]_x000D_
[LOCID].[].[0001004522]_x000D_
[PRDID].[].[20000359]_x000D_
[KEY_FIGURES].[].[INDEPENDENTDEMAND]_x000D_
[LOCID].[].[0001004522]_x000D_
[PRDID].[].[20000360]_x000D_
[KEY_FIGURES].[].[ZCONSENSUSDEMANDQTY]_x000D_
[LOCID].[].[0001004522]_x000D_
[PRDID].[].[20000360]_x000D_
[KEY_FIGURES].[].[ZINPUTSOFC]_x000D_
[LOCID].[].[0001004522]_x000D_
[PRDID].[].[20000360]_x000D_
[KEY_FIGURES].[].[ZFORECASTOPENOUTPUT]_x000D_
[LOCID].[].[0001004522]_x000D_
[PRDID].[].[20000360]_x000D_
[KEY_FIGURES].[].[ZACTUALSALES]_x000D_
[LOCID].[].[0001004522]_x000D_
[PRDID].[].[20000360]_x000D_
[KEY_FIGURES].[].[ZCONSENSUSDEMAND]_x000D_
[LOCID].[].[0001004522]_x000D_
[PRDID].[].[20000360]_x000D_
[KEY_FIGURES].[].[INDEPENDENTDEMAND]_x000D_
[LOCID].[].[0001004522]_x000D_
[PRDID].[].[20000361]_x000D_
[KEY_FIGURES].[].[ZCONSENSUSDEMANDQTY]_x000D_
[LOCID].[].[0001004522]_x000D_
[PRDID].[].[20000361]_x000D_
[KEY_FIGURES].[].[ZINPUTSOFC]_x000D_
[LOCID].[].[0001004522]_x000D_
[PRDID].[].[20000361]_x000D_
[KEY_FIGURES].[].[ZFORECASTOPENOUTPUT]_x000D_
[LOCID].[].[0001004522]_x000D_
[PRDID].[].[20000361]_x000D_
[KEY_FIGURES].[].[ZACTUALSALES]_x000D_
[LOCID].[].[0001004522]_x000D_
[PRDID].[].[20000361]_x000D_
[KEY_FIGURES].[].[ZCONSENSUSDEMAND]_x000D_
[LOCID].[].[0001004522]_x000D_
[PRDID].[].[20000361]_x000D_
[KEY_FIGURES].[].[INDEPENDENTDEMAND]_x000D_
[LOCID].[].[0001004522]_x000D_
[PRDID].[].[20000362]_x000D_
[KEY_FIGURES].[].[ZCONSENSUSDEMANDQTY]_x000D_
[LOCID].[].[0001004522]_x000D_
[PRDID].[].[20000362]_x000D_
[KEY_FIGURES].[].[ZINPUTSOFC]_x000D_
[LOCID].[].[0001004522]_x000D_
[PRDID].[].[20000362]_x000D_
[KEY_FIGURES].[].[ZFORECASTOPENOUTPUT]_x000D_
[LOCID].[].[0001004522]_x000D_
[PRDID].[].[20000362]_x000D_
[KEY_FIGURES].[].[ZACTUALSALES]_x000D_
[LOCID].[].[0001004522]_x000D_
[PRDID].[].[20000362]_x000D_
[KEY_FIGURES].[].[ZCONSENSUSDEMAND]_x000D_
[LOCID].[].[0001004522]_x000D_
[PRDID].[].[20000362]_x000D_
[KEY_FIGURES].[].[INDEPENDENTDEMAND]_x000D_
[LOCID].[].[0001004522]_x000D_
[PRDID].[].[20000363]_x000D_
[KEY_FIGURES].[].[ZCONSENSUSDEMANDQTY]_x000D_
[LOCID].[].[0001004522]_x000D_
[PRDID].[].[20000363]_x000D_
[KEY_FIGURES].[].[ZINPUTSOFC]_x000D_
[LOCID].[].[0001004522]_x000D_
[PRDID].[].[20000363]_x000D_
[KEY_FIGURES].[].[ZFORECASTOPENOUTPUT]_x000D_
[LOCID].[].[0001004522]_x000D_
[PRDID].[].[20000363]_x000D_
[KEY_FIGURES].[].[ZACTUALSALES]_x000D_
[LOCID].[].[0001004522]_x000D_
[PRDID].[].[20000363]_x000D_
[KEY_FIGURES].[].[ZCONSENSUSDEMAND]_x000D_
[LOCID].[].[0001004522]_x000D_
[PRDID].[].[20000363]_x000D_
[KEY_FIGURES].[].[INDEPENDENTDEMAND]_x000D_
[LOCID].[].[0001004522]_x000D_
[PRDID].[].[20000364]_x000D_
[KEY_FIGURES].[].[ZCONSENSUSDEMANDQTY]_x000D_
[LOCID].[].[0001004522]_x000D_
[PRDID].[].[20000364]_x000D_
[KEY_FIGURES].[].[ZINPUTSOFC]_x000D_
[LOCID].[].[0001004522]_x000D_
[PRDID].[].[20000364]_x000D_
[KEY_FIGURES].[].[ZFORECASTOPENOUTPUT]_x000D_
[LOCID].[].[0001004522]_x000D_
[PRDID].[].[20000364]_x000D_
[KEY_FIGURES].[].[ZACTUALSALES]_x000D_
[LOCID].[].[0001004522]_x000D_
[PRDID].[].[20000364]_x000D_
[KEY_FIGURES].[].[ZCONSENSUSDEMAND]_x000D_
[LOCID].[].[0001004522]_x000D_
[PRDID].[].[20000364]_x000D_
[KEY_FIGURES].[].[INDEPENDENTDEMAND]_x000D_
[LOCID].[].[0001004522]_x000D_
[PRDID].[].[20000369]_x000D_
[KEY_FIGURES].[].[ZCONSENSUSDEMANDQTY]_x000D_
[LOCID].[].[0001004522]_x000D_
[PRDID].[].[20000369]_x000D_
[KEY_FIGURES].[].[ZINPUTSOFC]_x000D_
[LOCID].[].[0001004522]_x000D_
[PRDID].[].[20000369]_x000D_
[KEY_FIGURES].[].[ZFORECASTOPENOUTPUT]_x000D_
[LOCID].[].[0001004522]_x000D_
[PRDID].[].[20000369]_x000D_
[KEY_FIGURES].[].[ZACTUALSALES]_x000D_
[LOCID].[].[0001004522]_x000D_
[PRDID].[].[20000369]_x000D_
[KEY_FIGURES].[].[ZCONSENSUSDEMAND]_x000D_
[LOCID].[].[0001004522]_x000D_
[PRDID].[].[20000369]_x000D_
[KEY_FIGURES].[].[INDEPENDENTDEMAND]_x000D_
[LOCID].[].[0001004523]_x000D_
[PRDID].[].[20000849]_x000D_
[KEY_FIGURES].[].[ZCONSENSUSDEMANDQTY]_x000D_
[LOCID].[].[0001004523]_x000D_
[PRDID].[].[20000849]_x000D_
[KEY_FIGURES].[].[ZINPUTSOFC]_x000D_
[LOCID].[].[0001004523]_x000D_
[PRDID].[].[20000849]_x000D_
[KEY_FIGURES].[].[ZFORECASTOPENOUTPUT]_x000D_
[LOCID].[].[0001004523]_x000D_
[PRDID].[].[20000849]_x000D_
[KEY_FIGURES].[].[ZACTUALSALES]_x000D_
[LOCID].[].[0001004523]_x000D_
[PRDID].[].[20000849]_x000D_
[KEY_FIGURES].[].[ZCONSENSUSDEMAND]_x000D_
[LOCID].[].[0001004523]_x000D_
[PRDID].[].[20000849]_x000D_
[KEY_FIGURES].[].[INDEPENDENTDEMAND]_x000D_
[LOCID].[].[0001004523]_x000D_
[PRDID].[].[20000850]_x000D_
[KEY_FIGURES].[].[ZCONSENSUSDEMANDQTY]_x000D_
[LOCID].[].[0001004523]_x000D_
[PRDID].[].[20000850]_x000D_
[KEY_FIGURES].[].[ZINPUTSOFC]_x000D_
[LOCID].[].[0001004523]_x000D_
[PRDID].[].[20000850]_x000D_
[KEY_FIGURES].[].[ZFORECASTOPENOUTPUT]_x000D_
[LOCID].[].[0001004523]_x000D_
[PRDID].[].[20000850]_x000D_
[KEY_FIGURES].[].[ZACTUALSALES]_x000D_
[LOCID].[].[0001004523]_x000D_
[PRDID].[].[20000850]_x000D_
[KEY_FIGURES].[].[ZCONSENSUSDEMAND]_x000D_
[LOCID].[].[0001004523]_x000D_
[PRDID].[].[20000850]_x000D_
[KEY_FIGURES].[].[INDEPENDENTDEMAND]_x000D_
[LOCID].[].[0001004534]_x000D_
[PRDID].[].[20000830]</t>
  </si>
  <si>
    <t>[KEY_FIGURES].[].[ZCONSENSUSDEMANDQTY]_x000D_
[LOCID].[].[0001004534]_x000D_
[PRDID].[].[20000830]_x000D_
[KEY_FIGURES].[].[ZINPUTSOFC]_x000D_
[LOCID].[].[0001004534]_x000D_
[PRDID].[].[20000830]_x000D_
[KEY_FIGURES].[].[ZFORECASTOPENOUTPUT]_x000D_
[LOCID].[].[0001004534]_x000D_
[PRDID].[].[20000830]_x000D_
[KEY_FIGURES].[].[ZACTUALSALES]_x000D_
[LOCID].[].[0001004534]_x000D_
[PRDID].[].[20000830]_x000D_
[KEY_FIGURES].[].[ZCONSENSUSDEMAND]_x000D_
[LOCID].[].[0001004534]_x000D_
[PRDID].[].[20000830]_x000D_
[KEY_FIGURES].[].[INDEPENDENTDEMAND]_x000D_
[LOCID].[].[0001004542]_x000D_
[PRDID].[].[20000115]_x000D_
[KEY_FIGURES].[].[ZCONSENSUSDEMANDQTY]_x000D_
[LOCID].[].[0001004542]_x000D_
[PRDID].[].[20000115]_x000D_
[KEY_FIGURES].[].[ZINPUTSOFC]_x000D_
[LOCID].[].[0001004542]_x000D_
[PRDID].[].[20000115]_x000D_
[KEY_FIGURES].[].[ZFORECASTOPENOUTPUT]_x000D_
[LOCID].[].[0001004542]_x000D_
[PRDID].[].[20000115]_x000D_
[KEY_FIGURES].[].[ZACTUALSALES]_x000D_
[LOCID].[].[0001004542]_x000D_
[PRDID].[].[20000115]_x000D_
[KEY_FIGURES].[].[ZCONSENSUSDEMAND]_x000D_
[LOCID].[].[0001004542]_x000D_
[PRDID].[].[20000115]_x000D_
[KEY_FIGURES].[].[INDEPENDENTDEMAND]_x000D_
[LOCID].[].[0001004552]_x000D_
[PRDID].[].[20000124]_x000D_
[KEY_FIGURES].[].[ZCONSENSUSDEMANDQTY]_x000D_
[LOCID].[].[0001004552]_x000D_
[PRDID].[].[20000124]_x000D_
[KEY_FIGURES].[].[ZINPUTSOFC]_x000D_
[LOCID].[].[0001004552]_x000D_
[PRDID].[].[20000124]_x000D_
[KEY_FIGURES].[].[ZFORECASTOPENOUTPUT]_x000D_
[LOCID].[].[0001004552]_x000D_
[PRDID].[].[20000124]_x000D_
[KEY_FIGURES].[].[ZACTUALSALES]_x000D_
[LOCID].[].[0001004552]_x000D_
[PRDID].[].[20000124]_x000D_
[KEY_FIGURES].[].[ZCONSENSUSDEMAND]_x000D_
[LOCID].[].[0001004552]_x000D_
[PRDID].[].[20000124]_x000D_
[KEY_FIGURES].[].[INDEPENDENTDEMAND]_x000D_
[LOCID].[].[0001004590]_x000D_
[PRDID].[].[20000117]_x000D_
[KEY_FIGURES].[].[ZCONSENSUSDEMANDQTY]_x000D_
[LOCID].[].[0001004590]_x000D_
[PRDID].[].[20000117]_x000D_
[KEY_FIGURES].[].[ZINPUTSOFC]_x000D_
[LOCID].[].[0001004590]_x000D_
[PRDID].[].[20000117]_x000D_
[KEY_FIGURES].[].[ZFORECASTOPENOUTPUT]_x000D_
[LOCID].[].[0001004590]_x000D_
[PRDID].[].[20000117]_x000D_
[KEY_FIGURES].[].[ZACTUALSALES]_x000D_
[LOCID].[].[0001004590]_x000D_
[PRDID].[].[20000117]_x000D_
[KEY_FIGURES].[].[ZCONSENSUSDEMAND]_x000D_
[LOCID].[].[0001004590]_x000D_
[PRDID].[].[20000117]_x000D_
[KEY_FIGURES].[].[INDEPENDENTDEMAND]_x000D_
[LOCID].[].[0001004590]_x000D_
[PRDID].[].[20000118]_x000D_
[KEY_FIGURES].[].[ZCONSENSUSDEMANDQTY]_x000D_
[LOCID].[].[0001004590]_x000D_
[PRDID].[].[20000118]_x000D_
[KEY_FIGURES].[].[ZINPUTSOFC]_x000D_
[LOCID].[].[0001004590]_x000D_
[PRDID].[].[20000118]_x000D_
[KEY_FIGURES].[].[ZFORECASTOPENOUTPUT]_x000D_
[LOCID].[].[0001004590]_x000D_
[PRDID].[].[20000118]_x000D_
[KEY_FIGURES].[].[ZACTUALSALES]_x000D_
[LOCID].[].[0001004590]_x000D_
[PRDID].[].[20000118]_x000D_
[KEY_FIGURES].[].[ZCONSENSUSDEMAND]_x000D_
[LOCID].[].[0001004590]_x000D_
[PRDID].[].[20000118]_x000D_
[KEY_FIGURES].[].[INDEPENDENTDEMAND]_x000D_
[LOCID].[].[0001004590]_x000D_
[PRDID].[].[20000235]_x000D_
[KEY_FIGURES].[].[ZCONSENSUSDEMANDQTY]_x000D_
[LOCID].[].[0001004590]_x000D_
[PRDID].[].[20000235]_x000D_
[KEY_FIGURES].[].[ZINPUTSOFC]_x000D_
[LOCID].[].[0001004590]_x000D_
[PRDID].[].[20000235]_x000D_
[KEY_FIGURES].[].[ZFORECASTOPENOUTPUT]_x000D_
[LOCID].[].[0001004590]_x000D_
[PRDID].[].[20000235]_x000D_
[KEY_FIGURES].[].[ZACTUALSALES]_x000D_
[LOCID].[].[0001004590]_x000D_
[PRDID].[].[20000235]_x000D_
[KEY_FIGURES].[].[ZCONSENSUSDEMAND]_x000D_
[LOCID].[].[0001004590]_x000D_
[PRDID].[].[20000235]_x000D_
[KEY_FIGURES].[].[INDEPENDENTDEMAND]_x000D_
[LOCID].[].[0001004590]_x000D_
[PRDID].[].[20000236]_x000D_
[KEY_FIGURES].[].[ZCONSENSUSDEMANDQTY]_x000D_
[LOCID].[].[0001004590]_x000D_
[PRDID].[].[20000236]_x000D_
[KEY_FIGURES].[].[ZINPUTSOFC]_x000D_
[LOCID].[].[0001004590]_x000D_
[PRDID].[].[20000236]_x000D_
[KEY_FIGURES].[].[ZFORECASTOPENOUTPUT]_x000D_
[LOCID].[].[0001004590]_x000D_
[PRDID].[].[20000236]_x000D_
[KEY_FIGURES].[].[ZACTUALSALES]_x000D_
[LOCID].[].[0001004590]_x000D_
[PRDID].[].[20000236]_x000D_
[KEY_FIGURES].[].[ZCONSENSUSDEMAND]_x000D_
[LOCID].[].[0001004590]_x000D_
[PRDID].[].[20000236]_x000D_
[KEY_FIGURES].[].[INDEPENDENTDEMAND]_x000D_
[LOCID].[].[0001004610]_x000D_
[PRDID].[].[20000880]_x000D_
[KEY_FIGURES].[].[ZCONSENSUSDEMANDQTY]_x000D_
[LOCID].[].[0001004610]_x000D_
[PRDID].[].[20000880]_x000D_
[KEY_FIGURES].[].[ZINPUTSOFC]_x000D_
[LOCID].[].[0001004610]_x000D_
[PRDID].[].[20000880]_x000D_
[KEY_FIGURES].[].[ZFORECASTOPENOUTPUT]_x000D_
[LOCID].[].[0001004610]_x000D_
[PRDID].[].[20000880]_x000D_
[KEY_FIGURES].[].[ZACTUALSALES]_x000D_
[LOCID].[].[0001004610]_x000D_
[PRDID].[].[20000880]_x000D_
[KEY_FIGURES].[].[ZCONSENSUSDEMAND]_x000D_
[LOCID].[].[0001004610]_x000D_
[PRDID].[].[20000880]_x000D_
[KEY_FIGURES].[].[INDEPENDENTDEMAND]_x000D_
[LOCID].[].[0001004610]_x000D_
[PRDID].[].[20000881]_x000D_
[KEY_FIGURES].[].[ZCONSENSUSDEMANDQTY]_x000D_
[LOCID].[].[0001004610]_x000D_
[PRDID].[].[20000881]_x000D_
[KEY_FIGURES].[].[ZINPUTSOFC]_x000D_
[LOCID].[].[0001004610]_x000D_
[PRDID].[].[20000881]_x000D_
[KEY_FIGURES].[].[ZFORECASTOPENOUTPUT]_x000D_
[LOCID].[].[0001004610]_x000D_
[PRDID].[].[20000881]_x000D_
[KEY_FIGURES].[].[ZACTUALSALES]_x000D_
[LOCID].[].[0001004610]_x000D_
[PRDID].[].[20000881]_x000D_
[KEY_FIGURES].[].[ZCONSENSUSDEMAND]_x000D_
[LOCID].[].[0001004610]_x000D_
[PRDID].[].[20000881]_x000D_
[KEY_FIGURES].[].[INDEPENDENTDEMAND]_x000D_
[LOCID].[].[0001004610]_x000D_
[PRDID].[].[20000882]_x000D_
[KEY_FIGURES].[].[ZCONSENSUSDEMANDQTY]_x000D_
[LOCID].[].[0001004610]_x000D_
[PRDID].[].[20000882]_x000D_
[KEY_FIGURES].[].[ZINPUTSOFC]_x000D_
[LOCID].[].[0001004610]_x000D_
[PRDID].[].[20000882]_x000D_
[KEY_FIGURES].[].[ZFORECASTOPENOUTPUT]_x000D_
[LOCID].[].[0001004610]_x000D_
[PRDID].[].[20000882]_x000D_
[KEY_FIGURES].[].[ZACTUALSALES]_x000D_
[LOCID].[].[0001004610]_x000D_
[PRDID].[].[20000882]_x000D_
[KEY_FIGURES].[].[ZCONSENSUSDEMAND]_x000D_
[LOCID].[].[0001004610]_x000D_
[PRDID].[].[20000882]_x000D_
[KEY_FIGURES].[].[INDEPENDENTDEMAND]_x000D_
[LOCID].[].[0001004610]_x000D_
[PRDID].[].[20000883]_x000D_
[KEY_FIGURES].[].[ZCONSENSUSDEMANDQTY]_x000D_
[LOCID].[].[0001004610]_x000D_
[PRDID].[].[20000883]_x000D_
[KEY_FIGURES].[].[ZINPUTSOFC]_x000D_
[LOCID].[].[0001004610]_x000D_
[PRDID].[].[20000883]_x000D_
[KEY_FIGURES].[].[ZFORECASTOPENOUTPUT]_x000D_
[LOCID].[].[0001004610]_x000D_
[PRDID].[].[20000883]_x000D_
[KEY_FIGURES].[].[ZACTUALSALES]_x000D_
[LOCID].[].[0001004610]_x000D_
[PRDID].[].[20000883]_x000D_
[KEY_FIGURES].[].[ZCONSENSUSDEMAND]_x000D_
[LOCID].[].[0001004610]_x000D_
[PRDID].[].[20000883]_x000D_
[KEY_FIGURES].[].[INDEPENDENTDEMAND]_x000D_
[LOCID].[].[0001004610]_x000D_
[PRDID].[].[20000884]_x000D_
[KEY_FIGURES].[].[ZCONSENSUSDEMANDQTY]_x000D_
[LOCID].[].[0001004610]</t>
  </si>
  <si>
    <t>[PRDID].[].[20000884]_x000D_
[KEY_FIGURES].[].[ZINPUTSOFC]_x000D_
[LOCID].[].[0001004610]_x000D_
[PRDID].[].[20000884]_x000D_
[KEY_FIGURES].[].[ZFORECASTOPENOUTPUT]_x000D_
[LOCID].[].[0001004610]_x000D_
[PRDID].[].[20000884]_x000D_
[KEY_FIGURES].[].[ZACTUALSALES]_x000D_
[LOCID].[].[0001004610]_x000D_
[PRDID].[].[20000884]_x000D_
[KEY_FIGURES].[].[ZCONSENSUSDEMAND]_x000D_
[LOCID].[].[0001004610]_x000D_
[PRDID].[].[20000884]_x000D_
[KEY_FIGURES].[].[INDEPENDENTDEMAND]_x000D_
[LOCID].[].[0001004610]_x000D_
[PRDID].[].[20000885]_x000D_
[KEY_FIGURES].[].[ZCONSENSUSDEMANDQTY]_x000D_
[LOCID].[].[0001004610]_x000D_
[PRDID].[].[20000885]_x000D_
[KEY_FIGURES].[].[ZINPUTSOFC]_x000D_
[LOCID].[].[0001004610]_x000D_
[PRDID].[].[20000885]_x000D_
[KEY_FIGURES].[].[ZFORECASTOPENOUTPUT]_x000D_
[LOCID].[].[0001004610]_x000D_
[PRDID].[].[20000885]_x000D_
[KEY_FIGURES].[].[ZACTUALSALES]_x000D_
[LOCID].[].[0001004610]_x000D_
[PRDID].[].[20000885]_x000D_
[KEY_FIGURES].[].[ZCONSENSUSDEMAND]_x000D_
[LOCID].[].[0001004610]_x000D_
[PRDID].[].[20000885]_x000D_
[KEY_FIGURES].[].[INDEPENDENTDEMAND]_x000D_
[LOCID].[].[0001004610]_x000D_
[PRDID].[].[20000886]_x000D_
[KEY_FIGURES].[].[ZCONSENSUSDEMANDQTY]_x000D_
[LOCID].[].[0001004610]_x000D_
[PRDID].[].[20000886]_x000D_
[KEY_FIGURES].[].[ZINPUTSOFC]_x000D_
[LOCID].[].[0001004610]_x000D_
[PRDID].[].[20000886]_x000D_
[KEY_FIGURES].[].[ZFORECASTOPENOUTPUT]_x000D_
[LOCID].[].[0001004610]_x000D_
[PRDID].[].[20000886]_x000D_
[KEY_FIGURES].[].[ZACTUALSALES]_x000D_
[LOCID].[].[0001004610]_x000D_
[PRDID].[].[20000886]_x000D_
[KEY_FIGURES].[].[ZCONSENSUSDEMAND]_x000D_
[LOCID].[].[0001004610]_x000D_
[PRDID].[].[20000886]_x000D_
[KEY_FIGURES].[].[INDEPENDENTDEMAND]_x000D_
[LOCID].[].[0001004610]_x000D_
[PRDID].[].[20000887]_x000D_
[KEY_FIGURES].[].[ZCONSENSUSDEMANDQTY]_x000D_
[LOCID].[].[0001004610]_x000D_
[PRDID].[].[20000887]_x000D_
[KEY_FIGURES].[].[ZINPUTSOFC]_x000D_
[LOCID].[].[0001004610]_x000D_
[PRDID].[].[20000887]_x000D_
[KEY_FIGURES].[].[ZFORECASTOPENOUTPUT]_x000D_
[LOCID].[].[0001004610]_x000D_
[PRDID].[].[20000887]_x000D_
[KEY_FIGURES].[].[ZACTUALSALES]_x000D_
[LOCID].[].[0001004610]_x000D_
[PRDID].[].[20000887]_x000D_
[KEY_FIGURES].[].[ZCONSENSUSDEMAND]_x000D_
[LOCID].[].[0001004610]_x000D_
[PRDID].[].[20000887]_x000D_
[KEY_FIGURES].[].[INDEPENDENTDEMAND]_x000D_
[LOCID].[].[0001004610]_x000D_
[PRDID].[].[20000888]_x000D_
[KEY_FIGURES].[].[ZCONSENSUSDEMANDQTY]_x000D_
[LOCID].[].[0001004610]_x000D_
[PRDID].[].[20000888]_x000D_
[KEY_FIGURES].[].[ZINPUTSOFC]_x000D_
[LOCID].[].[0001004610]_x000D_
[PRDID].[].[20000888]_x000D_
[KEY_FIGURES].[].[ZFORECASTOPENOUTPUT]_x000D_
[LOCID].[].[0001004610]_x000D_
[PRDID].[].[20000888]_x000D_
[KEY_FIGURES].[].[ZACTUALSALES]_x000D_
[LOCID].[].[0001004610]_x000D_
[PRDID].[].[20000888]_x000D_
[KEY_FIGURES].[].[ZCONSENSUSDEMAND]_x000D_
[LOCID].[].[0001004610]_x000D_
[PRDID].[].[20000888]_x000D_
[KEY_FIGURES].[].[INDEPENDENTDEMAND]_x000D_
[LOCID].[].[0001004610]_x000D_
[PRDID].[].[20000893]_x000D_
[KEY_FIGURES].[].[ZCONSENSUSDEMANDQTY]_x000D_
[LOCID].[].[0001004610]_x000D_
[PRDID].[].[20000893]_x000D_
[KEY_FIGURES].[].[ZINPUTSOFC]_x000D_
[LOCID].[].[0001004610]_x000D_
[PRDID].[].[20000893]_x000D_
[KEY_FIGURES].[].[ZFORECASTOPENOUTPUT]_x000D_
[LOCID].[].[0001004610]_x000D_
[PRDID].[].[20000893]_x000D_
[KEY_FIGURES].[].[ZACTUALSALES]_x000D_
[LOCID].[].[0001004610]_x000D_
[PRDID].[].[20000893]_x000D_
[KEY_FIGURES].[].[ZCONSENSUSDEMAND]_x000D_
[LOCID].[].[0001004610]_x000D_
[PRDID].[].[20000893]_x000D_
[KEY_FIGURES].[].[INDEPENDENTDEMAND]_x000D_
[LOCID].[].[0001004610]_x000D_
[PRDID].[].[20000921]_x000D_
[KEY_FIGURES].[].[ZCONSENSUSDEMANDQTY]_x000D_
[LOCID].[].[0001004610]_x000D_
[PRDID].[].[20000921]_x000D_
[KEY_FIGURES].[].[ZINPUTSOFC]_x000D_
[LOCID].[].[0001004610]_x000D_
[PRDID].[].[20000921]_x000D_
[KEY_FIGURES].[].[ZFORECASTOPENOUTPUT]_x000D_
[LOCID].[].[0001004610]_x000D_
[PRDID].[].[20000921]_x000D_
[KEY_FIGURES].[].[ZACTUALSALES]_x000D_
[LOCID].[].[0001004610]_x000D_
[PRDID].[].[20000921]_x000D_
[KEY_FIGURES].[].[ZCONSENSUSDEMAND]_x000D_
[LOCID].[].[0001004610]_x000D_
[PRDID].[].[20000921]_x000D_
[KEY_FIGURES].[].[INDEPENDENTDEMAND]_x000D_
[LOCID].[].[0001004610]_x000D_
[PRDID].[].[20000922]_x000D_
[KEY_FIGURES].[].[ZCONSENSUSDEMANDQTY]_x000D_
[LOCID].[].[0001004610]_x000D_
[PRDID].[].[20000922]_x000D_
[KEY_FIGURES].[].[ZINPUTSOFC]_x000D_
[LOCID].[].[0001004610]_x000D_
[PRDID].[].[20000922]_x000D_
[KEY_FIGURES].[].[ZFORECASTOPENOUTPUT]_x000D_
[LOCID].[].[0001004610]_x000D_
[PRDID].[].[20000922]_x000D_
[KEY_FIGURES].[].[ZACTUALSALES]_x000D_
[LOCID].[].[0001004610]_x000D_
[PRDID].[].[20000922]_x000D_
[KEY_FIGURES].[].[ZCONSENSUSDEMAND]_x000D_
[LOCID].[].[0001004610]_x000D_
[PRDID].[].[20000922]_x000D_
[KEY_FIGURES].[].[INDEPENDENTDEMAND]_x000D_
[LOCID].[].[0001004610]_x000D_
[PRDID].[].[20000923]_x000D_
[KEY_FIGURES].[].[ZCONSENSUSDEMANDQTY]_x000D_
[LOCID].[].[0001004610]_x000D_
[PRDID].[].[20000923]_x000D_
[KEY_FIGURES].[].[ZINPUTSOFC]_x000D_
[LOCID].[].[0001004610]_x000D_
[PRDID].[].[20000923]_x000D_
[KEY_FIGURES].[].[ZFORECASTOPENOUTPUT]_x000D_
[LOCID].[].[0001004610]_x000D_
[PRDID].[].[20000923]_x000D_
[KEY_FIGURES].[].[ZACTUALSALES]_x000D_
[LOCID].[].[0001004610]_x000D_
[PRDID].[].[20000923]_x000D_
[KEY_FIGURES].[].[ZCONSENSUSDEMAND]_x000D_
[LOCID].[].[0001004610]_x000D_
[PRDID].[].[20000923]_x000D_
[KEY_FIGURES].[].[INDEPENDENTDEMAND]_x000D_
[LOCID].[].[0001004610]_x000D_
[PRDID].[].[20000924]_x000D_
[KEY_FIGURES].[].[ZCONSENSUSDEMANDQTY]_x000D_
[LOCID].[].[0001004610]_x000D_
[PRDID].[].[20000924]_x000D_
[KEY_FIGURES].[].[ZINPUTSOFC]_x000D_
[LOCID].[].[0001004610]_x000D_
[PRDID].[].[20000924]_x000D_
[KEY_FIGURES].[].[ZFORECASTOPENOUTPUT]_x000D_
[LOCID].[].[0001004610]_x000D_
[PRDID].[].[20000924]_x000D_
[KEY_FIGURES].[].[ZACTUALSALES]_x000D_
[LOCID].[].[0001004610]_x000D_
[PRDID].[].[20000924]_x000D_
[KEY_FIGURES].[].[ZCONSENSUSDEMAND]_x000D_
[LOCID].[].[0001004610]_x000D_
[PRDID].[].[20000924]_x000D_
[KEY_FIGURES].[].[INDEPENDENTDEMAND]_x000D_
[LOCID].[].[0001004610]_x000D_
[PRDID].[].[20000925]_x000D_
[KEY_FIGURES].[].[ZCONSENSUSDEMANDQTY]_x000D_
[LOCID].[].[0001004610]_x000D_
[PRDID].[].[20000925]_x000D_
[KEY_FIGURES].[].[ZINPUTSOFC]_x000D_
[LOCID].[].[0001004610]_x000D_
[PRDID].[].[20000925]_x000D_
[KEY_FIGURES].[].[ZFORECASTOPENOUTPUT]_x000D_
[LOCID].[].[0001004610]_x000D_
[PRDID].[].[20000925]_x000D_
[KEY_FIGURES].[].[ZACTUALSALES]_x000D_
[LOCID].[].[0001004610]_x000D_
[PRDID].[].[20000925]_x000D_
[KEY_FIGURES].[].[ZCONSENSUSDEMAND]_x000D_
[LOCID].[].[0001004610]_x000D_
[PRDID].[].[20000925]_x000D_
[KEY_FIGURES].[].[INDEPENDENTDEMAND]_x000D_
[LOCID].[].[0001004610]_x000D_
[PRDID].[].[20000930]_x000D_
[KEY_FIGURES].[].[ZCONSENSUSDEMANDQTY]_x000D_
[LOCID].[].[0001004610]_x000D_
[PRDID].[].[20000930]_x000D_
[KEY_FIGURES].[].[ZINPUTSOFC]</t>
  </si>
  <si>
    <t>[LOCID].[].[0001004610]_x000D_
[PRDID].[].[20000930]_x000D_
[KEY_FIGURES].[].[ZFORECASTOPENOUTPUT]_x000D_
[LOCID].[].[0001004610]_x000D_
[PRDID].[].[20000930]_x000D_
[KEY_FIGURES].[].[ZACTUALSALES]_x000D_
[LOCID].[].[0001004610]_x000D_
[PRDID].[].[20000930]_x000D_
[KEY_FIGURES].[].[ZCONSENSUSDEMAND]_x000D_
[LOCID].[].[0001004610]_x000D_
[PRDID].[].[20000930]_x000D_
[KEY_FIGURES].[].[INDEPENDENTDEMAND]_x000D_
[LOCID].[].[0001004610]_x000D_
[PRDID].[].[20000944]_x000D_
[KEY_FIGURES].[].[ZCONSENSUSDEMANDQTY]_x000D_
[LOCID].[].[0001004610]_x000D_
[PRDID].[].[20000944]_x000D_
[KEY_FIGURES].[].[ZINPUTSOFC]_x000D_
[LOCID].[].[0001004610]_x000D_
[PRDID].[].[20000944]_x000D_
[KEY_FIGURES].[].[ZFORECASTOPENOUTPUT]_x000D_
[LOCID].[].[0001004610]_x000D_
[PRDID].[].[20000944]_x000D_
[KEY_FIGURES].[].[ZACTUALSALES]_x000D_
[LOCID].[].[0001004610]_x000D_
[PRDID].[].[20000944]_x000D_
[KEY_FIGURES].[].[ZCONSENSUSDEMAND]_x000D_
[LOCID].[].[0001004610]_x000D_
[PRDID].[].[20000944]_x000D_
[KEY_FIGURES].[].[INDEPENDENTDEMAND]_x000D_
[LOCID].[].[0001004610]_x000D_
[PRDID].[].[20000945]_x000D_
[KEY_FIGURES].[].[ZCONSENSUSDEMANDQTY]_x000D_
[LOCID].[].[0001004610]_x000D_
[PRDID].[].[20000945]_x000D_
[KEY_FIGURES].[].[ZINPUTSOFC]_x000D_
[LOCID].[].[0001004610]_x000D_
[PRDID].[].[20000945]_x000D_
[KEY_FIGURES].[].[ZFORECASTOPENOUTPUT]_x000D_
[LOCID].[].[0001004610]_x000D_
[PRDID].[].[20000945]_x000D_
[KEY_FIGURES].[].[ZACTUALSALES]_x000D_
[LOCID].[].[0001004610]_x000D_
[PRDID].[].[20000945]_x000D_
[KEY_FIGURES].[].[ZCONSENSUSDEMAND]_x000D_
[LOCID].[].[0001004610]_x000D_
[PRDID].[].[20000945]_x000D_
[KEY_FIGURES].[].[INDEPENDENTDEMAND]_x000D_
[LOCID].[].[0001004610]_x000D_
[PRDID].[].[20000946]_x000D_
[KEY_FIGURES].[].[ZCONSENSUSDEMANDQTY]_x000D_
[LOCID].[].[0001004610]_x000D_
[PRDID].[].[20000946]_x000D_
[KEY_FIGURES].[].[ZINPUTSOFC]_x000D_
[LOCID].[].[0001004610]_x000D_
[PRDID].[].[20000946]_x000D_
[KEY_FIGURES].[].[ZFORECASTOPENOUTPUT]_x000D_
[LOCID].[].[0001004610]_x000D_
[PRDID].[].[20000946]_x000D_
[KEY_FIGURES].[].[ZACTUALSALES]_x000D_
[LOCID].[].[0001004610]_x000D_
[PRDID].[].[20000946]_x000D_
[KEY_FIGURES].[].[ZCONSENSUSDEMAND]_x000D_
[LOCID].[].[0001004610]_x000D_
[PRDID].[].[20000946]_x000D_
[KEY_FIGURES].[].[INDEPENDENTDEMAND]_x000D_
[LOCID].[].[0001004620]_x000D_
[PRDID].[].[20001136]_x000D_
[KEY_FIGURES].[].[ZCONSENSUSDEMANDQTY]_x000D_
[LOCID].[].[0001004620]_x000D_
[PRDID].[].[20001136]_x000D_
[KEY_FIGURES].[].[ZINPUTSOFC]_x000D_
[LOCID].[].[0001004620]_x000D_
[PRDID].[].[20001136]_x000D_
[KEY_FIGURES].[].[ZFORECASTOPENOUTPUT]_x000D_
[LOCID].[].[0001004620]_x000D_
[PRDID].[].[20001136]_x000D_
[KEY_FIGURES].[].[ZACTUALSALES]_x000D_
[LOCID].[].[0001004620]_x000D_
[PRDID].[].[20001136]_x000D_
[KEY_FIGURES].[].[ZCONSENSUSDEMAND]_x000D_
[LOCID].[].[0001004620]_x000D_
[PRDID].[].[20001136]_x000D_
[KEY_FIGURES].[].[INDEPENDENTDEMAND]_x000D_
[LOCID].[].[0001004620]_x000D_
[PRDID].[].[20001137]_x000D_
[KEY_FIGURES].[].[ZCONSENSUSDEMANDQTY]_x000D_
[LOCID].[].[0001004620]_x000D_
[PRDID].[].[20001137]_x000D_
[KEY_FIGURES].[].[ZINPUTSOFC]_x000D_
[LOCID].[].[0001004620]_x000D_
[PRDID].[].[20001137]_x000D_
[KEY_FIGURES].[].[ZFORECASTOPENOUTPUT]_x000D_
[LOCID].[].[0001004620]_x000D_
[PRDID].[].[20001137]_x000D_
[KEY_FIGURES].[].[ZACTUALSALES]_x000D_
[LOCID].[].[0001004620]_x000D_
[PRDID].[].[20001137]_x000D_
[KEY_FIGURES].[].[ZCONSENSUSDEMAND]_x000D_
[LOCID].[].[0001004620]_x000D_
[PRDID].[].[20001137]_x000D_
[KEY_FIGURES].[].[INDEPENDENTDEMAND]_x000D_
[LOCID].[].[0001004620]_x000D_
[PRDID].[].[20001138]_x000D_
[KEY_FIGURES].[].[ZCONSENSUSDEMANDQTY]_x000D_
[LOCID].[].[0001004620]_x000D_
[PRDID].[].[20001138]_x000D_
[KEY_FIGURES].[].[ZINPUTSOFC]_x000D_
[LOCID].[].[0001004620]_x000D_
[PRDID].[].[20001138]_x000D_
[KEY_FIGURES].[].[ZFORECASTOPENOUTPUT]_x000D_
[LOCID].[].[0001004620]_x000D_
[PRDID].[].[20001138]_x000D_
[KEY_FIGURES].[].[ZACTUALSALES]_x000D_
[LOCID].[].[0001004620]_x000D_
[PRDID].[].[20001138]_x000D_
[KEY_FIGURES].[].[ZCONSENSUSDEMAND]_x000D_
[LOCID].[].[0001004620]_x000D_
[PRDID].[].[20001138]_x000D_
[KEY_FIGURES].[].[INDEPENDENTDEMAND]_x000D_
[LOCID].[].[0001004620]_x000D_
[PRDID].[].[20001139]_x000D_
[KEY_FIGURES].[].[ZCONSENSUSDEMANDQTY]_x000D_
[LOCID].[].[0001004620]_x000D_
[PRDID].[].[20001139]_x000D_
[KEY_FIGURES].[].[ZINPUTSOFC]_x000D_
[LOCID].[].[0001004620]_x000D_
[PRDID].[].[20001139]_x000D_
[KEY_FIGURES].[].[ZFORECASTOPENOUTPUT]_x000D_
[LOCID].[].[0001004620]_x000D_
[PRDID].[].[20001139]_x000D_
[KEY_FIGURES].[].[ZACTUALSALES]_x000D_
[LOCID].[].[0001004620]_x000D_
[PRDID].[].[20001139]_x000D_
[KEY_FIGURES].[].[ZCONSENSUSDEMAND]_x000D_
[LOCID].[].[0001004620]_x000D_
[PRDID].[].[20001139]_x000D_
[KEY_FIGURES].[].[INDEPENDENTDEMAND]_x000D_
[LOCID].[].[0001004620]_x000D_
[PRDID].[].[20001140]_x000D_
[KEY_FIGURES].[].[ZCONSENSUSDEMANDQTY]_x000D_
[LOCID].[].[0001004620]_x000D_
[PRDID].[].[20001140]_x000D_
[KEY_FIGURES].[].[ZINPUTSOFC]_x000D_
[LOCID].[].[0001004620]_x000D_
[PRDID].[].[20001140]_x000D_
[KEY_FIGURES].[].[ZFORECASTOPENOUTPUT]_x000D_
[LOCID].[].[0001004620]_x000D_
[PRDID].[].[20001140]_x000D_
[KEY_FIGURES].[].[ZACTUALSALES]_x000D_
[LOCID].[].[0001004620]_x000D_
[PRDID].[].[20001140]_x000D_
[KEY_FIGURES].[].[ZCONSENSUSDEMAND]_x000D_
[LOCID].[].[0001004620]_x000D_
[PRDID].[].[20001140]_x000D_
[KEY_FIGURES].[].[INDEPENDENTDEMAND]_x000D_
[LOCID].[].[0001004620]_x000D_
[PRDID].[].[20001141]_x000D_
[KEY_FIGURES].[].[ZCONSENSUSDEMANDQTY]_x000D_
[LOCID].[].[0001004620]_x000D_
[PRDID].[].[20001141]_x000D_
[KEY_FIGURES].[].[ZINPUTSOFC]_x000D_
[LOCID].[].[0001004620]_x000D_
[PRDID].[].[20001141]_x000D_
[KEY_FIGURES].[].[ZFORECASTOPENOUTPUT]_x000D_
[LOCID].[].[0001004620]_x000D_
[PRDID].[].[20001141]_x000D_
[KEY_FIGURES].[].[ZACTUALSALES]_x000D_
[LOCID].[].[0001004620]_x000D_
[PRDID].[].[20001141]_x000D_
[KEY_FIGURES].[].[ZCONSENSUSDEMAND]_x000D_
[LOCID].[].[0001004620]_x000D_
[PRDID].[].[20001141]_x000D_
[KEY_FIGURES].[].[INDEPENDENTDEMAND]_x000D_
[LOCID].[].[0001004620]_x000D_
[PRDID].[].[20001143]_x000D_
[KEY_FIGURES].[].[ZCONSENSUSDEMANDQTY]_x000D_
[LOCID].[].[0001004620]_x000D_
[PRDID].[].[20001143]_x000D_
[KEY_FIGURES].[].[ZINPUTSOFC]_x000D_
[LOCID].[].[0001004620]_x000D_
[PRDID].[].[20001143]_x000D_
[KEY_FIGURES].[].[ZFORECASTOPENOUTPUT]_x000D_
[LOCID].[].[0001004620]_x000D_
[PRDID].[].[20001143]_x000D_
[KEY_FIGURES].[].[ZACTUALSALES]_x000D_
[LOCID].[].[0001004620]_x000D_
[PRDID].[].[20001143]_x000D_
[KEY_FIGURES].[].[ZCONSENSUSDEMAND]_x000D_
[LOCID].[].[0001004620]_x000D_
[PRDID].[].[20001143]_x000D_
[KEY_FIGURES].[].[INDEPENDENTDEMAND]_x000D_
[LOCID].[].[0001004620]_x000D_
[PRDID].[].[20001145]_x000D_
[KEY_FIGURES].[].[ZCONSENSUSDEMANDQTY]_x000D_
[LOCID].[].[0001004620]_x000D_
[PRDID].[].[20001145]_x000D_
[KEY_FIGURES].[].[ZINPUTSOFC]_x000D_
[LOCID].[].[0001004620]_x000D_
[PRDID].[].[20001145]</t>
  </si>
  <si>
    <t>[KEY_FIGURES].[].[ZFORECASTOPENOUTPUT]_x000D_
[LOCID].[].[0001004620]_x000D_
[PRDID].[].[20001145]_x000D_
[KEY_FIGURES].[].[ZACTUALSALES]_x000D_
[LOCID].[].[0001004620]_x000D_
[PRDID].[].[20001145]_x000D_
[KEY_FIGURES].[].[ZCONSENSUSDEMAND]_x000D_
[LOCID].[].[0001004620]_x000D_
[PRDID].[].[20001145]_x000D_
[KEY_FIGURES].[].[INDEPENDENTDEMAND]_x000D_
[LOCID].[].[0001004620]_x000D_
[PRDID].[].[20001146]_x000D_
[KEY_FIGURES].[].[ZCONSENSUSDEMANDQTY]_x000D_
[LOCID].[].[0001004620]_x000D_
[PRDID].[].[20001146]_x000D_
[KEY_FIGURES].[].[ZINPUTSOFC]_x000D_
[LOCID].[].[0001004620]_x000D_
[PRDID].[].[20001146]_x000D_
[KEY_FIGURES].[].[ZFORECASTOPENOUTPUT]_x000D_
[LOCID].[].[0001004620]_x000D_
[PRDID].[].[20001146]_x000D_
[KEY_FIGURES].[].[ZACTUALSALES]_x000D_
[LOCID].[].[0001004620]_x000D_
[PRDID].[].[20001146]_x000D_
[KEY_FIGURES].[].[ZCONSENSUSDEMAND]_x000D_
[LOCID].[].[0001004620]_x000D_
[PRDID].[].[20001146]_x000D_
[KEY_FIGURES].[].[INDEPENDENTDEMAND]_x000D_
[LOCID].[].[0001004620]_x000D_
[PRDID].[].[20001147]_x000D_
[KEY_FIGURES].[].[ZCONSENSUSDEMANDQTY]_x000D_
[LOCID].[].[0001004620]_x000D_
[PRDID].[].[20001147]_x000D_
[KEY_FIGURES].[].[ZINPUTSOFC]_x000D_
[LOCID].[].[0001004620]_x000D_
[PRDID].[].[20001147]_x000D_
[KEY_FIGURES].[].[ZFORECASTOPENOUTPUT]_x000D_
[LOCID].[].[0001004620]_x000D_
[PRDID].[].[20001147]_x000D_
[KEY_FIGURES].[].[ZACTUALSALES]_x000D_
[LOCID].[].[0001004620]_x000D_
[PRDID].[].[20001147]_x000D_
[KEY_FIGURES].[].[ZCONSENSUSDEMAND]_x000D_
[LOCID].[].[0001004620]_x000D_
[PRDID].[].[20001147]_x000D_
[KEY_FIGURES].[].[INDEPENDENTDEMAND]_x000D_
[LOCID].[].[0001004620]_x000D_
[PRDID].[].[20001148]_x000D_
[KEY_FIGURES].[].[ZCONSENSUSDEMANDQTY]_x000D_
[LOCID].[].[0001004620]_x000D_
[PRDID].[].[20001148]_x000D_
[KEY_FIGURES].[].[ZINPUTSOFC]_x000D_
[LOCID].[].[0001004620]_x000D_
[PRDID].[].[20001148]_x000D_
[KEY_FIGURES].[].[ZFORECASTOPENOUTPUT]_x000D_
[LOCID].[].[0001004620]_x000D_
[PRDID].[].[20001148]_x000D_
[KEY_FIGURES].[].[ZACTUALSALES]_x000D_
[LOCID].[].[0001004620]_x000D_
[PRDID].[].[20001148]_x000D_
[KEY_FIGURES].[].[ZCONSENSUSDEMAND]_x000D_
[LOCID].[].[0001004620]_x000D_
[PRDID].[].[20001148]_x000D_
[KEY_FIGURES].[].[INDEPENDENTDEMAND]_x000D_
[LOCID].[].[0001004620]_x000D_
[PRDID].[].[20001149]_x000D_
[KEY_FIGURES].[].[ZCONSENSUSDEMANDQTY]_x000D_
[LOCID].[].[0001004620]_x000D_
[PRDID].[].[20001149]_x000D_
[KEY_FIGURES].[].[ZINPUTSOFC]_x000D_
[LOCID].[].[0001004620]_x000D_
[PRDID].[].[20001149]_x000D_
[KEY_FIGURES].[].[ZFORECASTOPENOUTPUT]_x000D_
[LOCID].[].[0001004620]_x000D_
[PRDID].[].[20001149]_x000D_
[KEY_FIGURES].[].[ZACTUALSALES]_x000D_
[LOCID].[].[0001004620]_x000D_
[PRDID].[].[20001149]_x000D_
[KEY_FIGURES].[].[ZCONSENSUSDEMAND]_x000D_
[LOCID].[].[0001004620]_x000D_
[PRDID].[].[20001149]_x000D_
[KEY_FIGURES].[].[INDEPENDENTDEMAND]_x000D_
[LOCID].[].[0001004620]_x000D_
[PRDID].[].[20001150]_x000D_
[KEY_FIGURES].[].[ZCONSENSUSDEMANDQTY]_x000D_
[LOCID].[].[0001004620]_x000D_
[PRDID].[].[20001150]_x000D_
[KEY_FIGURES].[].[ZINPUTSOFC]_x000D_
[LOCID].[].[0001004620]_x000D_
[PRDID].[].[20001150]_x000D_
[KEY_FIGURES].[].[ZFORECASTOPENOUTPUT]_x000D_
[LOCID].[].[0001004620]_x000D_
[PRDID].[].[20001150]_x000D_
[KEY_FIGURES].[].[ZACTUALSALES]_x000D_
[LOCID].[].[0001004620]_x000D_
[PRDID].[].[20001150]_x000D_
[KEY_FIGURES].[].[ZCONSENSUSDEMAND]_x000D_
[LOCID].[].[0001004620]_x000D_
[PRDID].[].[20001150]_x000D_
[KEY_FIGURES].[].[INDEPENDENTDEMAND]_x000D_
[LOCID].[].[0001004620]_x000D_
[PRDID].[].[20001172]_x000D_
[KEY_FIGURES].[].[ZCONSENSUSDEMANDQTY]_x000D_
[LOCID].[].[0001004620]_x000D_
[PRDID].[].[20001172]_x000D_
[KEY_FIGURES].[].[ZINPUTSOFC]_x000D_
[LOCID].[].[0001004620]_x000D_
[PRDID].[].[20001172]_x000D_
[KEY_FIGURES].[].[ZFORECASTOPENOUTPUT]_x000D_
[LOCID].[].[0001004620]_x000D_
[PRDID].[].[20001172]_x000D_
[KEY_FIGURES].[].[ZACTUALSALES]_x000D_
[LOCID].[].[0001004620]_x000D_
[PRDID].[].[20001172]_x000D_
[KEY_FIGURES].[].[ZCONSENSUSDEMAND]_x000D_
[LOCID].[].[0001004620]_x000D_
[PRDID].[].[20001172]_x000D_
[KEY_FIGURES].[].[INDEPENDENTDEMAND]_x000D_
[LOCID].[].[0001004620]_x000D_
[PRDID].[].[20001173]_x000D_
[KEY_FIGURES].[].[ZCONSENSUSDEMANDQTY]_x000D_
[LOCID].[].[0001004620]_x000D_
[PRDID].[].[20001173]_x000D_
[KEY_FIGURES].[].[ZINPUTSOFC]_x000D_
[LOCID].[].[0001004620]_x000D_
[PRDID].[].[20001173]_x000D_
[KEY_FIGURES].[].[ZFORECASTOPENOUTPUT]_x000D_
[LOCID].[].[0001004620]_x000D_
[PRDID].[].[20001173]_x000D_
[KEY_FIGURES].[].[ZACTUALSALES]_x000D_
[LOCID].[].[0001004620]_x000D_
[PRDID].[].[20001173]_x000D_
[KEY_FIGURES].[].[ZCONSENSUSDEMAND]_x000D_
[LOCID].[].[0001004620]_x000D_
[PRDID].[].[20001173]_x000D_
[KEY_FIGURES].[].[INDEPENDENTDEMAND]_x000D_
[LOCID].[].[0001004628]_x000D_
[PRDID].[].[20000012]_x000D_
[KEY_FIGURES].[].[ZCONSENSUSDEMANDQTY]_x000D_
[LOCID].[].[0001004628]_x000D_
[PRDID].[].[20000012]_x000D_
[KEY_FIGURES].[].[ZINPUTSOFC]_x000D_
[LOCID].[].[0001004628]_x000D_
[PRDID].[].[20000012]_x000D_
[KEY_FIGURES].[].[ZFORECASTOPENOUTPUT]_x000D_
[LOCID].[].[0001004628]_x000D_
[PRDID].[].[20000012]_x000D_
[KEY_FIGURES].[].[ZACTUALSALES]_x000D_
[LOCID].[].[0001004628]_x000D_
[PRDID].[].[20000012]_x000D_
[KEY_FIGURES].[].[ZCONSENSUSDEMAND]_x000D_
[LOCID].[].[0001004628]_x000D_
[PRDID].[].[20000012]_x000D_
[KEY_FIGURES].[].[INDEPENDENTDEMAND]_x000D_
[LOCID].[].[0001004631]_x000D_
[PRDID].[].[20000018]_x000D_
[KEY_FIGURES].[].[ZCONSENSUSDEMANDQTY]_x000D_
[LOCID].[].[0001004631]_x000D_
[PRDID].[].[20000018]_x000D_
[KEY_FIGURES].[].[ZINPUTSOFC]_x000D_
[LOCID].[].[0001004631]_x000D_
[PRDID].[].[20000018]_x000D_
[KEY_FIGURES].[].[ZFORECASTOPENOUTPUT]_x000D_
[LOCID].[].[0001004631]_x000D_
[PRDID].[].[20000018]_x000D_
[KEY_FIGURES].[].[ZACTUALSALES]_x000D_
[LOCID].[].[0001004631]_x000D_
[PRDID].[].[20000018]_x000D_
[KEY_FIGURES].[].[ZCONSENSUSDEMAND]_x000D_
[LOCID].[].[0001004631]_x000D_
[PRDID].[].[20000018]_x000D_
[KEY_FIGURES].[].[INDEPENDENTDEMAND]_x000D_
[LOCID].[].[0001004631]_x000D_
[PRDID].[].[20000130]_x000D_
[KEY_FIGURES].[].[ZCONSENSUSDEMANDQTY]_x000D_
[LOCID].[].[0001004631]_x000D_
[PRDID].[].[20000130]_x000D_
[KEY_FIGURES].[].[ZINPUTSOFC]_x000D_
[LOCID].[].[0001004631]_x000D_
[PRDID].[].[20000130]_x000D_
[KEY_FIGURES].[].[ZFORECASTOPENOUTPUT]_x000D_
[LOCID].[].[0001004631]_x000D_
[PRDID].[].[20000130]_x000D_
[KEY_FIGURES].[].[ZACTUALSALES]_x000D_
[LOCID].[].[0001004631]_x000D_
[PRDID].[].[20000130]_x000D_
[KEY_FIGURES].[].[ZCONSENSUSDEMAND]_x000D_
[LOCID].[].[0001004631]_x000D_
[PRDID].[].[20000130]_x000D_
[KEY_FIGURES].[].[INDEPENDENTDEMAND]_x000D_
[LOCID].[].[0001004631]_x000D_
[PRDID].[].[20000131]_x000D_
[KEY_FIGURES].[].[ZCONSENSUSDEMANDQTY]_x000D_
[LOCID].[].[0001004631]_x000D_
[PRDID].[].[20000131]_x000D_
[KEY_FIGURES].[].[ZINPUTSOFC]_x000D_
[LOCID].[].[0001004631]_x000D_
[PRDID].[].[20000131]_x000D_
[KEY_FIGURES].[].[ZFORECASTOPENOUTPUT]_x000D_
[LOCID].[].[0001004631]</t>
  </si>
  <si>
    <t>[PRDID].[].[20000131]_x000D_
[KEY_FIGURES].[].[ZACTUALSALES]_x000D_
[LOCID].[].[0001004631]_x000D_
[PRDID].[].[20000131]_x000D_
[KEY_FIGURES].[].[ZCONSENSUSDEMAND]_x000D_
[LOCID].[].[0001004631]_x000D_
[PRDID].[].[20000131]_x000D_
[KEY_FIGURES].[].[INDEPENDENTDEMAND]_x000D_
[LOCID].[].[0001004631]_x000D_
[PRDID].[].[20000268]_x000D_
[KEY_FIGURES].[].[ZCONSENSUSDEMANDQTY]_x000D_
[LOCID].[].[0001004631]_x000D_
[PRDID].[].[20000268]_x000D_
[KEY_FIGURES].[].[ZINPUTSOFC]_x000D_
[LOCID].[].[0001004631]_x000D_
[PRDID].[].[20000268]_x000D_
[KEY_FIGURES].[].[ZFORECASTOPENOUTPUT]_x000D_
[LOCID].[].[0001004631]_x000D_
[PRDID].[].[20000268]_x000D_
[KEY_FIGURES].[].[ZACTUALSALES]_x000D_
[LOCID].[].[0001004631]_x000D_
[PRDID].[].[20000268]_x000D_
[KEY_FIGURES].[].[ZCONSENSUSDEMAND]_x000D_
[LOCID].[].[0001004631]_x000D_
[PRDID].[].[20000268]_x000D_
[KEY_FIGURES].[].[INDEPENDENTDEMAND]_x000D_
[LOCID].[].[0001004631]_x000D_
[PRDID].[].[20000269]_x000D_
[KEY_FIGURES].[].[ZCONSENSUSDEMANDQTY]_x000D_
[LOCID].[].[0001004631]_x000D_
[PRDID].[].[20000269]_x000D_
[KEY_FIGURES].[].[ZINPUTSOFC]_x000D_
[LOCID].[].[0001004631]_x000D_
[PRDID].[].[20000269]_x000D_
[KEY_FIGURES].[].[ZFORECASTOPENOUTPUT]_x000D_
[LOCID].[].[0001004631]_x000D_
[PRDID].[].[20000269]_x000D_
[KEY_FIGURES].[].[ZACTUALSALES]_x000D_
[LOCID].[].[0001004631]_x000D_
[PRDID].[].[20000269]_x000D_
[KEY_FIGURES].[].[ZCONSENSUSDEMAND]_x000D_
[LOCID].[].[0001004631]_x000D_
[PRDID].[].[20000269]_x000D_
[KEY_FIGURES].[].[INDEPENDENTDEMAND]_x000D_
[LOCID].[].[0001004631]_x000D_
[PRDID].[].[20000270]_x000D_
[KEY_FIGURES].[].[ZCONSENSUSDEMANDQTY]_x000D_
[LOCID].[].[0001004631]_x000D_
[PRDID].[].[20000270]_x000D_
[KEY_FIGURES].[].[ZINPUTSOFC]_x000D_
[LOCID].[].[0001004631]_x000D_
[PRDID].[].[20000270]_x000D_
[KEY_FIGURES].[].[ZFORECASTOPENOUTPUT]_x000D_
[LOCID].[].[0001004631]_x000D_
[PRDID].[].[20000270]_x000D_
[KEY_FIGURES].[].[ZACTUALSALES]_x000D_
[LOCID].[].[0001004631]_x000D_
[PRDID].[].[20000270]_x000D_
[KEY_FIGURES].[].[ZCONSENSUSDEMAND]_x000D_
[LOCID].[].[0001004631]_x000D_
[PRDID].[].[20000270]_x000D_
[KEY_FIGURES].[].[INDEPENDENTDEMAND]_x000D_
[LOCID].[].[0001004631]_x000D_
[PRDID].[].[20000272]_x000D_
[KEY_FIGURES].[].[ZCONSENSUSDEMANDQTY]_x000D_
[LOCID].[].[0001004631]_x000D_
[PRDID].[].[20000272]_x000D_
[KEY_FIGURES].[].[ZINPUTSOFC]_x000D_
[LOCID].[].[0001004631]_x000D_
[PRDID].[].[20000272]_x000D_
[KEY_FIGURES].[].[ZFORECASTOPENOUTPUT]_x000D_
[LOCID].[].[0001004631]_x000D_
[PRDID].[].[20000272]_x000D_
[KEY_FIGURES].[].[ZACTUALSALES]_x000D_
[LOCID].[].[0001004631]_x000D_
[PRDID].[].[20000272]_x000D_
[KEY_FIGURES].[].[ZCONSENSUSDEMAND]_x000D_
[LOCID].[].[0001004631]_x000D_
[PRDID].[].[20000272]_x000D_
[KEY_FIGURES].[].[INDEPENDENTDEMAND]_x000D_
[LOCID].[].[0001004631]_x000D_
[PRDID].[].[20000284]_x000D_
[KEY_FIGURES].[].[ZCONSENSUSDEMANDQTY]_x000D_
[LOCID].[].[0001004631]_x000D_
[PRDID].[].[20000284]_x000D_
[KEY_FIGURES].[].[ZINPUTSOFC]_x000D_
[LOCID].[].[0001004631]_x000D_
[PRDID].[].[20000284]_x000D_
[KEY_FIGURES].[].[ZFORECASTOPENOUTPUT]_x000D_
[LOCID].[].[0001004631]_x000D_
[PRDID].[].[20000284]_x000D_
[KEY_FIGURES].[].[ZACTUALSALES]_x000D_
[LOCID].[].[0001004631]_x000D_
[PRDID].[].[20000284]_x000D_
[KEY_FIGURES].[].[ZCONSENSUSDEMAND]_x000D_
[LOCID].[].[0001004631]_x000D_
[PRDID].[].[20000284]_x000D_
[KEY_FIGURES].[].[INDEPENDENTDEMAND]_x000D_
[LOCID].[].[0001004631]_x000D_
[PRDID].[].[20000285]_x000D_
[KEY_FIGURES].[].[ZCONSENSUSDEMANDQTY]_x000D_
[LOCID].[].[0001004631]_x000D_
[PRDID].[].[20000285]_x000D_
[KEY_FIGURES].[].[ZINPUTSOFC]_x000D_
[LOCID].[].[0001004631]_x000D_
[PRDID].[].[20000285]_x000D_
[KEY_FIGURES].[].[ZFORECASTOPENOUTPUT]_x000D_
[LOCID].[].[0001004631]_x000D_
[PRDID].[].[20000285]_x000D_
[KEY_FIGURES].[].[ZACTUALSALES]_x000D_
[LOCID].[].[0001004631]_x000D_
[PRDID].[].[20000285]_x000D_
[KEY_FIGURES].[].[ZCONSENSUSDEMAND]_x000D_
[LOCID].[].[0001004631]_x000D_
[PRDID].[].[20000285]_x000D_
[KEY_FIGURES].[].[INDEPENDENTDEMAND]_x000D_
[LOCID].[].[0001004631]_x000D_
[PRDID].[].[20000286]_x000D_
[KEY_FIGURES].[].[ZCONSENSUSDEMANDQTY]_x000D_
[LOCID].[].[0001004631]_x000D_
[PRDID].[].[20000286]_x000D_
[KEY_FIGURES].[].[ZINPUTSOFC]_x000D_
[LOCID].[].[0001004631]_x000D_
[PRDID].[].[20000286]_x000D_
[KEY_FIGURES].[].[ZFORECASTOPENOUTPUT]_x000D_
[LOCID].[].[0001004631]_x000D_
[PRDID].[].[20000286]_x000D_
[KEY_FIGURES].[].[ZACTUALSALES]_x000D_
[LOCID].[].[0001004631]_x000D_
[PRDID].[].[20000286]_x000D_
[KEY_FIGURES].[].[ZCONSENSUSDEMAND]_x000D_
[LOCID].[].[0001004631]_x000D_
[PRDID].[].[20000286]_x000D_
[KEY_FIGURES].[].[INDEPENDENTDEMAND]_x000D_
[LOCID].[].[0001004631]_x000D_
[PRDID].[].[20000366]_x000D_
[KEY_FIGURES].[].[ZCONSENSUSDEMANDQTY]_x000D_
[LOCID].[].[0001004631]_x000D_
[PRDID].[].[20000366]_x000D_
[KEY_FIGURES].[].[ZINPUTSOFC]_x000D_
[LOCID].[].[0001004631]_x000D_
[PRDID].[].[20000366]_x000D_
[KEY_FIGURES].[].[ZFORECASTOPENOUTPUT]_x000D_
[LOCID].[].[0001004631]_x000D_
[PRDID].[].[20000366]_x000D_
[KEY_FIGURES].[].[ZACTUALSALES]_x000D_
[LOCID].[].[0001004631]_x000D_
[PRDID].[].[20000366]_x000D_
[KEY_FIGURES].[].[ZCONSENSUSDEMAND]_x000D_
[LOCID].[].[0001004631]_x000D_
[PRDID].[].[20000366]_x000D_
[KEY_FIGURES].[].[INDEPENDENTDEMAND]_x000D_
[LOCID].[].[0001004631]_x000D_
[PRDID].[].[20000508]_x000D_
[KEY_FIGURES].[].[ZCONSENSUSDEMANDQTY]_x000D_
[LOCID].[].[0001004631]_x000D_
[PRDID].[].[20000508]_x000D_
[KEY_FIGURES].[].[ZINPUTSOFC]_x000D_
[LOCID].[].[0001004631]_x000D_
[PRDID].[].[20000508]_x000D_
[KEY_FIGURES].[].[ZFORECASTOPENOUTPUT]_x000D_
[LOCID].[].[0001004631]_x000D_
[PRDID].[].[20000508]_x000D_
[KEY_FIGURES].[].[ZACTUALSALES]_x000D_
[LOCID].[].[0001004631]_x000D_
[PRDID].[].[20000508]_x000D_
[KEY_FIGURES].[].[ZCONSENSUSDEMAND]_x000D_
[LOCID].[].[0001004631]_x000D_
[PRDID].[].[20000508]_x000D_
[KEY_FIGURES].[].[INDEPENDENTDEMAND]_x000D_
[LOCID].[].[0001004652]_x000D_
[PRDID].[].[20000186]_x000D_
[KEY_FIGURES].[].[ZCONSENSUSDEMANDQTY]_x000D_
[LOCID].[].[0001004652]_x000D_
[PRDID].[].[20000186]_x000D_
[KEY_FIGURES].[].[ZINPUTSOFC]_x000D_
[LOCID].[].[0001004652]_x000D_
[PRDID].[].[20000186]_x000D_
[KEY_FIGURES].[].[ZFORECASTOPENOUTPUT]_x000D_
[LOCID].[].[0001004652]_x000D_
[PRDID].[].[20000186]_x000D_
[KEY_FIGURES].[].[ZACTUALSALES]_x000D_
[LOCID].[].[0001004652]_x000D_
[PRDID].[].[20000186]_x000D_
[KEY_FIGURES].[].[ZCONSENSUSDEMAND]_x000D_
[LOCID].[].[0001004652]_x000D_
[PRDID].[].[20000186]_x000D_
[KEY_FIGURES].[].[INDEPENDENTDEMAND]_x000D_
[LOCID].[].[0001004652]_x000D_
[PRDID].[].[20000187]_x000D_
[KEY_FIGURES].[].[ZCONSENSUSDEMANDQTY]_x000D_
[LOCID].[].[0001004652]_x000D_
[PRDID].[].[20000187]_x000D_
[KEY_FIGURES].[].[ZINPUTSOFC]_x000D_
[LOCID].[].[0001004652]_x000D_
[PRDID].[].[20000187]_x000D_
[KEY_FIGURES].[].[ZFORECASTOPENOUTPUT]_x000D_
[LOCID].[].[0001004652]_x000D_
[PRDID].[].[20000187]_x000D_
[KEY_FIGURES].[].[ZACTUALSALES]</t>
  </si>
  <si>
    <t>[LOCID].[].[0001004652]_x000D_
[PRDID].[].[20000187]_x000D_
[KEY_FIGURES].[].[ZCONSENSUSDEMAND]_x000D_
[LOCID].[].[0001004652]_x000D_
[PRDID].[].[20000187]_x000D_
[KEY_FIGURES].[].[INDEPENDENTDEMAND]_x000D_
[LOCID].[].[0001004652]_x000D_
[PRDID].[].[20000188]_x000D_
[KEY_FIGURES].[].[ZCONSENSUSDEMANDQTY]_x000D_
[LOCID].[].[0001004652]_x000D_
[PRDID].[].[20000188]_x000D_
[KEY_FIGURES].[].[ZINPUTSOFC]_x000D_
[LOCID].[].[0001004652]_x000D_
[PRDID].[].[20000188]_x000D_
[KEY_FIGURES].[].[ZFORECASTOPENOUTPUT]_x000D_
[LOCID].[].[0001004652]_x000D_
[PRDID].[].[20000188]_x000D_
[KEY_FIGURES].[].[ZACTUALSALES]_x000D_
[LOCID].[].[0001004652]_x000D_
[PRDID].[].[20000188]_x000D_
[KEY_FIGURES].[].[ZCONSENSUSDEMAND]_x000D_
[LOCID].[].[0001004652]_x000D_
[PRDID].[].[20000188]_x000D_
[KEY_FIGURES].[].[INDEPENDENTDEMAND]_x000D_
[LOCID].[].[0001004652]_x000D_
[PRDID].[].[20000189]_x000D_
[KEY_FIGURES].[].[ZCONSENSUSDEMANDQTY]_x000D_
[LOCID].[].[0001004652]_x000D_
[PRDID].[].[20000189]_x000D_
[KEY_FIGURES].[].[ZINPUTSOFC]_x000D_
[LOCID].[].[0001004652]_x000D_
[PRDID].[].[20000189]_x000D_
[KEY_FIGURES].[].[ZFORECASTOPENOUTPUT]_x000D_
[LOCID].[].[0001004652]_x000D_
[PRDID].[].[20000189]_x000D_
[KEY_FIGURES].[].[ZACTUALSALES]_x000D_
[LOCID].[].[0001004652]_x000D_
[PRDID].[].[20000189]_x000D_
[KEY_FIGURES].[].[ZCONSENSUSDEMAND]_x000D_
[LOCID].[].[0001004652]_x000D_
[PRDID].[].[20000189]_x000D_
[KEY_FIGURES].[].[INDEPENDENTDEMAND]_x000D_
[LOCID].[].[0001004652]_x000D_
[PRDID].[].[20000261]_x000D_
[KEY_FIGURES].[].[ZCONSENSUSDEMANDQTY]_x000D_
[LOCID].[].[0001004652]_x000D_
[PRDID].[].[20000261]_x000D_
[KEY_FIGURES].[].[ZINPUTSOFC]_x000D_
[LOCID].[].[0001004652]_x000D_
[PRDID].[].[20000261]_x000D_
[KEY_FIGURES].[].[ZFORECASTOPENOUTPUT]_x000D_
[LOCID].[].[0001004652]_x000D_
[PRDID].[].[20000261]_x000D_
[KEY_FIGURES].[].[ZACTUALSALES]_x000D_
[LOCID].[].[0001004652]_x000D_
[PRDID].[].[20000261]_x000D_
[KEY_FIGURES].[].[ZCONSENSUSDEMAND]_x000D_
[LOCID].[].[0001004652]_x000D_
[PRDID].[].[20000261]_x000D_
[KEY_FIGURES].[].[INDEPENDENTDEMAND]_x000D_
[LOCID].[].[0001004654]_x000D_
[PRDID].[].[20000200]_x000D_
[KEY_FIGURES].[].[ZCONSENSUSDEMANDQTY]_x000D_
[LOCID].[].[0001004654]_x000D_
[PRDID].[].[20000200]_x000D_
[KEY_FIGURES].[].[ZINPUTSOFC]_x000D_
[LOCID].[].[0001004654]_x000D_
[PRDID].[].[20000200]_x000D_
[KEY_FIGURES].[].[ZFORECASTOPENOUTPUT]_x000D_
[LOCID].[].[0001004654]_x000D_
[PRDID].[].[20000200]_x000D_
[KEY_FIGURES].[].[ZACTUALSALES]_x000D_
[LOCID].[].[0001004654]_x000D_
[PRDID].[].[20000200]_x000D_
[KEY_FIGURES].[].[ZCONSENSUSDEMAND]_x000D_
[LOCID].[].[0001004654]_x000D_
[PRDID].[].[20000200]_x000D_
[KEY_FIGURES].[].[INDEPENDENTDEMAND]_x000D_
[LOCID].[].[0001004654]_x000D_
[PRDID].[].[20000202]_x000D_
[KEY_FIGURES].[].[ZCONSENSUSDEMANDQTY]_x000D_
[LOCID].[].[0001004654]_x000D_
[PRDID].[].[20000202]_x000D_
[KEY_FIGURES].[].[ZINPUTSOFC]_x000D_
[LOCID].[].[0001004654]_x000D_
[PRDID].[].[20000202]_x000D_
[KEY_FIGURES].[].[ZFORECASTOPENOUTPUT]_x000D_
[LOCID].[].[0001004654]_x000D_
[PRDID].[].[20000202]_x000D_
[KEY_FIGURES].[].[ZACTUALSALES]_x000D_
[LOCID].[].[0001004654]_x000D_
[PRDID].[].[20000202]_x000D_
[KEY_FIGURES].[].[ZCONSENSUSDEMAND]_x000D_
[LOCID].[].[0001004654]_x000D_
[PRDID].[].[20000202]_x000D_
[KEY_FIGURES].[].[INDEPENDENTDEMAND]_x000D_
[LOCID].[].[0001004654]_x000D_
[PRDID].[].[20000203]_x000D_
[KEY_FIGURES].[].[ZCONSENSUSDEMANDQTY]_x000D_
[LOCID].[].[0001004654]_x000D_
[PRDID].[].[20000203]_x000D_
[KEY_FIGURES].[].[ZINPUTSOFC]_x000D_
[LOCID].[].[0001004654]_x000D_
[PRDID].[].[20000203]_x000D_
[KEY_FIGURES].[].[ZFORECASTOPENOUTPUT]_x000D_
[LOCID].[].[0001004654]_x000D_
[PRDID].[].[20000203]_x000D_
[KEY_FIGURES].[].[ZACTUALSALES]_x000D_
[LOCID].[].[0001004654]_x000D_
[PRDID].[].[20000203]_x000D_
[KEY_FIGURES].[].[ZCONSENSUSDEMAND]_x000D_
[LOCID].[].[0001004654]_x000D_
[PRDID].[].[20000203]_x000D_
[KEY_FIGURES].[].[INDEPENDENTDEMAND]_x000D_
[LOCID].[].[0001004654]_x000D_
[PRDID].[].[20000204]_x000D_
[KEY_FIGURES].[].[ZCONSENSUSDEMANDQTY]_x000D_
[LOCID].[].[0001004654]_x000D_
[PRDID].[].[20000204]_x000D_
[KEY_FIGURES].[].[ZINPUTSOFC]_x000D_
[LOCID].[].[0001004654]_x000D_
[PRDID].[].[20000204]_x000D_
[KEY_FIGURES].[].[ZFORECASTOPENOUTPUT]_x000D_
[LOCID].[].[0001004654]_x000D_
[PRDID].[].[20000204]_x000D_
[KEY_FIGURES].[].[ZACTUALSALES]_x000D_
[LOCID].[].[0001004654]_x000D_
[PRDID].[].[20000204]_x000D_
[KEY_FIGURES].[].[ZCONSENSUSDEMAND]_x000D_
[LOCID].[].[0001004654]_x000D_
[PRDID].[].[20000204]_x000D_
[KEY_FIGURES].[].[INDEPENDENTDEMAND]_x000D_
[LOCID].[].[0001004655]_x000D_
[PRDID].[].[20000208]_x000D_
[KEY_FIGURES].[].[ZCONSENSUSDEMANDQTY]_x000D_
[LOCID].[].[0001004655]_x000D_
[PRDID].[].[20000208]_x000D_
[KEY_FIGURES].[].[ZINPUTSOFC]_x000D_
[LOCID].[].[0001004655]_x000D_
[PRDID].[].[20000208]_x000D_
[KEY_FIGURES].[].[ZFORECASTOPENOUTPUT]_x000D_
[LOCID].[].[0001004655]_x000D_
[PRDID].[].[20000208]_x000D_
[KEY_FIGURES].[].[ZACTUALSALES]_x000D_
[LOCID].[].[0001004655]_x000D_
[PRDID].[].[20000208]_x000D_
[KEY_FIGURES].[].[ZCONSENSUSDEMAND]_x000D_
[LOCID].[].[0001004655]_x000D_
[PRDID].[].[20000208]_x000D_
[KEY_FIGURES].[].[INDEPENDENTDEMAND]_x000D_
[LOCID].[].[0001004656]_x000D_
[PRDID].[].[20000191]_x000D_
[KEY_FIGURES].[].[ZCONSENSUSDEMANDQTY]_x000D_
[LOCID].[].[0001004656]_x000D_
[PRDID].[].[20000191]_x000D_
[KEY_FIGURES].[].[ZINPUTSOFC]_x000D_
[LOCID].[].[0001004656]_x000D_
[PRDID].[].[20000191]_x000D_
[KEY_FIGURES].[].[ZFORECASTOPENOUTPUT]_x000D_
[LOCID].[].[0001004656]_x000D_
[PRDID].[].[20000191]_x000D_
[KEY_FIGURES].[].[ZACTUALSALES]_x000D_
[LOCID].[].[0001004656]_x000D_
[PRDID].[].[20000191]_x000D_
[KEY_FIGURES].[].[ZCONSENSUSDEMAND]_x000D_
[LOCID].[].[0001004656]_x000D_
[PRDID].[].[20000191]_x000D_
[KEY_FIGURES].[].[INDEPENDENTDEMAND]_x000D_
[LOCID].[].[0001004656]_x000D_
[PRDID].[].[20000192]_x000D_
[KEY_FIGURES].[].[ZCONSENSUSDEMANDQTY]_x000D_
[LOCID].[].[0001004656]_x000D_
[PRDID].[].[20000192]_x000D_
[KEY_FIGURES].[].[ZINPUTSOFC]_x000D_
[LOCID].[].[0001004656]_x000D_
[PRDID].[].[20000192]_x000D_
[KEY_FIGURES].[].[ZFORECASTOPENOUTPUT]_x000D_
[LOCID].[].[0001004656]_x000D_
[PRDID].[].[20000192]_x000D_
[KEY_FIGURES].[].[ZACTUALSALES]_x000D_
[LOCID].[].[0001004656]_x000D_
[PRDID].[].[20000192]_x000D_
[KEY_FIGURES].[].[ZCONSENSUSDEMAND]_x000D_
[LOCID].[].[0001004656]_x000D_
[PRDID].[].[20000192]_x000D_
[KEY_FIGURES].[].[INDEPENDENTDEMAND]_x000D_
[LOCID].[].[0001004656]_x000D_
[PRDID].[].[20000193]_x000D_
[KEY_FIGURES].[].[ZCONSENSUSDEMANDQTY]_x000D_
[LOCID].[].[0001004656]_x000D_
[PRDID].[].[20000193]_x000D_
[KEY_FIGURES].[].[ZINPUTSOFC]_x000D_
[LOCID].[].[0001004656]_x000D_
[PRDID].[].[20000193]_x000D_
[KEY_FIGURES].[].[ZFORECASTOPENOUTPUT]_x000D_
[LOCID].[].[0001004656]_x000D_
[PRDID].[].[20000193]_x000D_
[KEY_FIGURES].[].[ZACTUALSALES]_x000D_
[LOCID].[].[0001004656]_x000D_
[PRDID].[].[20000193]</t>
  </si>
  <si>
    <t>[KEY_FIGURES].[].[ZCONSENSUSDEMAND]_x000D_
[LOCID].[].[0001004656]_x000D_
[PRDID].[].[20000193]_x000D_
[KEY_FIGURES].[].[INDEPENDENTDEMAND]_x000D_
[LOCID].[].[0001004656]_x000D_
[PRDID].[].[20000194]_x000D_
[KEY_FIGURES].[].[ZCONSENSUSDEMANDQTY]_x000D_
[LOCID].[].[0001004656]_x000D_
[PRDID].[].[20000194]_x000D_
[KEY_FIGURES].[].[ZINPUTSOFC]_x000D_
[LOCID].[].[0001004656]_x000D_
[PRDID].[].[20000194]_x000D_
[KEY_FIGURES].[].[ZFORECASTOPENOUTPUT]_x000D_
[LOCID].[].[0001004656]_x000D_
[PRDID].[].[20000194]_x000D_
[KEY_FIGURES].[].[ZACTUALSALES]_x000D_
[LOCID].[].[0001004656]_x000D_
[PRDID].[].[20000194]_x000D_
[KEY_FIGURES].[].[ZCONSENSUSDEMAND]_x000D_
[LOCID].[].[0001004656]_x000D_
[PRDID].[].[20000194]_x000D_
[KEY_FIGURES].[].[INDEPENDENTDEMAND]_x000D_
[LOCID].[].[0001004656]_x000D_
[PRDID].[].[20000195]_x000D_
[KEY_FIGURES].[].[ZCONSENSUSDEMANDQTY]_x000D_
[LOCID].[].[0001004656]_x000D_
[PRDID].[].[20000195]_x000D_
[KEY_FIGURES].[].[ZINPUTSOFC]_x000D_
[LOCID].[].[0001004656]_x000D_
[PRDID].[].[20000195]_x000D_
[KEY_FIGURES].[].[ZFORECASTOPENOUTPUT]_x000D_
[LOCID].[].[0001004656]_x000D_
[PRDID].[].[20000195]_x000D_
[KEY_FIGURES].[].[ZACTUALSALES]_x000D_
[LOCID].[].[0001004656]_x000D_
[PRDID].[].[20000195]_x000D_
[KEY_FIGURES].[].[ZCONSENSUSDEMAND]_x000D_
[LOCID].[].[0001004656]_x000D_
[PRDID].[].[20000195]_x000D_
[KEY_FIGURES].[].[INDEPENDENTDEMAND]_x000D_
[LOCID].[].[0001004656]_x000D_
[PRDID].[].[20000196]_x000D_
[KEY_FIGURES].[].[ZCONSENSUSDEMANDQTY]_x000D_
[LOCID].[].[0001004656]_x000D_
[PRDID].[].[20000196]_x000D_
[KEY_FIGURES].[].[ZINPUTSOFC]_x000D_
[LOCID].[].[0001004656]_x000D_
[PRDID].[].[20000196]_x000D_
[KEY_FIGURES].[].[ZFORECASTOPENOUTPUT]_x000D_
[LOCID].[].[0001004656]_x000D_
[PRDID].[].[20000196]_x000D_
[KEY_FIGURES].[].[ZACTUALSALES]_x000D_
[LOCID].[].[0001004656]_x000D_
[PRDID].[].[20000196]_x000D_
[KEY_FIGURES].[].[ZCONSENSUSDEMAND]_x000D_
[LOCID].[].[0001004656]_x000D_
[PRDID].[].[20000196]_x000D_
[KEY_FIGURES].[].[INDEPENDENTDEMAND]_x000D_
[LOCID].[].[0001004656]_x000D_
[PRDID].[].[20000197]_x000D_
[KEY_FIGURES].[].[ZCONSENSUSDEMANDQTY]_x000D_
[LOCID].[].[0001004656]_x000D_
[PRDID].[].[20000197]_x000D_
[KEY_FIGURES].[].[ZINPUTSOFC]_x000D_
[LOCID].[].[0001004656]_x000D_
[PRDID].[].[20000197]_x000D_
[KEY_FIGURES].[].[ZFORECASTOPENOUTPUT]_x000D_
[LOCID].[].[0001004656]_x000D_
[PRDID].[].[20000197]_x000D_
[KEY_FIGURES].[].[ZACTUALSALES]_x000D_
[LOCID].[].[0001004656]_x000D_
[PRDID].[].[20000197]_x000D_
[KEY_FIGURES].[].[ZCONSENSUSDEMAND]_x000D_
[LOCID].[].[0001004656]_x000D_
[PRDID].[].[20000197]_x000D_
[KEY_FIGURES].[].[INDEPENDENTDEMAND]_x000D_
[LOCID].[].[0001004656]_x000D_
[PRDID].[].[20000207]_x000D_
[KEY_FIGURES].[].[ZCONSENSUSDEMANDQTY]_x000D_
[LOCID].[].[0001004656]_x000D_
[PRDID].[].[20000207]_x000D_
[KEY_FIGURES].[].[ZINPUTSOFC]_x000D_
[LOCID].[].[0001004656]_x000D_
[PRDID].[].[20000207]_x000D_
[KEY_FIGURES].[].[ZFORECASTOPENOUTPUT]_x000D_
[LOCID].[].[0001004656]_x000D_
[PRDID].[].[20000207]_x000D_
[KEY_FIGURES].[].[ZACTUALSALES]_x000D_
[LOCID].[].[0001004656]_x000D_
[PRDID].[].[20000207]_x000D_
[KEY_FIGURES].[].[ZCONSENSUSDEMAND]_x000D_
[LOCID].[].[0001004656]_x000D_
[PRDID].[].[20000207]_x000D_
[KEY_FIGURES].[].[INDEPENDENTDEMAND]_x000D_
[LOCID].[].[0001004656]_x000D_
[PRDID].[].[20000581]_x000D_
[KEY_FIGURES].[].[ZCONSENSUSDEMANDQTY]_x000D_
[LOCID].[].[0001004656]_x000D_
[PRDID].[].[20000581]_x000D_
[KEY_FIGURES].[].[ZINPUTSOFC]_x000D_
[LOCID].[].[0001004656]_x000D_
[PRDID].[].[20000581]_x000D_
[KEY_FIGURES].[].[ZFORECASTOPENOUTPUT]_x000D_
[LOCID].[].[0001004656]_x000D_
[PRDID].[].[20000581]_x000D_
[KEY_FIGURES].[].[ZACTUALSALES]_x000D_
[LOCID].[].[0001004656]_x000D_
[PRDID].[].[20000581]_x000D_
[KEY_FIGURES].[].[ZCONSENSUSDEMAND]_x000D_
[LOCID].[].[0001004656]_x000D_
[PRDID].[].[20000581]_x000D_
[KEY_FIGURES].[].[INDEPENDENTDEMAND]_x000D_
[LOCID].[].[0001004662]_x000D_
[PRDID].[].[20000011]_x000D_
[KEY_FIGURES].[].[ZCONSENSUSDEMANDQTY]_x000D_
[LOCID].[].[0001004662]_x000D_
[PRDID].[].[20000011]_x000D_
[KEY_FIGURES].[].[ZINPUTSOFC]_x000D_
[LOCID].[].[0001004662]_x000D_
[PRDID].[].[20000011]_x000D_
[KEY_FIGURES].[].[ZFORECASTOPENOUTPUT]_x000D_
[LOCID].[].[0001004662]_x000D_
[PRDID].[].[20000011]_x000D_
[KEY_FIGURES].[].[ZACTUALSALES]_x000D_
[LOCID].[].[0001004662]_x000D_
[PRDID].[].[20000011]_x000D_
[KEY_FIGURES].[].[ZCONSENSUSDEMAND]_x000D_
[LOCID].[].[0001004662]_x000D_
[PRDID].[].[20000011]_x000D_
[KEY_FIGURES].[].[INDEPENDENTDEMAND]_x000D_
[LOCID].[].[0001004662]_x000D_
[PRDID].[].[20000089]_x000D_
[KEY_FIGURES].[].[ZCONSENSUSDEMANDQTY]_x000D_
[LOCID].[].[0001004662]_x000D_
[PRDID].[].[20000089]_x000D_
[KEY_FIGURES].[].[ZINPUTSOFC]_x000D_
[LOCID].[].[0001004662]_x000D_
[PRDID].[].[20000089]_x000D_
[KEY_FIGURES].[].[ZFORECASTOPENOUTPUT]_x000D_
[LOCID].[].[0001004662]_x000D_
[PRDID].[].[20000089]_x000D_
[KEY_FIGURES].[].[ZACTUALSALES]_x000D_
[LOCID].[].[0001004662]_x000D_
[PRDID].[].[20000089]_x000D_
[KEY_FIGURES].[].[ZCONSENSUSDEMAND]_x000D_
[LOCID].[].[0001004662]_x000D_
[PRDID].[].[20000089]_x000D_
[KEY_FIGURES].[].[INDEPENDENTDEMAND]_x000D_
[LOCID].[].[0001004662]_x000D_
[PRDID].[].[20000335]_x000D_
[KEY_FIGURES].[].[ZCONSENSUSDEMANDQTY]_x000D_
[LOCID].[].[0001004662]_x000D_
[PRDID].[].[20000335]_x000D_
[KEY_FIGURES].[].[ZINPUTSOFC]_x000D_
[LOCID].[].[0001004662]_x000D_
[PRDID].[].[20000335]_x000D_
[KEY_FIGURES].[].[ZFORECASTOPENOUTPUT]_x000D_
[LOCID].[].[0001004662]_x000D_
[PRDID].[].[20000335]_x000D_
[KEY_FIGURES].[].[ZACTUALSALES]_x000D_
[LOCID].[].[0001004662]_x000D_
[PRDID].[].[20000335]_x000D_
[KEY_FIGURES].[].[ZCONSENSUSDEMAND]_x000D_
[LOCID].[].[0001004662]_x000D_
[PRDID].[].[20000335]_x000D_
[KEY_FIGURES].[].[INDEPENDENTDEMAND]_x000D_
[LOCID].[].[0001004662]_x000D_
[PRDID].[].[20000339]_x000D_
[KEY_FIGURES].[].[ZCONSENSUSDEMANDQTY]_x000D_
[LOCID].[].[0001004662]_x000D_
[PRDID].[].[20000339]_x000D_
[KEY_FIGURES].[].[ZINPUTSOFC]_x000D_
[LOCID].[].[0001004662]_x000D_
[PRDID].[].[20000339]_x000D_
[KEY_FIGURES].[].[ZFORECASTOPENOUTPUT]_x000D_
[LOCID].[].[0001004662]_x000D_
[PRDID].[].[20000339]_x000D_
[KEY_FIGURES].[].[ZACTUALSALES]_x000D_
[LOCID].[].[0001004662]_x000D_
[PRDID].[].[20000339]_x000D_
[KEY_FIGURES].[].[ZCONSENSUSDEMAND]_x000D_
[LOCID].[].[0001004662]_x000D_
[PRDID].[].[20000339]_x000D_
[KEY_FIGURES].[].[INDEPENDENTDEMAND]_x000D_
[LOCID].[].[0001004666]_x000D_
[PRDID].[].[20000851]_x000D_
[KEY_FIGURES].[].[ZCONSENSUSDEMANDQTY]_x000D_
[LOCID].[].[0001004666]_x000D_
[PRDID].[].[20000851]_x000D_
[KEY_FIGURES].[].[ZINPUTSOFC]_x000D_
[LOCID].[].[0001004666]_x000D_
[PRDID].[].[20000851]_x000D_
[KEY_FIGURES].[].[ZFORECASTOPENOUTPUT]_x000D_
[LOCID].[].[0001004666]_x000D_
[PRDID].[].[20000851]_x000D_
[KEY_FIGURES].[].[ZACTUALSALES]_x000D_
[LOCID].[].[0001004666]_x000D_
[PRDID].[].[20000851]_x000D_
[KEY_FIGURES].[].[ZCONSENSUSDEMAND]_x000D_
[LOCID].[].[0001004666]</t>
  </si>
  <si>
    <t>[PRDID].[].[20000851]_x000D_
[KEY_FIGURES].[].[INDEPENDENTDEMAND]_x000D_
[LOCID].[].[0001004666]_x000D_
[PRDID].[].[20000852]_x000D_
[KEY_FIGURES].[].[ZCONSENSUSDEMANDQTY]_x000D_
[LOCID].[].[0001004666]_x000D_
[PRDID].[].[20000852]_x000D_
[KEY_FIGURES].[].[ZINPUTSOFC]_x000D_
[LOCID].[].[0001004666]_x000D_
[PRDID].[].[20000852]_x000D_
[KEY_FIGURES].[].[ZFORECASTOPENOUTPUT]_x000D_
[LOCID].[].[0001004666]_x000D_
[PRDID].[].[20000852]_x000D_
[KEY_FIGURES].[].[ZACTUALSALES]_x000D_
[LOCID].[].[0001004666]_x000D_
[PRDID].[].[20000852]_x000D_
[KEY_FIGURES].[].[ZCONSENSUSDEMAND]_x000D_
[LOCID].[].[0001004666]_x000D_
[PRDID].[].[20000852]_x000D_
[KEY_FIGURES].[].[INDEPENDENTDEMAND]_x000D_
[LOCID].[].[0001004668]_x000D_
[PRDID].[].[20000787]_x000D_
[KEY_FIGURES].[].[ZCONSENSUSDEMANDQTY]_x000D_
[LOCID].[].[0001004668]_x000D_
[PRDID].[].[20000787]_x000D_
[KEY_FIGURES].[].[ZINPUTSOFC]_x000D_
[LOCID].[].[0001004668]_x000D_
[PRDID].[].[20000787]_x000D_
[KEY_FIGURES].[].[ZFORECASTOPENOUTPUT]_x000D_
[LOCID].[].[0001004668]_x000D_
[PRDID].[].[20000787]_x000D_
[KEY_FIGURES].[].[ZACTUALSALES]_x000D_
[LOCID].[].[0001004668]_x000D_
[PRDID].[].[20000787]_x000D_
[KEY_FIGURES].[].[ZCONSENSUSDEMAND]_x000D_
[LOCID].[].[0001004668]_x000D_
[PRDID].[].[20000787]_x000D_
[KEY_FIGURES].[].[INDEPENDENTDEMAND]_x000D_
[LOCID].[].[0001004668]_x000D_
[PRDID].[].[20001017]_x000D_
[KEY_FIGURES].[].[ZCONSENSUSDEMANDQTY]_x000D_
[LOCID].[].[0001004668]_x000D_
[PRDID].[].[20001017]_x000D_
[KEY_FIGURES].[].[ZINPUTSOFC]_x000D_
[LOCID].[].[0001004668]_x000D_
[PRDID].[].[20001017]_x000D_
[KEY_FIGURES].[].[ZFORECASTOPENOUTPUT]_x000D_
[LOCID].[].[0001004668]_x000D_
[PRDID].[].[20001017]_x000D_
[KEY_FIGURES].[].[ZACTUALSALES]_x000D_
[LOCID].[].[0001004668]_x000D_
[PRDID].[].[20001017]_x000D_
[KEY_FIGURES].[].[ZCONSENSUSDEMAND]_x000D_
[LOCID].[].[0001004668]_x000D_
[PRDID].[].[20001017]_x000D_
[KEY_FIGURES].[].[INDEPENDENTDEMAND]_x000D_
[LOCID].[].[0001004668]_x000D_
[PRDID].[].[20001018]_x000D_
[KEY_FIGURES].[].[ZCONSENSUSDEMANDQTY]_x000D_
[LOCID].[].[0001004668]_x000D_
[PRDID].[].[20001018]_x000D_
[KEY_FIGURES].[].[ZINPUTSOFC]_x000D_
[LOCID].[].[0001004668]_x000D_
[PRDID].[].[20001018]_x000D_
[KEY_FIGURES].[].[ZFORECASTOPENOUTPUT]_x000D_
[LOCID].[].[0001004668]_x000D_
[PRDID].[].[20001018]_x000D_
[KEY_FIGURES].[].[ZACTUALSALES]_x000D_
[LOCID].[].[0001004668]_x000D_
[PRDID].[].[20001018]_x000D_
[KEY_FIGURES].[].[ZCONSENSUSDEMAND]_x000D_
[LOCID].[].[0001004668]_x000D_
[PRDID].[].[20001018]_x000D_
[KEY_FIGURES].[].[INDEPENDENTDEMAND]_x000D_
[LOCID].[].[0001004670]_x000D_
[PRDID].[].[20000067]_x000D_
[KEY_FIGURES].[].[ZCONSENSUSDEMANDQTY]_x000D_
[LOCID].[].[0001004670]_x000D_
[PRDID].[].[20000067]_x000D_
[KEY_FIGURES].[].[ZINPUTSOFC]_x000D_
[LOCID].[].[0001004670]_x000D_
[PRDID].[].[20000067]_x000D_
[KEY_FIGURES].[].[ZFORECASTOPENOUTPUT]_x000D_
[LOCID].[].[0001004670]_x000D_
[PRDID].[].[20000067]_x000D_
[KEY_FIGURES].[].[ZACTUALSALES]_x000D_
[LOCID].[].[0001004670]_x000D_
[PRDID].[].[20000067]_x000D_
[KEY_FIGURES].[].[ZCONSENSUSDEMAND]_x000D_
[LOCID].[].[0001004670]_x000D_
[PRDID].[].[20000067]_x000D_
[KEY_FIGURES].[].[INDEPENDENTDEMAND]_x000D_
[LOCID].[].[0001004670]_x000D_
[PRDID].[].[20000068]_x000D_
[KEY_FIGURES].[].[ZCONSENSUSDEMANDQTY]_x000D_
[LOCID].[].[0001004670]_x000D_
[PRDID].[].[20000068]_x000D_
[KEY_FIGURES].[].[ZINPUTSOFC]_x000D_
[LOCID].[].[0001004670]_x000D_
[PRDID].[].[20000068]_x000D_
[KEY_FIGURES].[].[ZFORECASTOPENOUTPUT]_x000D_
[LOCID].[].[0001004670]_x000D_
[PRDID].[].[20000068]_x000D_
[KEY_FIGURES].[].[ZACTUALSALES]_x000D_
[LOCID].[].[0001004670]_x000D_
[PRDID].[].[20000068]_x000D_
[KEY_FIGURES].[].[ZCONSENSUSDEMAND]_x000D_
[LOCID].[].[0001004670]_x000D_
[PRDID].[].[20000068]_x000D_
[KEY_FIGURES].[].[INDEPENDENTDEMAND]_x000D_
[LOCID].[].[0001004670]_x000D_
[PRDID].[].[20000069]_x000D_
[KEY_FIGURES].[].[ZCONSENSUSDEMANDQTY]_x000D_
[LOCID].[].[0001004670]_x000D_
[PRDID].[].[20000069]_x000D_
[KEY_FIGURES].[].[ZINPUTSOFC]_x000D_
[LOCID].[].[0001004670]_x000D_
[PRDID].[].[20000069]_x000D_
[KEY_FIGURES].[].[ZFORECASTOPENOUTPUT]_x000D_
[LOCID].[].[0001004670]_x000D_
[PRDID].[].[20000069]_x000D_
[KEY_FIGURES].[].[ZACTUALSALES]_x000D_
[LOCID].[].[0001004670]_x000D_
[PRDID].[].[20000069]_x000D_
[KEY_FIGURES].[].[ZCONSENSUSDEMAND]_x000D_
[LOCID].[].[0001004670]_x000D_
[PRDID].[].[20000069]_x000D_
[KEY_FIGURES].[].[INDEPENDENTDEMAND]_x000D_
[LOCID].[].[0001004670]_x000D_
[PRDID].[].[20000070]_x000D_
[KEY_FIGURES].[].[ZCONSENSUSDEMANDQTY]_x000D_
[LOCID].[].[0001004670]_x000D_
[PRDID].[].[20000070]_x000D_
[KEY_FIGURES].[].[ZINPUTSOFC]_x000D_
[LOCID].[].[0001004670]_x000D_
[PRDID].[].[20000070]_x000D_
[KEY_FIGURES].[].[ZFORECASTOPENOUTPUT]_x000D_
[LOCID].[].[0001004670]_x000D_
[PRDID].[].[20000070]_x000D_
[KEY_FIGURES].[].[ZACTUALSALES]_x000D_
[LOCID].[].[0001004670]_x000D_
[PRDID].[].[20000070]_x000D_
[KEY_FIGURES].[].[ZCONSENSUSDEMAND]_x000D_
[LOCID].[].[0001004670]_x000D_
[PRDID].[].[20000070]_x000D_
[KEY_FIGURES].[].[INDEPENDENTDEMAND]_x000D_
[LOCID].[].[0001004670]_x000D_
[PRDID].[].[20000071]_x000D_
[KEY_FIGURES].[].[ZCONSENSUSDEMANDQTY]_x000D_
[LOCID].[].[0001004670]_x000D_
[PRDID].[].[20000071]_x000D_
[KEY_FIGURES].[].[ZINPUTSOFC]_x000D_
[LOCID].[].[0001004670]_x000D_
[PRDID].[].[20000071]_x000D_
[KEY_FIGURES].[].[ZFORECASTOPENOUTPUT]_x000D_
[LOCID].[].[0001004670]_x000D_
[PRDID].[].[20000071]_x000D_
[KEY_FIGURES].[].[ZACTUALSALES]_x000D_
[LOCID].[].[0001004670]_x000D_
[PRDID].[].[20000071]_x000D_
[KEY_FIGURES].[].[ZCONSENSUSDEMAND]_x000D_
[LOCID].[].[0001004670]_x000D_
[PRDID].[].[20000071]_x000D_
[KEY_FIGURES].[].[INDEPENDENTDEMAND]_x000D_
[LOCID].[].[0001004670]_x000D_
[PRDID].[].[20000072]_x000D_
[KEY_FIGURES].[].[ZCONSENSUSDEMANDQTY]_x000D_
[LOCID].[].[0001004670]_x000D_
[PRDID].[].[20000072]_x000D_
[KEY_FIGURES].[].[ZINPUTSOFC]_x000D_
[LOCID].[].[0001004670]_x000D_
[PRDID].[].[20000072]_x000D_
[KEY_FIGURES].[].[ZFORECASTOPENOUTPUT]_x000D_
[LOCID].[].[0001004670]_x000D_
[PRDID].[].[20000072]_x000D_
[KEY_FIGURES].[].[ZACTUALSALES]_x000D_
[LOCID].[].[0001004670]_x000D_
[PRDID].[].[20000072]_x000D_
[KEY_FIGURES].[].[ZCONSENSUSDEMAND]_x000D_
[LOCID].[].[0001004670]_x000D_
[PRDID].[].[20000072]_x000D_
[KEY_FIGURES].[].[INDEPENDENTDEMAND]_x000D_
[LOCID].[].[0001004670]_x000D_
[PRDID].[].[20000073]_x000D_
[KEY_FIGURES].[].[ZCONSENSUSDEMANDQTY]_x000D_
[LOCID].[].[0001004670]_x000D_
[PRDID].[].[20000073]_x000D_
[KEY_FIGURES].[].[ZINPUTSOFC]_x000D_
[LOCID].[].[0001004670]_x000D_
[PRDID].[].[20000073]_x000D_
[KEY_FIGURES].[].[ZFORECASTOPENOUTPUT]_x000D_
[LOCID].[].[0001004670]_x000D_
[PRDID].[].[20000073]_x000D_
[KEY_FIGURES].[].[ZACTUALSALES]_x000D_
[LOCID].[].[0001004670]_x000D_
[PRDID].[].[20000073]_x000D_
[KEY_FIGURES].[].[ZCONSENSUSDEMAND]_x000D_
[LOCID].[].[0001004670]_x000D_
[PRDID].[].[20000073]_x000D_
[KEY_FIGURES].[].[INDEPENDENTDEMAND]</t>
  </si>
  <si>
    <t>[LOCID].[].[0001004670]_x000D_
[PRDID].[].[20000074]_x000D_
[KEY_FIGURES].[].[ZCONSENSUSDEMANDQTY]_x000D_
[LOCID].[].[0001004670]_x000D_
[PRDID].[].[20000074]_x000D_
[KEY_FIGURES].[].[ZINPUTSOFC]_x000D_
[LOCID].[].[0001004670]_x000D_
[PRDID].[].[20000074]_x000D_
[KEY_FIGURES].[].[ZFORECASTOPENOUTPUT]_x000D_
[LOCID].[].[0001004670]_x000D_
[PRDID].[].[20000074]_x000D_
[KEY_FIGURES].[].[ZACTUALSALES]_x000D_
[LOCID].[].[0001004670]_x000D_
[PRDID].[].[20000074]_x000D_
[KEY_FIGURES].[].[ZCONSENSUSDEMAND]_x000D_
[LOCID].[].[0001004670]_x000D_
[PRDID].[].[20000074]_x000D_
[KEY_FIGURES].[].[INDEPENDENTDEMAND]_x000D_
[LOCID].[].[0001004670]_x000D_
[PRDID].[].[20000075]_x000D_
[KEY_FIGURES].[].[ZCONSENSUSDEMANDQTY]_x000D_
[LOCID].[].[0001004670]_x000D_
[PRDID].[].[20000075]_x000D_
[KEY_FIGURES].[].[ZINPUTSOFC]_x000D_
[LOCID].[].[0001004670]_x000D_
[PRDID].[].[20000075]_x000D_
[KEY_FIGURES].[].[ZFORECASTOPENOUTPUT]_x000D_
[LOCID].[].[0001004670]_x000D_
[PRDID].[].[20000075]_x000D_
[KEY_FIGURES].[].[ZACTUALSALES]_x000D_
[LOCID].[].[0001004670]_x000D_
[PRDID].[].[20000075]_x000D_
[KEY_FIGURES].[].[ZCONSENSUSDEMAND]_x000D_
[LOCID].[].[0001004670]_x000D_
[PRDID].[].[20000075]_x000D_
[KEY_FIGURES].[].[INDEPENDENTDEMAND]_x000D_
[LOCID].[].[0001004670]_x000D_
[PRDID].[].[20000076]_x000D_
[KEY_FIGURES].[].[ZCONSENSUSDEMANDQTY]_x000D_
[LOCID].[].[0001004670]_x000D_
[PRDID].[].[20000076]_x000D_
[KEY_FIGURES].[].[ZINPUTSOFC]_x000D_
[LOCID].[].[0001004670]_x000D_
[PRDID].[].[20000076]_x000D_
[KEY_FIGURES].[].[ZFORECASTOPENOUTPUT]_x000D_
[LOCID].[].[0001004670]_x000D_
[PRDID].[].[20000076]_x000D_
[KEY_FIGURES].[].[ZACTUALSALES]_x000D_
[LOCID].[].[0001004670]_x000D_
[PRDID].[].[20000076]_x000D_
[KEY_FIGURES].[].[ZCONSENSUSDEMAND]_x000D_
[LOCID].[].[0001004670]_x000D_
[PRDID].[].[20000076]_x000D_
[KEY_FIGURES].[].[INDEPENDENTDEMAND]_x000D_
[LOCID].[].[0001004670]_x000D_
[PRDID].[].[20000077]_x000D_
[KEY_FIGURES].[].[ZCONSENSUSDEMANDQTY]_x000D_
[LOCID].[].[0001004670]_x000D_
[PRDID].[].[20000077]_x000D_
[KEY_FIGURES].[].[ZINPUTSOFC]_x000D_
[LOCID].[].[0001004670]_x000D_
[PRDID].[].[20000077]_x000D_
[KEY_FIGURES].[].[ZFORECASTOPENOUTPUT]_x000D_
[LOCID].[].[0001004670]_x000D_
[PRDID].[].[20000077]_x000D_
[KEY_FIGURES].[].[ZACTUALSALES]_x000D_
[LOCID].[].[0001004670]_x000D_
[PRDID].[].[20000077]_x000D_
[KEY_FIGURES].[].[ZCONSENSUSDEMAND]_x000D_
[LOCID].[].[0001004670]_x000D_
[PRDID].[].[20000077]_x000D_
[KEY_FIGURES].[].[INDEPENDENTDEMAND]_x000D_
[LOCID].[].[0001004670]_x000D_
[PRDID].[].[20000078]_x000D_
[KEY_FIGURES].[].[ZCONSENSUSDEMANDQTY]_x000D_
[LOCID].[].[0001004670]_x000D_
[PRDID].[].[20000078]_x000D_
[KEY_FIGURES].[].[ZINPUTSOFC]_x000D_
[LOCID].[].[0001004670]_x000D_
[PRDID].[].[20000078]_x000D_
[KEY_FIGURES].[].[ZFORECASTOPENOUTPUT]_x000D_
[LOCID].[].[0001004670]_x000D_
[PRDID].[].[20000078]_x000D_
[KEY_FIGURES].[].[ZACTUALSALES]_x000D_
[LOCID].[].[0001004670]_x000D_
[PRDID].[].[20000078]_x000D_
[KEY_FIGURES].[].[ZCONSENSUSDEMAND]_x000D_
[LOCID].[].[0001004670]_x000D_
[PRDID].[].[20000078]_x000D_
[KEY_FIGURES].[].[INDEPENDENTDEMAND]_x000D_
[LOCID].[].[0001004670]_x000D_
[PRDID].[].[20000079]_x000D_
[KEY_FIGURES].[].[ZCONSENSUSDEMANDQTY]_x000D_
[LOCID].[].[0001004670]_x000D_
[PRDID].[].[20000079]_x000D_
[KEY_FIGURES].[].[ZINPUTSOFC]_x000D_
[LOCID].[].[0001004670]_x000D_
[PRDID].[].[20000079]_x000D_
[KEY_FIGURES].[].[ZFORECASTOPENOUTPUT]_x000D_
[LOCID].[].[0001004670]_x000D_
[PRDID].[].[20000079]_x000D_
[KEY_FIGURES].[].[ZACTUALSALES]_x000D_
[LOCID].[].[0001004670]_x000D_
[PRDID].[].[20000079]_x000D_
[KEY_FIGURES].[].[ZCONSENSUSDEMAND]_x000D_
[LOCID].[].[0001004670]_x000D_
[PRDID].[].[20000079]_x000D_
[KEY_FIGURES].[].[INDEPENDENTDEMAND]_x000D_
[LOCID].[].[0001004670]_x000D_
[PRDID].[].[20000080]_x000D_
[KEY_FIGURES].[].[ZCONSENSUSDEMANDQTY]_x000D_
[LOCID].[].[0001004670]_x000D_
[PRDID].[].[20000080]_x000D_
[KEY_FIGURES].[].[ZINPUTSOFC]_x000D_
[LOCID].[].[0001004670]_x000D_
[PRDID].[].[20000080]_x000D_
[KEY_FIGURES].[].[ZFORECASTOPENOUTPUT]_x000D_
[LOCID].[].[0001004670]_x000D_
[PRDID].[].[20000080]_x000D_
[KEY_FIGURES].[].[ZACTUALSALES]_x000D_
[LOCID].[].[0001004670]_x000D_
[PRDID].[].[20000080]_x000D_
[KEY_FIGURES].[].[ZCONSENSUSDEMAND]_x000D_
[LOCID].[].[0001004670]_x000D_
[PRDID].[].[20000080]_x000D_
[KEY_FIGURES].[].[INDEPENDENTDEMAND]_x000D_
[LOCID].[].[0001004670]_x000D_
[PRDID].[].[20000081]_x000D_
[KEY_FIGURES].[].[ZCONSENSUSDEMANDQTY]_x000D_
[LOCID].[].[0001004670]_x000D_
[PRDID].[].[20000081]_x000D_
[KEY_FIGURES].[].[ZINPUTSOFC]_x000D_
[LOCID].[].[0001004670]_x000D_
[PRDID].[].[20000081]_x000D_
[KEY_FIGURES].[].[ZFORECASTOPENOUTPUT]_x000D_
[LOCID].[].[0001004670]_x000D_
[PRDID].[].[20000081]_x000D_
[KEY_FIGURES].[].[ZACTUALSALES]_x000D_
[LOCID].[].[0001004670]_x000D_
[PRDID].[].[20000081]_x000D_
[KEY_FIGURES].[].[ZCONSENSUSDEMAND]_x000D_
[LOCID].[].[0001004670]_x000D_
[PRDID].[].[20000081]_x000D_
[KEY_FIGURES].[].[INDEPENDENTDEMAND]_x000D_
[LOCID].[].[0001004670]_x000D_
[PRDID].[].[20000093]_x000D_
[KEY_FIGURES].[].[ZCONSENSUSDEMANDQTY]_x000D_
[LOCID].[].[0001004670]_x000D_
[PRDID].[].[20000093]_x000D_
[KEY_FIGURES].[].[ZINPUTSOFC]_x000D_
[LOCID].[].[0001004670]_x000D_
[PRDID].[].[20000093]_x000D_
[KEY_FIGURES].[].[ZFORECASTOPENOUTPUT]_x000D_
[LOCID].[].[0001004670]_x000D_
[PRDID].[].[20000093]_x000D_
[KEY_FIGURES].[].[ZACTUALSALES]_x000D_
[LOCID].[].[0001004670]_x000D_
[PRDID].[].[20000093]_x000D_
[KEY_FIGURES].[].[ZCONSENSUSDEMAND]_x000D_
[LOCID].[].[0001004670]_x000D_
[PRDID].[].[20000093]_x000D_
[KEY_FIGURES].[].[INDEPENDENTDEMAND]_x000D_
[LOCID].[].[0001004670]_x000D_
[PRDID].[].[20000099]_x000D_
[KEY_FIGURES].[].[ZCONSENSUSDEMANDQTY]_x000D_
[LOCID].[].[0001004670]_x000D_
[PRDID].[].[20000099]_x000D_
[KEY_FIGURES].[].[ZINPUTSOFC]_x000D_
[LOCID].[].[0001004670]_x000D_
[PRDID].[].[20000099]_x000D_
[KEY_FIGURES].[].[ZFORECASTOPENOUTPUT]_x000D_
[LOCID].[].[0001004670]_x000D_
[PRDID].[].[20000099]_x000D_
[KEY_FIGURES].[].[ZACTUALSALES]_x000D_
[LOCID].[].[0001004670]_x000D_
[PRDID].[].[20000099]_x000D_
[KEY_FIGURES].[].[ZCONSENSUSDEMAND]_x000D_
[LOCID].[].[0001004670]_x000D_
[PRDID].[].[20000099]_x000D_
[KEY_FIGURES].[].[INDEPENDENTDEMAND]_x000D_
[LOCID].[].[0001004670]_x000D_
[PRDID].[].[20000100]_x000D_
[KEY_FIGURES].[].[ZCONSENSUSDEMANDQTY]_x000D_
[LOCID].[].[0001004670]_x000D_
[PRDID].[].[20000100]_x000D_
[KEY_FIGURES].[].[ZINPUTSOFC]_x000D_
[LOCID].[].[0001004670]_x000D_
[PRDID].[].[20000100]_x000D_
[KEY_FIGURES].[].[ZFORECASTOPENOUTPUT]_x000D_
[LOCID].[].[0001004670]_x000D_
[PRDID].[].[20000100]_x000D_
[KEY_FIGURES].[].[ZACTUALSALES]_x000D_
[LOCID].[].[0001004670]_x000D_
[PRDID].[].[20000100]_x000D_
[KEY_FIGURES].[].[ZCONSENSUSDEMAND]_x000D_
[LOCID].[].[0001004670]_x000D_
[PRDID].[].[20000100]_x000D_
[KEY_FIGURES].[].[INDEPENDENTDEMAND]_x000D_
[LOCID].[].[0001004670]_x000D_
[PRDID].[].[20000239]</t>
  </si>
  <si>
    <t>[KEY_FIGURES].[].[ZCONSENSUSDEMANDQTY]_x000D_
[LOCID].[].[0001004670]_x000D_
[PRDID].[].[20000239]_x000D_
[KEY_FIGURES].[].[ZINPUTSOFC]_x000D_
[LOCID].[].[0001004670]_x000D_
[PRDID].[].[20000239]_x000D_
[KEY_FIGURES].[].[ZFORECASTOPENOUTPUT]_x000D_
[LOCID].[].[0001004670]_x000D_
[PRDID].[].[20000239]_x000D_
[KEY_FIGURES].[].[ZACTUALSALES]_x000D_
[LOCID].[].[0001004670]_x000D_
[PRDID].[].[20000239]_x000D_
[KEY_FIGURES].[].[ZCONSENSUSDEMAND]_x000D_
[LOCID].[].[0001004670]_x000D_
[PRDID].[].[20000239]_x000D_
[KEY_FIGURES].[].[INDEPENDENTDEMAND]_x000D_
[LOCID].[].[0001004670]_x000D_
[PRDID].[].[20000356]_x000D_
[KEY_FIGURES].[].[ZCONSENSUSDEMANDQTY]_x000D_
[LOCID].[].[0001004670]_x000D_
[PRDID].[].[20000356]_x000D_
[KEY_FIGURES].[].[ZINPUTSOFC]_x000D_
[LOCID].[].[0001004670]_x000D_
[PRDID].[].[20000356]_x000D_
[KEY_FIGURES].[].[ZFORECASTOPENOUTPUT]_x000D_
[LOCID].[].[0001004670]_x000D_
[PRDID].[].[20000356]_x000D_
[KEY_FIGURES].[].[ZACTUALSALES]_x000D_
[LOCID].[].[0001004670]_x000D_
[PRDID].[].[20000356]_x000D_
[KEY_FIGURES].[].[ZCONSENSUSDEMAND]_x000D_
[LOCID].[].[0001004670]_x000D_
[PRDID].[].[20000356]_x000D_
[KEY_FIGURES].[].[INDEPENDENTDEMAND]_x000D_
[LOCID].[].[0001004670]_x000D_
[PRDID].[].[20000380]_x000D_
[KEY_FIGURES].[].[ZCONSENSUSDEMANDQTY]_x000D_
[LOCID].[].[0001004670]_x000D_
[PRDID].[].[20000380]_x000D_
[KEY_FIGURES].[].[ZINPUTSOFC]_x000D_
[LOCID].[].[0001004670]_x000D_
[PRDID].[].[20000380]_x000D_
[KEY_FIGURES].[].[ZFORECASTOPENOUTPUT]_x000D_
[LOCID].[].[0001004670]_x000D_
[PRDID].[].[20000380]_x000D_
[KEY_FIGURES].[].[ZACTUALSALES]_x000D_
[LOCID].[].[0001004670]_x000D_
[PRDID].[].[20000380]_x000D_
[KEY_FIGURES].[].[ZCONSENSUSDEMAND]_x000D_
[LOCID].[].[0001004670]_x000D_
[PRDID].[].[20000380]_x000D_
[KEY_FIGURES].[].[INDEPENDENTDEMAND]_x000D_
[LOCID].[].[0001004670]_x000D_
[PRDID].[].[20000405]_x000D_
[KEY_FIGURES].[].[ZCONSENSUSDEMANDQTY]_x000D_
[LOCID].[].[0001004670]_x000D_
[PRDID].[].[20000405]_x000D_
[KEY_FIGURES].[].[ZINPUTSOFC]_x000D_
[LOCID].[].[0001004670]_x000D_
[PRDID].[].[20000405]_x000D_
[KEY_FIGURES].[].[ZFORECASTOPENOUTPUT]_x000D_
[LOCID].[].[0001004670]_x000D_
[PRDID].[].[20000405]_x000D_
[KEY_FIGURES].[].[ZACTUALSALES]_x000D_
[LOCID].[].[0001004670]_x000D_
[PRDID].[].[20000405]_x000D_
[KEY_FIGURES].[].[ZCONSENSUSDEMAND]_x000D_
[LOCID].[].[0001004670]_x000D_
[PRDID].[].[20000405]_x000D_
[KEY_FIGURES].[].[INDEPENDENTDEMAND]_x000D_
[LOCID].[].[0001004681]_x000D_
[PRDID].[].[20000256]_x000D_
[KEY_FIGURES].[].[ZCONSENSUSDEMANDQTY]_x000D_
[LOCID].[].[0001004681]_x000D_
[PRDID].[].[20000256]_x000D_
[KEY_FIGURES].[].[ZINPUTSOFC]_x000D_
[LOCID].[].[0001004681]_x000D_
[PRDID].[].[20000256]_x000D_
[KEY_FIGURES].[].[ZFORECASTOPENOUTPUT]_x000D_
[LOCID].[].[0001004681]_x000D_
[PRDID].[].[20000256]_x000D_
[KEY_FIGURES].[].[ZACTUALSALES]_x000D_
[LOCID].[].[0001004681]_x000D_
[PRDID].[].[20000256]_x000D_
[KEY_FIGURES].[].[ZCONSENSUSDEMAND]_x000D_
[LOCID].[].[0001004681]_x000D_
[PRDID].[].[20000256]_x000D_
[KEY_FIGURES].[].[INDEPENDENTDEMAND]_x000D_
[LOCID].[].[0001004681]_x000D_
[PRDID].[].[20000321]_x000D_
[KEY_FIGURES].[].[ZCONSENSUSDEMANDQTY]_x000D_
[LOCID].[].[0001004681]_x000D_
[PRDID].[].[20000321]_x000D_
[KEY_FIGURES].[].[ZINPUTSOFC]_x000D_
[LOCID].[].[0001004681]_x000D_
[PRDID].[].[20000321]_x000D_
[KEY_FIGURES].[].[ZFORECASTOPENOUTPUT]_x000D_
[LOCID].[].[0001004681]_x000D_
[PRDID].[].[20000321]_x000D_
[KEY_FIGURES].[].[ZACTUALSALES]_x000D_
[LOCID].[].[0001004681]_x000D_
[PRDID].[].[20000321]_x000D_
[KEY_FIGURES].[].[ZCONSENSUSDEMAND]_x000D_
[LOCID].[].[0001004681]_x000D_
[PRDID].[].[20000321]_x000D_
[KEY_FIGURES].[].[INDEPENDENTDEMAND]_x000D_
[LOCID].[].[0001004681]_x000D_
[PRDID].[].[20000322]_x000D_
[KEY_FIGURES].[].[ZCONSENSUSDEMANDQTY]_x000D_
[LOCID].[].[0001004681]_x000D_
[PRDID].[].[20000322]_x000D_
[KEY_FIGURES].[].[ZINPUTSOFC]_x000D_
[LOCID].[].[0001004681]_x000D_
[PRDID].[].[20000322]_x000D_
[KEY_FIGURES].[].[ZFORECASTOPENOUTPUT]_x000D_
[LOCID].[].[0001004681]_x000D_
[PRDID].[].[20000322]_x000D_
[KEY_FIGURES].[].[ZACTUALSALES]_x000D_
[LOCID].[].[0001004681]_x000D_
[PRDID].[].[20000322]_x000D_
[KEY_FIGURES].[].[ZCONSENSUSDEMAND]_x000D_
[LOCID].[].[0001004681]_x000D_
[PRDID].[].[20000322]_x000D_
[KEY_FIGURES].[].[INDEPENDENTDEMAND]_x000D_
[LOCID].[].[0001004681]_x000D_
[PRDID].[].[20000325]_x000D_
[KEY_FIGURES].[].[ZCONSENSUSDEMANDQTY]_x000D_
[LOCID].[].[0001004681]_x000D_
[PRDID].[].[20000325]_x000D_
[KEY_FIGURES].[].[ZINPUTSOFC]_x000D_
[LOCID].[].[0001004681]_x000D_
[PRDID].[].[20000325]_x000D_
[KEY_FIGURES].[].[ZFORECASTOPENOUTPUT]_x000D_
[LOCID].[].[0001004681]_x000D_
[PRDID].[].[20000325]_x000D_
[KEY_FIGURES].[].[ZACTUALSALES]_x000D_
[LOCID].[].[0001004681]_x000D_
[PRDID].[].[20000325]_x000D_
[KEY_FIGURES].[].[ZCONSENSUSDEMAND]_x000D_
[LOCID].[].[0001004681]_x000D_
[PRDID].[].[20000325]_x000D_
[KEY_FIGURES].[].[INDEPENDENTDEMAND]_x000D_
[LOCID].[].[0001004681]_x000D_
[PRDID].[].[20000326]_x000D_
[KEY_FIGURES].[].[ZCONSENSUSDEMANDQTY]_x000D_
[LOCID].[].[0001004681]_x000D_
[PRDID].[].[20000326]_x000D_
[KEY_FIGURES].[].[ZINPUTSOFC]_x000D_
[LOCID].[].[0001004681]_x000D_
[PRDID].[].[20000326]_x000D_
[KEY_FIGURES].[].[ZFORECASTOPENOUTPUT]_x000D_
[LOCID].[].[0001004681]_x000D_
[PRDID].[].[20000326]_x000D_
[KEY_FIGURES].[].[ZACTUALSALES]_x000D_
[LOCID].[].[0001004681]_x000D_
[PRDID].[].[20000326]_x000D_
[KEY_FIGURES].[].[ZCONSENSUSDEMAND]_x000D_
[LOCID].[].[0001004681]_x000D_
[PRDID].[].[20000326]_x000D_
[KEY_FIGURES].[].[INDEPENDENTDEMAND]_x000D_
[LOCID].[].[0001004681]_x000D_
[PRDID].[].[20000328]_x000D_
[KEY_FIGURES].[].[ZCONSENSUSDEMANDQTY]_x000D_
[LOCID].[].[0001004681]_x000D_
[PRDID].[].[20000328]_x000D_
[KEY_FIGURES].[].[ZINPUTSOFC]_x000D_
[LOCID].[].[0001004681]_x000D_
[PRDID].[].[20000328]_x000D_
[KEY_FIGURES].[].[ZFORECASTOPENOUTPUT]_x000D_
[LOCID].[].[0001004681]_x000D_
[PRDID].[].[20000328]_x000D_
[KEY_FIGURES].[].[ZACTUALSALES]_x000D_
[LOCID].[].[0001004681]_x000D_
[PRDID].[].[20000328]_x000D_
[KEY_FIGURES].[].[ZCONSENSUSDEMAND]_x000D_
[LOCID].[].[0001004681]_x000D_
[PRDID].[].[20000328]_x000D_
[KEY_FIGURES].[].[INDEPENDENTDEMAND]_x000D_
[LOCID].[].[0001004681]_x000D_
[PRDID].[].[20000329]_x000D_
[KEY_FIGURES].[].[ZCONSENSUSDEMANDQTY]_x000D_
[LOCID].[].[0001004681]_x000D_
[PRDID].[].[20000329]_x000D_
[KEY_FIGURES].[].[ZINPUTSOFC]_x000D_
[LOCID].[].[0001004681]_x000D_
[PRDID].[].[20000329]_x000D_
[KEY_FIGURES].[].[ZFORECASTOPENOUTPUT]_x000D_
[LOCID].[].[0001004681]_x000D_
[PRDID].[].[20000329]_x000D_
[KEY_FIGURES].[].[ZACTUALSALES]_x000D_
[LOCID].[].[0001004681]_x000D_
[PRDID].[].[20000329]_x000D_
[KEY_FIGURES].[].[ZCONSENSUSDEMAND]_x000D_
[LOCID].[].[0001004681]_x000D_
[PRDID].[].[20000329]_x000D_
[KEY_FIGURES].[].[INDEPENDENTDEMAND]_x000D_
[LOCID].[].[0001004681]_x000D_
[PRDID].[].[20000330]_x000D_
[KEY_FIGURES].[].[ZCONSENSUSDEMANDQTY]_x000D_
[LOCID].[].[0001004681]</t>
  </si>
  <si>
    <t>[PRDID].[].[20000330]_x000D_
[KEY_FIGURES].[].[ZINPUTSOFC]_x000D_
[LOCID].[].[0001004681]_x000D_
[PRDID].[].[20000330]_x000D_
[KEY_FIGURES].[].[ZFORECASTOPENOUTPUT]_x000D_
[LOCID].[].[0001004681]_x000D_
[PRDID].[].[20000330]_x000D_
[KEY_FIGURES].[].[ZACTUALSALES]_x000D_
[LOCID].[].[0001004681]_x000D_
[PRDID].[].[20000330]_x000D_
[KEY_FIGURES].[].[ZCONSENSUSDEMAND]_x000D_
[LOCID].[].[0001004681]_x000D_
[PRDID].[].[20000330]_x000D_
[KEY_FIGURES].[].[INDEPENDENTDEMAND]_x000D_
[LOCID].[].[0001004681]_x000D_
[PRDID].[].[20000331]_x000D_
[KEY_FIGURES].[].[ZCONSENSUSDEMANDQTY]_x000D_
[LOCID].[].[0001004681]_x000D_
[PRDID].[].[20000331]_x000D_
[KEY_FIGURES].[].[ZINPUTSOFC]_x000D_
[LOCID].[].[0001004681]_x000D_
[PRDID].[].[20000331]_x000D_
[KEY_FIGURES].[].[ZFORECASTOPENOUTPUT]_x000D_
[LOCID].[].[0001004681]_x000D_
[PRDID].[].[20000331]_x000D_
[KEY_FIGURES].[].[ZACTUALSALES]_x000D_
[LOCID].[].[0001004681]_x000D_
[PRDID].[].[20000331]_x000D_
[KEY_FIGURES].[].[ZCONSENSUSDEMAND]_x000D_
[LOCID].[].[0001004681]_x000D_
[PRDID].[].[20000331]_x000D_
[KEY_FIGURES].[].[INDEPENDENTDEMAND]_x000D_
[LOCID].[].[0001004681]_x000D_
[PRDID].[].[20000332]_x000D_
[KEY_FIGURES].[].[ZCONSENSUSDEMANDQTY]_x000D_
[LOCID].[].[0001004681]_x000D_
[PRDID].[].[20000332]_x000D_
[KEY_FIGURES].[].[ZINPUTSOFC]_x000D_
[LOCID].[].[0001004681]_x000D_
[PRDID].[].[20000332]_x000D_
[KEY_FIGURES].[].[ZFORECASTOPENOUTPUT]_x000D_
[LOCID].[].[0001004681]_x000D_
[PRDID].[].[20000332]_x000D_
[KEY_FIGURES].[].[ZACTUALSALES]_x000D_
[LOCID].[].[0001004681]_x000D_
[PRDID].[].[20000332]_x000D_
[KEY_FIGURES].[].[ZCONSENSUSDEMAND]_x000D_
[LOCID].[].[0001004681]_x000D_
[PRDID].[].[20000332]_x000D_
[KEY_FIGURES].[].[INDEPENDENTDEMAND]_x000D_
[LOCID].[].[0001004681]_x000D_
[PRDID].[].[20000333]_x000D_
[KEY_FIGURES].[].[ZCONSENSUSDEMANDQTY]_x000D_
[LOCID].[].[0001004681]_x000D_
[PRDID].[].[20000333]_x000D_
[KEY_FIGURES].[].[ZINPUTSOFC]_x000D_
[LOCID].[].[0001004681]_x000D_
[PRDID].[].[20000333]_x000D_
[KEY_FIGURES].[].[ZFORECASTOPENOUTPUT]_x000D_
[LOCID].[].[0001004681]_x000D_
[PRDID].[].[20000333]_x000D_
[KEY_FIGURES].[].[ZACTUALSALES]_x000D_
[LOCID].[].[0001004681]_x000D_
[PRDID].[].[20000333]_x000D_
[KEY_FIGURES].[].[ZCONSENSUSDEMAND]_x000D_
[LOCID].[].[0001004681]_x000D_
[PRDID].[].[20000333]_x000D_
[KEY_FIGURES].[].[INDEPENDENTDEMAND]_x000D_
[LOCID].[].[0001004681]_x000D_
[PRDID].[].[20000334]_x000D_
[KEY_FIGURES].[].[ZCONSENSUSDEMANDQTY]_x000D_
[LOCID].[].[0001004681]_x000D_
[PRDID].[].[20000334]_x000D_
[KEY_FIGURES].[].[ZINPUTSOFC]_x000D_
[LOCID].[].[0001004681]_x000D_
[PRDID].[].[20000334]_x000D_
[KEY_FIGURES].[].[ZFORECASTOPENOUTPUT]_x000D_
[LOCID].[].[0001004681]_x000D_
[PRDID].[].[20000334]_x000D_
[KEY_FIGURES].[].[ZACTUALSALES]_x000D_
[LOCID].[].[0001004681]_x000D_
[PRDID].[].[20000334]_x000D_
[KEY_FIGURES].[].[ZCONSENSUSDEMAND]_x000D_
[LOCID].[].[0001004681]_x000D_
[PRDID].[].[20000334]_x000D_
[KEY_FIGURES].[].[INDEPENDENTDEMAND]_x000D_
[LOCID].[].[0001004681]_x000D_
[PRDID].[].[20000335]_x000D_
[KEY_FIGURES].[].[ZCONSENSUSDEMANDQTY]_x000D_
[LOCID].[].[0001004681]_x000D_
[PRDID].[].[20000335]_x000D_
[KEY_FIGURES].[].[ZINPUTSOFC]_x000D_
[LOCID].[].[0001004681]_x000D_
[PRDID].[].[20000335]_x000D_
[KEY_FIGURES].[].[ZFORECASTOPENOUTPUT]_x000D_
[LOCID].[].[0001004681]_x000D_
[PRDID].[].[20000335]_x000D_
[KEY_FIGURES].[].[ZACTUALSALES]_x000D_
[LOCID].[].[0001004681]_x000D_
[PRDID].[].[20000335]_x000D_
[KEY_FIGURES].[].[ZCONSENSUSDEMAND]_x000D_
[LOCID].[].[0001004681]_x000D_
[PRDID].[].[20000335]_x000D_
[KEY_FIGURES].[].[INDEPENDENTDEMAND]_x000D_
[LOCID].[].[0001004692]_x000D_
[PRDID].[].[20000054]_x000D_
[KEY_FIGURES].[].[ZCONSENSUSDEMANDQTY]_x000D_
[LOCID].[].[0001004692]_x000D_
[PRDID].[].[20000054]_x000D_
[KEY_FIGURES].[].[ZINPUTSOFC]_x000D_
[LOCID].[].[0001004692]_x000D_
[PRDID].[].[20000054]_x000D_
[KEY_FIGURES].[].[ZFORECASTOPENOUTPUT]_x000D_
[LOCID].[].[0001004692]_x000D_
[PRDID].[].[20000054]_x000D_
[KEY_FIGURES].[].[ZACTUALSALES]_x000D_
[LOCID].[].[0001004692]_x000D_
[PRDID].[].[20000054]_x000D_
[KEY_FIGURES].[].[ZCONSENSUSDEMAND]_x000D_
[LOCID].[].[0001004692]_x000D_
[PRDID].[].[20000054]_x000D_
[KEY_FIGURES].[].[INDEPENDENTDEMAND]_x000D_
[LOCID].[].[0001004692]_x000D_
[PRDID].[].[20000055]_x000D_
[KEY_FIGURES].[].[ZCONSENSUSDEMANDQTY]_x000D_
[LOCID].[].[0001004692]_x000D_
[PRDID].[].[20000055]_x000D_
[KEY_FIGURES].[].[ZINPUTSOFC]_x000D_
[LOCID].[].[0001004692]_x000D_
[PRDID].[].[20000055]_x000D_
[KEY_FIGURES].[].[ZFORECASTOPENOUTPUT]_x000D_
[LOCID].[].[0001004692]_x000D_
[PRDID].[].[20000055]_x000D_
[KEY_FIGURES].[].[ZACTUALSALES]_x000D_
[LOCID].[].[0001004692]_x000D_
[PRDID].[].[20000055]_x000D_
[KEY_FIGURES].[].[ZCONSENSUSDEMAND]_x000D_
[LOCID].[].[0001004692]_x000D_
[PRDID].[].[20000055]_x000D_
[KEY_FIGURES].[].[INDEPENDENTDEMAND]_x000D_
[LOCID].[].[0001004692]_x000D_
[PRDID].[].[20000056]_x000D_
[KEY_FIGURES].[].[ZCONSENSUSDEMANDQTY]_x000D_
[LOCID].[].[0001004692]_x000D_
[PRDID].[].[20000056]_x000D_
[KEY_FIGURES].[].[ZINPUTSOFC]_x000D_
[LOCID].[].[0001004692]_x000D_
[PRDID].[].[20000056]_x000D_
[KEY_FIGURES].[].[ZFORECASTOPENOUTPUT]_x000D_
[LOCID].[].[0001004692]_x000D_
[PRDID].[].[20000056]_x000D_
[KEY_FIGURES].[].[ZACTUALSALES]_x000D_
[LOCID].[].[0001004692]_x000D_
[PRDID].[].[20000056]_x000D_
[KEY_FIGURES].[].[ZCONSENSUSDEMAND]_x000D_
[LOCID].[].[0001004692]_x000D_
[PRDID].[].[20000056]_x000D_
[KEY_FIGURES].[].[INDEPENDENTDEMAND]_x000D_
[LOCID].[].[0001004692]_x000D_
[PRDID].[].[20000057]_x000D_
[KEY_FIGURES].[].[ZCONSENSUSDEMANDQTY]_x000D_
[LOCID].[].[0001004692]_x000D_
[PRDID].[].[20000057]_x000D_
[KEY_FIGURES].[].[ZINPUTSOFC]_x000D_
[LOCID].[].[0001004692]_x000D_
[PRDID].[].[20000057]_x000D_
[KEY_FIGURES].[].[ZFORECASTOPENOUTPUT]_x000D_
[LOCID].[].[0001004692]_x000D_
[PRDID].[].[20000057]_x000D_
[KEY_FIGURES].[].[ZACTUALSALES]_x000D_
[LOCID].[].[0001004692]_x000D_
[PRDID].[].[20000057]_x000D_
[KEY_FIGURES].[].[ZCONSENSUSDEMAND]_x000D_
[LOCID].[].[0001004692]_x000D_
[PRDID].[].[20000057]_x000D_
[KEY_FIGURES].[].[INDEPENDENTDEMAND]_x000D_
[LOCID].[].[0001004692]_x000D_
[PRDID].[].[20000058]_x000D_
[KEY_FIGURES].[].[ZCONSENSUSDEMANDQTY]_x000D_
[LOCID].[].[0001004692]_x000D_
[PRDID].[].[20000058]_x000D_
[KEY_FIGURES].[].[ZINPUTSOFC]_x000D_
[LOCID].[].[0001004692]_x000D_
[PRDID].[].[20000058]_x000D_
[KEY_FIGURES].[].[ZFORECASTOPENOUTPUT]_x000D_
[LOCID].[].[0001004692]_x000D_
[PRDID].[].[20000058]_x000D_
[KEY_FIGURES].[].[ZACTUALSALES]_x000D_
[LOCID].[].[0001004692]_x000D_
[PRDID].[].[20000058]_x000D_
[KEY_FIGURES].[].[ZCONSENSUSDEMAND]_x000D_
[LOCID].[].[0001004692]_x000D_
[PRDID].[].[20000058]_x000D_
[KEY_FIGURES].[].[INDEPENDENTDEMAND]_x000D_
[LOCID].[].[0001004692]_x000D_
[PRDID].[].[20000059]_x000D_
[KEY_FIGURES].[].[ZCONSENSUSDEMANDQTY]_x000D_
[LOCID].[].[0001004692]_x000D_
[PRDID].[].[20000059]_x000D_
[KEY_FIGURES].[].[ZINPUTSOFC]</t>
  </si>
  <si>
    <t>[LOCID].[].[0001004692]_x000D_
[PRDID].[].[20000059]_x000D_
[KEY_FIGURES].[].[ZFORECASTOPENOUTPUT]_x000D_
[LOCID].[].[0001004692]_x000D_
[PRDID].[].[20000059]_x000D_
[KEY_FIGURES].[].[ZACTUALSALES]_x000D_
[LOCID].[].[0001004692]_x000D_
[PRDID].[].[20000059]_x000D_
[KEY_FIGURES].[].[ZCONSENSUSDEMAND]_x000D_
[LOCID].[].[0001004692]_x000D_
[PRDID].[].[20000059]_x000D_
[KEY_FIGURES].[].[INDEPENDENTDEMAND]_x000D_
[LOCID].[].[0001004692]_x000D_
[PRDID].[].[20000060]_x000D_
[KEY_FIGURES].[].[ZCONSENSUSDEMANDQTY]_x000D_
[LOCID].[].[0001004692]_x000D_
[PRDID].[].[20000060]_x000D_
[KEY_FIGURES].[].[ZINPUTSOFC]_x000D_
[LOCID].[].[0001004692]_x000D_
[PRDID].[].[20000060]_x000D_
[KEY_FIGURES].[].[ZFORECASTOPENOUTPUT]_x000D_
[LOCID].[].[0001004692]_x000D_
[PRDID].[].[20000060]_x000D_
[KEY_FIGURES].[].[ZACTUALSALES]_x000D_
[LOCID].[].[0001004692]_x000D_
[PRDID].[].[20000060]_x000D_
[KEY_FIGURES].[].[ZCONSENSUSDEMAND]_x000D_
[LOCID].[].[0001004692]_x000D_
[PRDID].[].[20000060]_x000D_
[KEY_FIGURES].[].[INDEPENDENTDEMAND]_x000D_
[LOCID].[].[0001004692]_x000D_
[PRDID].[].[20000061]_x000D_
[KEY_FIGURES].[].[ZCONSENSUSDEMANDQTY]_x000D_
[LOCID].[].[0001004692]_x000D_
[PRDID].[].[20000061]_x000D_
[KEY_FIGURES].[].[ZINPUTSOFC]_x000D_
[LOCID].[].[0001004692]_x000D_
[PRDID].[].[20000061]_x000D_
[KEY_FIGURES].[].[ZFORECASTOPENOUTPUT]_x000D_
[LOCID].[].[0001004692]_x000D_
[PRDID].[].[20000061]_x000D_
[KEY_FIGURES].[].[ZACTUALSALES]_x000D_
[LOCID].[].[0001004692]_x000D_
[PRDID].[].[20000061]_x000D_
[KEY_FIGURES].[].[ZCONSENSUSDEMAND]_x000D_
[LOCID].[].[0001004692]_x000D_
[PRDID].[].[20000061]_x000D_
[KEY_FIGURES].[].[INDEPENDENTDEMAND]_x000D_
[LOCID].[].[0001004692]_x000D_
[PRDID].[].[20000062]_x000D_
[KEY_FIGURES].[].[ZCONSENSUSDEMANDQTY]_x000D_
[LOCID].[].[0001004692]_x000D_
[PRDID].[].[20000062]_x000D_
[KEY_FIGURES].[].[ZINPUTSOFC]_x000D_
[LOCID].[].[0001004692]_x000D_
[PRDID].[].[20000062]_x000D_
[KEY_FIGURES].[].[ZFORECASTOPENOUTPUT]_x000D_
[LOCID].[].[0001004692]_x000D_
[PRDID].[].[20000062]_x000D_
[KEY_FIGURES].[].[ZACTUALSALES]_x000D_
[LOCID].[].[0001004692]_x000D_
[PRDID].[].[20000062]_x000D_
[KEY_FIGURES].[].[ZCONSENSUSDEMAND]_x000D_
[LOCID].[].[0001004692]_x000D_
[PRDID].[].[20000062]_x000D_
[KEY_FIGURES].[].[INDEPENDENTDEMAND]_x000D_
[LOCID].[].[0001004692]_x000D_
[PRDID].[].[20000063]_x000D_
[KEY_FIGURES].[].[ZCONSENSUSDEMANDQTY]_x000D_
[LOCID].[].[0001004692]_x000D_
[PRDID].[].[20000063]_x000D_
[KEY_FIGURES].[].[ZINPUTSOFC]_x000D_
[LOCID].[].[0001004692]_x000D_
[PRDID].[].[20000063]_x000D_
[KEY_FIGURES].[].[ZFORECASTOPENOUTPUT]_x000D_
[LOCID].[].[0001004692]_x000D_
[PRDID].[].[20000063]_x000D_
[KEY_FIGURES].[].[ZACTUALSALES]_x000D_
[LOCID].[].[0001004692]_x000D_
[PRDID].[].[20000063]_x000D_
[KEY_FIGURES].[].[ZCONSENSUSDEMAND]_x000D_
[LOCID].[].[0001004692]_x000D_
[PRDID].[].[20000063]_x000D_
[KEY_FIGURES].[].[INDEPENDENTDEMAND]_x000D_
[LOCID].[].[0001004692]_x000D_
[PRDID].[].[20000064]_x000D_
[KEY_FIGURES].[].[ZCONSENSUSDEMANDQTY]_x000D_
[LOCID].[].[0001004692]_x000D_
[PRDID].[].[20000064]_x000D_
[KEY_FIGURES].[].[ZINPUTSOFC]_x000D_
[LOCID].[].[0001004692]_x000D_
[PRDID].[].[20000064]_x000D_
[KEY_FIGURES].[].[ZFORECASTOPENOUTPUT]_x000D_
[LOCID].[].[0001004692]_x000D_
[PRDID].[].[20000064]_x000D_
[KEY_FIGURES].[].[ZACTUALSALES]_x000D_
[LOCID].[].[0001004692]_x000D_
[PRDID].[].[20000064]_x000D_
[KEY_FIGURES].[].[ZCONSENSUSDEMAND]_x000D_
[LOCID].[].[0001004692]_x000D_
[PRDID].[].[20000064]_x000D_
[KEY_FIGURES].[].[INDEPENDENTDEMAND]_x000D_
[LOCID].[].[0001004692]_x000D_
[PRDID].[].[20000065]_x000D_
[KEY_FIGURES].[].[ZCONSENSUSDEMANDQTY]_x000D_
[LOCID].[].[0001004692]_x000D_
[PRDID].[].[20000065]_x000D_
[KEY_FIGURES].[].[ZINPUTSOFC]_x000D_
[LOCID].[].[0001004692]_x000D_
[PRDID].[].[20000065]_x000D_
[KEY_FIGURES].[].[ZFORECASTOPENOUTPUT]_x000D_
[LOCID].[].[0001004692]_x000D_
[PRDID].[].[20000065]_x000D_
[KEY_FIGURES].[].[ZACTUALSALES]_x000D_
[LOCID].[].[0001004692]_x000D_
[PRDID].[].[20000065]_x000D_
[KEY_FIGURES].[].[ZCONSENSUSDEMAND]_x000D_
[LOCID].[].[0001004692]_x000D_
[PRDID].[].[20000065]_x000D_
[KEY_FIGURES].[].[INDEPENDENTDEMAND]_x000D_
[LOCID].[].[0001004692]_x000D_
[PRDID].[].[20000066]_x000D_
[KEY_FIGURES].[].[ZCONSENSUSDEMANDQTY]_x000D_
[LOCID].[].[0001004692]_x000D_
[PRDID].[].[20000066]_x000D_
[KEY_FIGURES].[].[ZINPUTSOFC]_x000D_
[LOCID].[].[0001004692]_x000D_
[PRDID].[].[20000066]_x000D_
[KEY_FIGURES].[].[ZFORECASTOPENOUTPUT]_x000D_
[LOCID].[].[0001004692]_x000D_
[PRDID].[].[20000066]_x000D_
[KEY_FIGURES].[].[ZACTUALSALES]_x000D_
[LOCID].[].[0001004692]_x000D_
[PRDID].[].[20000066]_x000D_
[KEY_FIGURES].[].[ZCONSENSUSDEMAND]_x000D_
[LOCID].[].[0001004692]_x000D_
[PRDID].[].[20000066]_x000D_
[KEY_FIGURES].[].[INDEPENDENTDEMAND]_x000D_
[LOCID].[].[0001004692]_x000D_
[PRDID].[].[20000067]_x000D_
[KEY_FIGURES].[].[ZCONSENSUSDEMANDQTY]_x000D_
[LOCID].[].[0001004692]_x000D_
[PRDID].[].[20000067]_x000D_
[KEY_FIGURES].[].[ZINPUTSOFC]_x000D_
[LOCID].[].[0001004692]_x000D_
[PRDID].[].[20000067]_x000D_
[KEY_FIGURES].[].[ZFORECASTOPENOUTPUT]_x000D_
[LOCID].[].[0001004692]_x000D_
[PRDID].[].[20000067]_x000D_
[KEY_FIGURES].[].[ZACTUALSALES]_x000D_
[LOCID].[].[0001004692]_x000D_
[PRDID].[].[20000067]_x000D_
[KEY_FIGURES].[].[ZCONSENSUSDEMAND]_x000D_
[LOCID].[].[0001004692]_x000D_
[PRDID].[].[20000067]_x000D_
[KEY_FIGURES].[].[INDEPENDENTDEMAND]_x000D_
[LOCID].[].[0001004692]_x000D_
[PRDID].[].[20000068]_x000D_
[KEY_FIGURES].[].[ZCONSENSUSDEMANDQTY]_x000D_
[LOCID].[].[0001004692]_x000D_
[PRDID].[].[20000068]_x000D_
[KEY_FIGURES].[].[ZINPUTSOFC]_x000D_
[LOCID].[].[0001004692]_x000D_
[PRDID].[].[20000068]_x000D_
[KEY_FIGURES].[].[ZFORECASTOPENOUTPUT]_x000D_
[LOCID].[].[0001004692]_x000D_
[PRDID].[].[20000068]_x000D_
[KEY_FIGURES].[].[ZACTUALSALES]_x000D_
[LOCID].[].[0001004692]_x000D_
[PRDID].[].[20000068]_x000D_
[KEY_FIGURES].[].[ZCONSENSUSDEMAND]_x000D_
[LOCID].[].[0001004692]_x000D_
[PRDID].[].[20000068]_x000D_
[KEY_FIGURES].[].[INDEPENDENTDEMAND]_x000D_
[LOCID].[].[0001004692]_x000D_
[PRDID].[].[20000069]_x000D_
[KEY_FIGURES].[].[ZCONSENSUSDEMANDQTY]_x000D_
[LOCID].[].[0001004692]_x000D_
[PRDID].[].[20000069]_x000D_
[KEY_FIGURES].[].[ZINPUTSOFC]_x000D_
[LOCID].[].[0001004692]_x000D_
[PRDID].[].[20000069]_x000D_
[KEY_FIGURES].[].[ZFORECASTOPENOUTPUT]_x000D_
[LOCID].[].[0001004692]_x000D_
[PRDID].[].[20000069]_x000D_
[KEY_FIGURES].[].[ZACTUALSALES]_x000D_
[LOCID].[].[0001004692]_x000D_
[PRDID].[].[20000069]_x000D_
[KEY_FIGURES].[].[ZCONSENSUSDEMAND]_x000D_
[LOCID].[].[0001004692]_x000D_
[PRDID].[].[20000069]_x000D_
[KEY_FIGURES].[].[INDEPENDENTDEMAND]_x000D_
[LOCID].[].[0001004692]_x000D_
[PRDID].[].[20000070]_x000D_
[KEY_FIGURES].[].[ZCONSENSUSDEMANDQTY]_x000D_
[LOCID].[].[0001004692]_x000D_
[PRDID].[].[20000070]_x000D_
[KEY_FIGURES].[].[ZINPUTSOFC]_x000D_
[LOCID].[].[0001004692]_x000D_
[PRDID].[].[20000070]</t>
  </si>
  <si>
    <t>[KEY_FIGURES].[].[ZFORECASTOPENOUTPUT]_x000D_
[LOCID].[].[0001004692]_x000D_
[PRDID].[].[20000070]_x000D_
[KEY_FIGURES].[].[ZACTUALSALES]_x000D_
[LOCID].[].[0001004692]_x000D_
[PRDID].[].[20000070]_x000D_
[KEY_FIGURES].[].[ZCONSENSUSDEMAND]_x000D_
[LOCID].[].[0001004692]_x000D_
[PRDID].[].[20000070]_x000D_
[KEY_FIGURES].[].[INDEPENDENTDEMAND]_x000D_
[LOCID].[].[0001004692]_x000D_
[PRDID].[].[20000071]_x000D_
[KEY_FIGURES].[].[ZCONSENSUSDEMANDQTY]_x000D_
[LOCID].[].[0001004692]_x000D_
[PRDID].[].[20000071]_x000D_
[KEY_FIGURES].[].[ZINPUTSOFC]_x000D_
[LOCID].[].[0001004692]_x000D_
[PRDID].[].[20000071]_x000D_
[KEY_FIGURES].[].[ZFORECASTOPENOUTPUT]_x000D_
[LOCID].[].[0001004692]_x000D_
[PRDID].[].[20000071]_x000D_
[KEY_FIGURES].[].[ZACTUALSALES]_x000D_
[LOCID].[].[0001004692]_x000D_
[PRDID].[].[20000071]_x000D_
[KEY_FIGURES].[].[ZCONSENSUSDEMAND]_x000D_
[LOCID].[].[0001004692]_x000D_
[PRDID].[].[20000071]_x000D_
[KEY_FIGURES].[].[INDEPENDENTDEMAND]_x000D_
[LOCID].[].[0001004692]_x000D_
[PRDID].[].[20000072]_x000D_
[KEY_FIGURES].[].[ZCONSENSUSDEMANDQTY]_x000D_
[LOCID].[].[0001004692]_x000D_
[PRDID].[].[20000072]_x000D_
[KEY_FIGURES].[].[ZINPUTSOFC]_x000D_
[LOCID].[].[0001004692]_x000D_
[PRDID].[].[20000072]_x000D_
[KEY_FIGURES].[].[ZFORECASTOPENOUTPUT]_x000D_
[LOCID].[].[0001004692]_x000D_
[PRDID].[].[20000072]_x000D_
[KEY_FIGURES].[].[ZACTUALSALES]_x000D_
[LOCID].[].[0001004692]_x000D_
[PRDID].[].[20000072]_x000D_
[KEY_FIGURES].[].[ZCONSENSUSDEMAND]_x000D_
[LOCID].[].[0001004692]_x000D_
[PRDID].[].[20000072]_x000D_
[KEY_FIGURES].[].[INDEPENDENTDEMAND]_x000D_
[LOCID].[].[0001004692]_x000D_
[PRDID].[].[20000073]_x000D_
[KEY_FIGURES].[].[ZCONSENSUSDEMANDQTY]_x000D_
[LOCID].[].[0001004692]_x000D_
[PRDID].[].[20000073]_x000D_
[KEY_FIGURES].[].[ZINPUTSOFC]_x000D_
[LOCID].[].[0001004692]_x000D_
[PRDID].[].[20000073]_x000D_
[KEY_FIGURES].[].[ZFORECASTOPENOUTPUT]_x000D_
[LOCID].[].[0001004692]_x000D_
[PRDID].[].[20000073]_x000D_
[KEY_FIGURES].[].[ZACTUALSALES]_x000D_
[LOCID].[].[0001004692]_x000D_
[PRDID].[].[20000073]_x000D_
[KEY_FIGURES].[].[ZCONSENSUSDEMAND]_x000D_
[LOCID].[].[0001004692]_x000D_
[PRDID].[].[20000073]_x000D_
[KEY_FIGURES].[].[INDEPENDENTDEMAND]_x000D_
[LOCID].[].[0001004692]_x000D_
[PRDID].[].[20000074]_x000D_
[KEY_FIGURES].[].[ZCONSENSUSDEMANDQTY]_x000D_
[LOCID].[].[0001004692]_x000D_
[PRDID].[].[20000074]_x000D_
[KEY_FIGURES].[].[ZINPUTSOFC]_x000D_
[LOCID].[].[0001004692]_x000D_
[PRDID].[].[20000074]_x000D_
[KEY_FIGURES].[].[ZFORECASTOPENOUTPUT]_x000D_
[LOCID].[].[0001004692]_x000D_
[PRDID].[].[20000074]_x000D_
[KEY_FIGURES].[].[ZACTUALSALES]_x000D_
[LOCID].[].[0001004692]_x000D_
[PRDID].[].[20000074]_x000D_
[KEY_FIGURES].[].[ZCONSENSUSDEMAND]_x000D_
[LOCID].[].[0001004692]_x000D_
[PRDID].[].[20000074]_x000D_
[KEY_FIGURES].[].[INDEPENDENTDEMAND]_x000D_
[LOCID].[].[0001004692]_x000D_
[PRDID].[].[20000075]_x000D_
[KEY_FIGURES].[].[ZCONSENSUSDEMANDQTY]_x000D_
[LOCID].[].[0001004692]_x000D_
[PRDID].[].[20000075]_x000D_
[KEY_FIGURES].[].[ZINPUTSOFC]_x000D_
[LOCID].[].[0001004692]_x000D_
[PRDID].[].[20000075]_x000D_
[KEY_FIGURES].[].[ZFORECASTOPENOUTPUT]_x000D_
[LOCID].[].[0001004692]_x000D_
[PRDID].[].[20000075]_x000D_
[KEY_FIGURES].[].[ZACTUALSALES]_x000D_
[LOCID].[].[0001004692]_x000D_
[PRDID].[].[20000075]_x000D_
[KEY_FIGURES].[].[ZCONSENSUSDEMAND]_x000D_
[LOCID].[].[0001004692]_x000D_
[PRDID].[].[20000075]_x000D_
[KEY_FIGURES].[].[INDEPENDENTDEMAND]_x000D_
[LOCID].[].[0001004692]_x000D_
[PRDID].[].[20000078]_x000D_
[KEY_FIGURES].[].[ZCONSENSUSDEMANDQTY]_x000D_
[LOCID].[].[0001004692]_x000D_
[PRDID].[].[20000078]_x000D_
[KEY_FIGURES].[].[ZINPUTSOFC]_x000D_
[LOCID].[].[0001004692]_x000D_
[PRDID].[].[20000078]_x000D_
[KEY_FIGURES].[].[ZFORECASTOPENOUTPUT]_x000D_
[LOCID].[].[0001004692]_x000D_
[PRDID].[].[20000078]_x000D_
[KEY_FIGURES].[].[ZACTUALSALES]_x000D_
[LOCID].[].[0001004692]_x000D_
[PRDID].[].[20000078]_x000D_
[KEY_FIGURES].[].[ZCONSENSUSDEMAND]_x000D_
[LOCID].[].[0001004692]_x000D_
[PRDID].[].[20000078]_x000D_
[KEY_FIGURES].[].[INDEPENDENTDEMAND]_x000D_
[LOCID].[].[0001004692]_x000D_
[PRDID].[].[20000079]_x000D_
[KEY_FIGURES].[].[ZCONSENSUSDEMANDQTY]_x000D_
[LOCID].[].[0001004692]_x000D_
[PRDID].[].[20000079]_x000D_
[KEY_FIGURES].[].[ZINPUTSOFC]_x000D_
[LOCID].[].[0001004692]_x000D_
[PRDID].[].[20000079]_x000D_
[KEY_FIGURES].[].[ZFORECASTOPENOUTPUT]_x000D_
[LOCID].[].[0001004692]_x000D_
[PRDID].[].[20000079]_x000D_
[KEY_FIGURES].[].[ZACTUALSALES]_x000D_
[LOCID].[].[0001004692]_x000D_
[PRDID].[].[20000079]_x000D_
[KEY_FIGURES].[].[ZCONSENSUSDEMAND]_x000D_
[LOCID].[].[0001004692]_x000D_
[PRDID].[].[20000079]_x000D_
[KEY_FIGURES].[].[INDEPENDENTDEMAND]_x000D_
[LOCID].[].[0001004692]_x000D_
[PRDID].[].[20000086]_x000D_
[KEY_FIGURES].[].[ZCONSENSUSDEMANDQTY]_x000D_
[LOCID].[].[0001004692]_x000D_
[PRDID].[].[20000086]_x000D_
[KEY_FIGURES].[].[ZINPUTSOFC]_x000D_
[LOCID].[].[0001004692]_x000D_
[PRDID].[].[20000086]_x000D_
[KEY_FIGURES].[].[ZFORECASTOPENOUTPUT]_x000D_
[LOCID].[].[0001004692]_x000D_
[PRDID].[].[20000086]_x000D_
[KEY_FIGURES].[].[ZACTUALSALES]_x000D_
[LOCID].[].[0001004692]_x000D_
[PRDID].[].[20000086]_x000D_
[KEY_FIGURES].[].[ZCONSENSUSDEMAND]_x000D_
[LOCID].[].[0001004692]_x000D_
[PRDID].[].[20000086]_x000D_
[KEY_FIGURES].[].[INDEPENDENTDEMAND]_x000D_
[LOCID].[].[0001004692]_x000D_
[PRDID].[].[20000090]_x000D_
[KEY_FIGURES].[].[ZCONSENSUSDEMANDQTY]_x000D_
[LOCID].[].[0001004692]_x000D_
[PRDID].[].[20000090]_x000D_
[KEY_FIGURES].[].[ZINPUTSOFC]_x000D_
[LOCID].[].[0001004692]_x000D_
[PRDID].[].[20000090]_x000D_
[KEY_FIGURES].[].[ZFORECASTOPENOUTPUT]_x000D_
[LOCID].[].[0001004692]_x000D_
[PRDID].[].[20000090]_x000D_
[KEY_FIGURES].[].[ZACTUALSALES]_x000D_
[LOCID].[].[0001004692]_x000D_
[PRDID].[].[20000090]_x000D_
[KEY_FIGURES].[].[ZCONSENSUSDEMAND]_x000D_
[LOCID].[].[0001004692]_x000D_
[PRDID].[].[20000090]_x000D_
[KEY_FIGURES].[].[INDEPENDENTDEMAND]_x000D_
[LOCID].[].[0001004692]_x000D_
[PRDID].[].[20000091]_x000D_
[KEY_FIGURES].[].[ZCONSENSUSDEMANDQTY]_x000D_
[LOCID].[].[0001004692]_x000D_
[PRDID].[].[20000091]_x000D_
[KEY_FIGURES].[].[ZINPUTSOFC]_x000D_
[LOCID].[].[0001004692]_x000D_
[PRDID].[].[20000091]_x000D_
[KEY_FIGURES].[].[ZFORECASTOPENOUTPUT]_x000D_
[LOCID].[].[0001004692]_x000D_
[PRDID].[].[20000091]_x000D_
[KEY_FIGURES].[].[ZACTUALSALES]_x000D_
[LOCID].[].[0001004692]_x000D_
[PRDID].[].[20000091]_x000D_
[KEY_FIGURES].[].[ZCONSENSUSDEMAND]_x000D_
[LOCID].[].[0001004692]_x000D_
[PRDID].[].[20000091]_x000D_
[KEY_FIGURES].[].[INDEPENDENTDEMAND]_x000D_
[LOCID].[].[0001004692]_x000D_
[PRDID].[].[20000094]_x000D_
[KEY_FIGURES].[].[ZCONSENSUSDEMANDQTY]_x000D_
[LOCID].[].[0001004692]_x000D_
[PRDID].[].[20000094]_x000D_
[KEY_FIGURES].[].[ZINPUTSOFC]_x000D_
[LOCID].[].[0001004692]_x000D_
[PRDID].[].[20000094]_x000D_
[KEY_FIGURES].[].[ZFORECASTOPENOUTPUT]_x000D_
[LOCID].[].[0001004692]</t>
  </si>
  <si>
    <t>[PRDID].[].[20000094]_x000D_
[KEY_FIGURES].[].[ZACTUALSALES]_x000D_
[LOCID].[].[0001004692]_x000D_
[PRDID].[].[20000094]_x000D_
[KEY_FIGURES].[].[ZCONSENSUSDEMAND]_x000D_
[LOCID].[].[0001004692]_x000D_
[PRDID].[].[20000094]_x000D_
[KEY_FIGURES].[].[INDEPENDENTDEMAND]_x000D_
[LOCID].[].[0001004692]_x000D_
[PRDID].[].[20000095]_x000D_
[KEY_FIGURES].[].[ZCONSENSUSDEMANDQTY]_x000D_
[LOCID].[].[0001004692]_x000D_
[PRDID].[].[20000095]_x000D_
[KEY_FIGURES].[].[ZINPUTSOFC]_x000D_
[LOCID].[].[0001004692]_x000D_
[PRDID].[].[20000095]_x000D_
[KEY_FIGURES].[].[ZFORECASTOPENOUTPUT]_x000D_
[LOCID].[].[0001004692]_x000D_
[PRDID].[].[20000095]_x000D_
[KEY_FIGURES].[].[ZACTUALSALES]_x000D_
[LOCID].[].[0001004692]_x000D_
[PRDID].[].[20000095]_x000D_
[KEY_FIGURES].[].[ZCONSENSUSDEMAND]_x000D_
[LOCID].[].[0001004692]_x000D_
[PRDID].[].[20000095]_x000D_
[KEY_FIGURES].[].[INDEPENDENTDEMAND]_x000D_
[LOCID].[].[0001004692]_x000D_
[PRDID].[].[20000096]_x000D_
[KEY_FIGURES].[].[ZCONSENSUSDEMANDQTY]_x000D_
[LOCID].[].[0001004692]_x000D_
[PRDID].[].[20000096]_x000D_
[KEY_FIGURES].[].[ZINPUTSOFC]_x000D_
[LOCID].[].[0001004692]_x000D_
[PRDID].[].[20000096]_x000D_
[KEY_FIGURES].[].[ZFORECASTOPENOUTPUT]_x000D_
[LOCID].[].[0001004692]_x000D_
[PRDID].[].[20000096]_x000D_
[KEY_FIGURES].[].[ZACTUALSALES]_x000D_
[LOCID].[].[0001004692]_x000D_
[PRDID].[].[20000096]_x000D_
[KEY_FIGURES].[].[ZCONSENSUSDEMAND]_x000D_
[LOCID].[].[0001004692]_x000D_
[PRDID].[].[20000096]_x000D_
[KEY_FIGURES].[].[INDEPENDENTDEMAND]_x000D_
[LOCID].[].[0001004692]_x000D_
[PRDID].[].[20000097]_x000D_
[KEY_FIGURES].[].[ZCONSENSUSDEMANDQTY]_x000D_
[LOCID].[].[0001004692]_x000D_
[PRDID].[].[20000097]_x000D_
[KEY_FIGURES].[].[ZINPUTSOFC]_x000D_
[LOCID].[].[0001004692]_x000D_
[PRDID].[].[20000097]_x000D_
[KEY_FIGURES].[].[ZFORECASTOPENOUTPUT]_x000D_
[LOCID].[].[0001004692]_x000D_
[PRDID].[].[20000097]_x000D_
[KEY_FIGURES].[].[ZACTUALSALES]_x000D_
[LOCID].[].[0001004692]_x000D_
[PRDID].[].[20000097]_x000D_
[KEY_FIGURES].[].[ZCONSENSUSDEMAND]_x000D_
[LOCID].[].[0001004692]_x000D_
[PRDID].[].[20000097]_x000D_
[KEY_FIGURES].[].[INDEPENDENTDEMAND]_x000D_
[LOCID].[].[0001004692]_x000D_
[PRDID].[].[20000131]_x000D_
[KEY_FIGURES].[].[ZCONSENSUSDEMANDQTY]_x000D_
[LOCID].[].[0001004692]_x000D_
[PRDID].[].[20000131]_x000D_
[KEY_FIGURES].[].[ZINPUTSOFC]_x000D_
[LOCID].[].[0001004692]_x000D_
[PRDID].[].[20000131]_x000D_
[KEY_FIGURES].[].[ZFORECASTOPENOUTPUT]_x000D_
[LOCID].[].[0001004692]_x000D_
[PRDID].[].[20000131]_x000D_
[KEY_FIGURES].[].[ZACTUALSALES]_x000D_
[LOCID].[].[0001004692]_x000D_
[PRDID].[].[20000131]_x000D_
[KEY_FIGURES].[].[ZCONSENSUSDEMAND]_x000D_
[LOCID].[].[0001004692]_x000D_
[PRDID].[].[20000131]_x000D_
[KEY_FIGURES].[].[INDEPENDENTDEMAND]_x000D_
[LOCID].[].[0001004692]_x000D_
[PRDID].[].[20000132]_x000D_
[KEY_FIGURES].[].[ZCONSENSUSDEMANDQTY]_x000D_
[LOCID].[].[0001004692]_x000D_
[PRDID].[].[20000132]_x000D_
[KEY_FIGURES].[].[ZINPUTSOFC]_x000D_
[LOCID].[].[0001004692]_x000D_
[PRDID].[].[20000132]_x000D_
[KEY_FIGURES].[].[ZFORECASTOPENOUTPUT]_x000D_
[LOCID].[].[0001004692]_x000D_
[PRDID].[].[20000132]_x000D_
[KEY_FIGURES].[].[ZACTUALSALES]_x000D_
[LOCID].[].[0001004692]_x000D_
[PRDID].[].[20000132]_x000D_
[KEY_FIGURES].[].[ZCONSENSUSDEMAND]_x000D_
[LOCID].[].[0001004692]_x000D_
[PRDID].[].[20000132]_x000D_
[KEY_FIGURES].[].[INDEPENDENTDEMAND]_x000D_
[LOCID].[].[0001004692]_x000D_
[PRDID].[].[20000133]_x000D_
[KEY_FIGURES].[].[ZCONSENSUSDEMANDQTY]_x000D_
[LOCID].[].[0001004692]_x000D_
[PRDID].[].[20000133]_x000D_
[KEY_FIGURES].[].[ZINPUTSOFC]_x000D_
[LOCID].[].[0001004692]_x000D_
[PRDID].[].[20000133]_x000D_
[KEY_FIGURES].[].[ZFORECASTOPENOUTPUT]_x000D_
[LOCID].[].[0001004692]_x000D_
[PRDID].[].[20000133]_x000D_
[KEY_FIGURES].[].[ZACTUALSALES]_x000D_
[LOCID].[].[0001004692]_x000D_
[PRDID].[].[20000133]_x000D_
[KEY_FIGURES].[].[ZCONSENSUSDEMAND]_x000D_
[LOCID].[].[0001004692]_x000D_
[PRDID].[].[20000133]_x000D_
[KEY_FIGURES].[].[INDEPENDENTDEMAND]_x000D_
[LOCID].[].[0001004692]_x000D_
[PRDID].[].[20000134]_x000D_
[KEY_FIGURES].[].[ZCONSENSUSDEMANDQTY]_x000D_
[LOCID].[].[0001004692]_x000D_
[PRDID].[].[20000134]_x000D_
[KEY_FIGURES].[].[ZINPUTSOFC]_x000D_
[LOCID].[].[0001004692]_x000D_
[PRDID].[].[20000134]_x000D_
[KEY_FIGURES].[].[ZFORECASTOPENOUTPUT]_x000D_
[LOCID].[].[0001004692]_x000D_
[PRDID].[].[20000134]_x000D_
[KEY_FIGURES].[].[ZACTUALSALES]_x000D_
[LOCID].[].[0001004692]_x000D_
[PRDID].[].[20000134]_x000D_
[KEY_FIGURES].[].[ZCONSENSUSDEMAND]_x000D_
[LOCID].[].[0001004692]_x000D_
[PRDID].[].[20000134]_x000D_
[KEY_FIGURES].[].[INDEPENDENTDEMAND]_x000D_
[LOCID].[].[0001004692]_x000D_
[PRDID].[].[20000135]_x000D_
[KEY_FIGURES].[].[ZCONSENSUSDEMANDQTY]_x000D_
[LOCID].[].[0001004692]_x000D_
[PRDID].[].[20000135]_x000D_
[KEY_FIGURES].[].[ZINPUTSOFC]_x000D_
[LOCID].[].[0001004692]_x000D_
[PRDID].[].[20000135]_x000D_
[KEY_FIGURES].[].[ZFORECASTOPENOUTPUT]_x000D_
[LOCID].[].[0001004692]_x000D_
[PRDID].[].[20000135]_x000D_
[KEY_FIGURES].[].[ZACTUALSALES]_x000D_
[LOCID].[].[0001004692]_x000D_
[PRDID].[].[20000135]_x000D_
[KEY_FIGURES].[].[ZCONSENSUSDEMAND]_x000D_
[LOCID].[].[0001004692]_x000D_
[PRDID].[].[20000135]_x000D_
[KEY_FIGURES].[].[INDEPENDENTDEMAND]_x000D_
[LOCID].[].[0001004692]_x000D_
[PRDID].[].[20000136]_x000D_
[KEY_FIGURES].[].[ZCONSENSUSDEMANDQTY]_x000D_
[LOCID].[].[0001004692]_x000D_
[PRDID].[].[20000136]_x000D_
[KEY_FIGURES].[].[ZINPUTSOFC]_x000D_
[LOCID].[].[0001004692]_x000D_
[PRDID].[].[20000136]_x000D_
[KEY_FIGURES].[].[ZFORECASTOPENOUTPUT]_x000D_
[LOCID].[].[0001004692]_x000D_
[PRDID].[].[20000136]_x000D_
[KEY_FIGURES].[].[ZACTUALSALES]_x000D_
[LOCID].[].[0001004692]_x000D_
[PRDID].[].[20000136]_x000D_
[KEY_FIGURES].[].[ZCONSENSUSDEMAND]_x000D_
[LOCID].[].[0001004692]_x000D_
[PRDID].[].[20000136]_x000D_
[KEY_FIGURES].[].[INDEPENDENTDEMAND]_x000D_
[LOCID].[].[0001004692]_x000D_
[PRDID].[].[20000137]_x000D_
[KEY_FIGURES].[].[ZCONSENSUSDEMANDQTY]_x000D_
[LOCID].[].[0001004692]_x000D_
[PRDID].[].[20000137]_x000D_
[KEY_FIGURES].[].[ZINPUTSOFC]_x000D_
[LOCID].[].[0001004692]_x000D_
[PRDID].[].[20000137]_x000D_
[KEY_FIGURES].[].[ZFORECASTOPENOUTPUT]_x000D_
[LOCID].[].[0001004692]_x000D_
[PRDID].[].[20000137]_x000D_
[KEY_FIGURES].[].[ZACTUALSALES]_x000D_
[LOCID].[].[0001004692]_x000D_
[PRDID].[].[20000137]_x000D_
[KEY_FIGURES].[].[ZCONSENSUSDEMAND]_x000D_
[LOCID].[].[0001004692]_x000D_
[PRDID].[].[20000137]_x000D_
[KEY_FIGURES].[].[INDEPENDENTDEMAND]_x000D_
[LOCID].[].[0001004692]_x000D_
[PRDID].[].[20000141]_x000D_
[KEY_FIGURES].[].[ZCONSENSUSDEMANDQTY]_x000D_
[LOCID].[].[0001004692]_x000D_
[PRDID].[].[20000141]_x000D_
[KEY_FIGURES].[].[ZINPUTSOFC]_x000D_
[LOCID].[].[0001004692]_x000D_
[PRDID].[].[20000141]_x000D_
[KEY_FIGURES].[].[ZFORECASTOPENOUTPUT]_x000D_
[LOCID].[].[0001004692]_x000D_
[PRDID].[].[20000141]_x000D_
[KEY_FIGURES].[].[ZACTUALSALES]</t>
  </si>
  <si>
    <t>[LOCID].[].[0001004692]_x000D_
[PRDID].[].[20000141]_x000D_
[KEY_FIGURES].[].[ZCONSENSUSDEMAND]_x000D_
[LOCID].[].[0001004692]_x000D_
[PRDID].[].[20000141]_x000D_
[KEY_FIGURES].[].[INDEPENDENTDEMAND]_x000D_
[LOCID].[].[0001004692]_x000D_
[PRDID].[].[20000142]_x000D_
[KEY_FIGURES].[].[ZCONSENSUSDEMANDQTY]_x000D_
[LOCID].[].[0001004692]_x000D_
[PRDID].[].[20000142]_x000D_
[KEY_FIGURES].[].[ZINPUTSOFC]_x000D_
[LOCID].[].[0001004692]_x000D_
[PRDID].[].[20000142]_x000D_
[KEY_FIGURES].[].[ZFORECASTOPENOUTPUT]_x000D_
[LOCID].[].[0001004692]_x000D_
[PRDID].[].[20000142]_x000D_
[KEY_FIGURES].[].[ZACTUALSALES]_x000D_
[LOCID].[].[0001004692]_x000D_
[PRDID].[].[20000142]_x000D_
[KEY_FIGURES].[].[ZCONSENSUSDEMAND]_x000D_
[LOCID].[].[0001004692]_x000D_
[PRDID].[].[20000142]_x000D_
[KEY_FIGURES].[].[INDEPENDENTDEMAND]_x000D_
[LOCID].[].[0001004692]_x000D_
[PRDID].[].[20000143]_x000D_
[KEY_FIGURES].[].[ZCONSENSUSDEMANDQTY]_x000D_
[LOCID].[].[0001004692]_x000D_
[PRDID].[].[20000143]_x000D_
[KEY_FIGURES].[].[ZINPUTSOFC]_x000D_
[LOCID].[].[0001004692]_x000D_
[PRDID].[].[20000143]_x000D_
[KEY_FIGURES].[].[ZFORECASTOPENOUTPUT]_x000D_
[LOCID].[].[0001004692]_x000D_
[PRDID].[].[20000143]_x000D_
[KEY_FIGURES].[].[ZACTUALSALES]_x000D_
[LOCID].[].[0001004692]_x000D_
[PRDID].[].[20000143]_x000D_
[KEY_FIGURES].[].[ZCONSENSUSDEMAND]_x000D_
[LOCID].[].[0001004692]_x000D_
[PRDID].[].[20000143]_x000D_
[KEY_FIGURES].[].[INDEPENDENTDEMAND]_x000D_
[LOCID].[].[0001004692]_x000D_
[PRDID].[].[20000153]_x000D_
[KEY_FIGURES].[].[ZCONSENSUSDEMANDQTY]_x000D_
[LOCID].[].[0001004692]_x000D_
[PRDID].[].[20000153]_x000D_
[KEY_FIGURES].[].[ZINPUTSOFC]_x000D_
[LOCID].[].[0001004692]_x000D_
[PRDID].[].[20000153]_x000D_
[KEY_FIGURES].[].[ZFORECASTOPENOUTPUT]_x000D_
[LOCID].[].[0001004692]_x000D_
[PRDID].[].[20000153]_x000D_
[KEY_FIGURES].[].[ZACTUALSALES]_x000D_
[LOCID].[].[0001004692]_x000D_
[PRDID].[].[20000153]_x000D_
[KEY_FIGURES].[].[ZCONSENSUSDEMAND]_x000D_
[LOCID].[].[0001004692]_x000D_
[PRDID].[].[20000153]_x000D_
[KEY_FIGURES].[].[INDEPENDENTDEMAND]_x000D_
[LOCID].[].[0001004692]_x000D_
[PRDID].[].[20000181]_x000D_
[KEY_FIGURES].[].[ZCONSENSUSDEMANDQTY]_x000D_
[LOCID].[].[0001004692]_x000D_
[PRDID].[].[20000181]_x000D_
[KEY_FIGURES].[].[ZINPUTSOFC]_x000D_
[LOCID].[].[0001004692]_x000D_
[PRDID].[].[20000181]_x000D_
[KEY_FIGURES].[].[ZFORECASTOPENOUTPUT]_x000D_
[LOCID].[].[0001004692]_x000D_
[PRDID].[].[20000181]_x000D_
[KEY_FIGURES].[].[ZACTUALSALES]_x000D_
[LOCID].[].[0001004692]_x000D_
[PRDID].[].[20000181]_x000D_
[KEY_FIGURES].[].[ZCONSENSUSDEMAND]_x000D_
[LOCID].[].[0001004692]_x000D_
[PRDID].[].[20000181]_x000D_
[KEY_FIGURES].[].[INDEPENDENTDEMAND]_x000D_
[LOCID].[].[0001004692]_x000D_
[PRDID].[].[20000213]_x000D_
[KEY_FIGURES].[].[ZCONSENSUSDEMANDQTY]_x000D_
[LOCID].[].[0001004692]_x000D_
[PRDID].[].[20000213]_x000D_
[KEY_FIGURES].[].[ZINPUTSOFC]_x000D_
[LOCID].[].[0001004692]_x000D_
[PRDID].[].[20000213]_x000D_
[KEY_FIGURES].[].[ZFORECASTOPENOUTPUT]_x000D_
[LOCID].[].[0001004692]_x000D_
[PRDID].[].[20000213]_x000D_
[KEY_FIGURES].[].[ZACTUALSALES]_x000D_
[LOCID].[].[0001004692]_x000D_
[PRDID].[].[20000213]_x000D_
[KEY_FIGURES].[].[ZCONSENSUSDEMAND]_x000D_
[LOCID].[].[0001004692]_x000D_
[PRDID].[].[20000213]_x000D_
[KEY_FIGURES].[].[INDEPENDENTDEMAND]_x000D_
[LOCID].[].[0001004692]_x000D_
[PRDID].[].[20000214]_x000D_
[KEY_FIGURES].[].[ZCONSENSUSDEMANDQTY]_x000D_
[LOCID].[].[0001004692]_x000D_
[PRDID].[].[20000214]_x000D_
[KEY_FIGURES].[].[ZINPUTSOFC]_x000D_
[LOCID].[].[0001004692]_x000D_
[PRDID].[].[20000214]_x000D_
[KEY_FIGURES].[].[ZFORECASTOPENOUTPUT]_x000D_
[LOCID].[].[0001004692]_x000D_
[PRDID].[].[20000214]_x000D_
[KEY_FIGURES].[].[ZACTUALSALES]_x000D_
[LOCID].[].[0001004692]_x000D_
[PRDID].[].[20000214]_x000D_
[KEY_FIGURES].[].[ZCONSENSUSDEMAND]_x000D_
[LOCID].[].[0001004692]_x000D_
[PRDID].[].[20000214]_x000D_
[KEY_FIGURES].[].[INDEPENDENTDEMAND]_x000D_
[LOCID].[].[0001004692]_x000D_
[PRDID].[].[20000215]_x000D_
[KEY_FIGURES].[].[ZCONSENSUSDEMANDQTY]_x000D_
[LOCID].[].[0001004692]_x000D_
[PRDID].[].[20000215]_x000D_
[KEY_FIGURES].[].[ZINPUTSOFC]_x000D_
[LOCID].[].[0001004692]_x000D_
[PRDID].[].[20000215]_x000D_
[KEY_FIGURES].[].[ZFORECASTOPENOUTPUT]_x000D_
[LOCID].[].[0001004692]_x000D_
[PRDID].[].[20000215]_x000D_
[KEY_FIGURES].[].[ZACTUALSALES]_x000D_
[LOCID].[].[0001004692]_x000D_
[PRDID].[].[20000215]_x000D_
[KEY_FIGURES].[].[ZCONSENSUSDEMAND]_x000D_
[LOCID].[].[0001004692]_x000D_
[PRDID].[].[20000215]_x000D_
[KEY_FIGURES].[].[INDEPENDENTDEMAND]_x000D_
[LOCID].[].[0001004692]_x000D_
[PRDID].[].[20000216]_x000D_
[KEY_FIGURES].[].[ZCONSENSUSDEMANDQTY]_x000D_
[LOCID].[].[0001004692]_x000D_
[PRDID].[].[20000216]_x000D_
[KEY_FIGURES].[].[ZINPUTSOFC]_x000D_
[LOCID].[].[0001004692]_x000D_
[PRDID].[].[20000216]_x000D_
[KEY_FIGURES].[].[ZFORECASTOPENOUTPUT]_x000D_
[LOCID].[].[0001004692]_x000D_
[PRDID].[].[20000216]_x000D_
[KEY_FIGURES].[].[ZACTUALSALES]_x000D_
[LOCID].[].[0001004692]_x000D_
[PRDID].[].[20000216]_x000D_
[KEY_FIGURES].[].[ZCONSENSUSDEMAND]_x000D_
[LOCID].[].[0001004692]_x000D_
[PRDID].[].[20000216]_x000D_
[KEY_FIGURES].[].[INDEPENDENTDEMAND]_x000D_
[LOCID].[].[0001004692]_x000D_
[PRDID].[].[20000217]_x000D_
[KEY_FIGURES].[].[ZCONSENSUSDEMANDQTY]_x000D_
[LOCID].[].[0001004692]_x000D_
[PRDID].[].[20000217]_x000D_
[KEY_FIGURES].[].[ZINPUTSOFC]_x000D_
[LOCID].[].[0001004692]_x000D_
[PRDID].[].[20000217]_x000D_
[KEY_FIGURES].[].[ZFORECASTOPENOUTPUT]_x000D_
[LOCID].[].[0001004692]_x000D_
[PRDID].[].[20000217]_x000D_
[KEY_FIGURES].[].[ZACTUALSALES]_x000D_
[LOCID].[].[0001004692]_x000D_
[PRDID].[].[20000217]_x000D_
[KEY_FIGURES].[].[ZCONSENSUSDEMAND]_x000D_
[LOCID].[].[0001004692]_x000D_
[PRDID].[].[20000217]_x000D_
[KEY_FIGURES].[].[INDEPENDENTDEMAND]_x000D_
[LOCID].[].[0001004692]_x000D_
[PRDID].[].[20000218]_x000D_
[KEY_FIGURES].[].[ZCONSENSUSDEMANDQTY]_x000D_
[LOCID].[].[0001004692]_x000D_
[PRDID].[].[20000218]_x000D_
[KEY_FIGURES].[].[ZINPUTSOFC]_x000D_
[LOCID].[].[0001004692]_x000D_
[PRDID].[].[20000218]_x000D_
[KEY_FIGURES].[].[ZFORECASTOPENOUTPUT]_x000D_
[LOCID].[].[0001004692]_x000D_
[PRDID].[].[20000218]_x000D_
[KEY_FIGURES].[].[ZACTUALSALES]_x000D_
[LOCID].[].[0001004692]_x000D_
[PRDID].[].[20000218]_x000D_
[KEY_FIGURES].[].[ZCONSENSUSDEMAND]_x000D_
[LOCID].[].[0001004692]_x000D_
[PRDID].[].[20000218]_x000D_
[KEY_FIGURES].[].[INDEPENDENTDEMAND]_x000D_
[LOCID].[].[0001004692]_x000D_
[PRDID].[].[20000238]_x000D_
[KEY_FIGURES].[].[ZCONSENSUSDEMANDQTY]_x000D_
[LOCID].[].[0001004692]_x000D_
[PRDID].[].[20000238]_x000D_
[KEY_FIGURES].[].[ZINPUTSOFC]_x000D_
[LOCID].[].[0001004692]_x000D_
[PRDID].[].[20000238]_x000D_
[KEY_FIGURES].[].[ZFORECASTOPENOUTPUT]_x000D_
[LOCID].[].[0001004692]_x000D_
[PRDID].[].[20000238]_x000D_
[KEY_FIGURES].[].[ZACTUALSALES]_x000D_
[LOCID].[].[0001004692]_x000D_
[PRDID].[].[20000238]</t>
  </si>
  <si>
    <t>[KEY_FIGURES].[].[ZCONSENSUSDEMAND]_x000D_
[LOCID].[].[0001004692]_x000D_
[PRDID].[].[20000238]_x000D_
[KEY_FIGURES].[].[INDEPENDENTDEMAND]_x000D_
[LOCID].[].[0001004692]_x000D_
[PRDID].[].[20000242]_x000D_
[KEY_FIGURES].[].[ZCONSENSUSDEMANDQTY]_x000D_
[LOCID].[].[0001004692]_x000D_
[PRDID].[].[20000242]_x000D_
[KEY_FIGURES].[].[ZINPUTSOFC]_x000D_
[LOCID].[].[0001004692]_x000D_
[PRDID].[].[20000242]_x000D_
[KEY_FIGURES].[].[ZFORECASTOPENOUTPUT]_x000D_
[LOCID].[].[0001004692]_x000D_
[PRDID].[].[20000242]_x000D_
[KEY_FIGURES].[].[ZACTUALSALES]_x000D_
[LOCID].[].[0001004692]_x000D_
[PRDID].[].[20000242]_x000D_
[KEY_FIGURES].[].[ZCONSENSUSDEMAND]_x000D_
[LOCID].[].[0001004692]_x000D_
[PRDID].[].[20000242]_x000D_
[KEY_FIGURES].[].[INDEPENDENTDEMAND]_x000D_
[LOCID].[].[0001004692]_x000D_
[PRDID].[].[20000243]_x000D_
[KEY_FIGURES].[].[ZCONSENSUSDEMANDQTY]_x000D_
[LOCID].[].[0001004692]_x000D_
[PRDID].[].[20000243]_x000D_
[KEY_FIGURES].[].[ZINPUTSOFC]_x000D_
[LOCID].[].[0001004692]_x000D_
[PRDID].[].[20000243]_x000D_
[KEY_FIGURES].[].[ZFORECASTOPENOUTPUT]_x000D_
[LOCID].[].[0001004692]_x000D_
[PRDID].[].[20000243]_x000D_
[KEY_FIGURES].[].[ZACTUALSALES]_x000D_
[LOCID].[].[0001004692]_x000D_
[PRDID].[].[20000243]_x000D_
[KEY_FIGURES].[].[ZCONSENSUSDEMAND]_x000D_
[LOCID].[].[0001004692]_x000D_
[PRDID].[].[20000243]_x000D_
[KEY_FIGURES].[].[INDEPENDENTDEMAND]_x000D_
[LOCID].[].[0001004692]_x000D_
[PRDID].[].[20000244]_x000D_
[KEY_FIGURES].[].[ZCONSENSUSDEMANDQTY]_x000D_
[LOCID].[].[0001004692]_x000D_
[PRDID].[].[20000244]_x000D_
[KEY_FIGURES].[].[ZINPUTSOFC]_x000D_
[LOCID].[].[0001004692]_x000D_
[PRDID].[].[20000244]_x000D_
[KEY_FIGURES].[].[ZFORECASTOPENOUTPUT]_x000D_
[LOCID].[].[0001004692]_x000D_
[PRDID].[].[20000244]_x000D_
[KEY_FIGURES].[].[ZACTUALSALES]_x000D_
[LOCID].[].[0001004692]_x000D_
[PRDID].[].[20000244]_x000D_
[KEY_FIGURES].[].[ZCONSENSUSDEMAND]_x000D_
[LOCID].[].[0001004692]_x000D_
[PRDID].[].[20000244]_x000D_
[KEY_FIGURES].[].[INDEPENDENTDEMAND]_x000D_
[LOCID].[].[0001004692]_x000D_
[PRDID].[].[20000245]_x000D_
[KEY_FIGURES].[].[ZCONSENSUSDEMANDQTY]_x000D_
[LOCID].[].[0001004692]_x000D_
[PRDID].[].[20000245]_x000D_
[KEY_FIGURES].[].[ZINPUTSOFC]_x000D_
[LOCID].[].[0001004692]_x000D_
[PRDID].[].[20000245]_x000D_
[KEY_FIGURES].[].[ZFORECASTOPENOUTPUT]_x000D_
[LOCID].[].[0001004692]_x000D_
[PRDID].[].[20000245]_x000D_
[KEY_FIGURES].[].[ZACTUALSALES]_x000D_
[LOCID].[].[0001004692]_x000D_
[PRDID].[].[20000245]_x000D_
[KEY_FIGURES].[].[ZCONSENSUSDEMAND]_x000D_
[LOCID].[].[0001004692]_x000D_
[PRDID].[].[20000245]_x000D_
[KEY_FIGURES].[].[INDEPENDENTDEMAND]_x000D_
[LOCID].[].[0001004692]_x000D_
[PRDID].[].[20000250]_x000D_
[KEY_FIGURES].[].[ZCONSENSUSDEMANDQTY]_x000D_
[LOCID].[].[0001004692]_x000D_
[PRDID].[].[20000250]_x000D_
[KEY_FIGURES].[].[ZINPUTSOFC]_x000D_
[LOCID].[].[0001004692]_x000D_
[PRDID].[].[20000250]_x000D_
[KEY_FIGURES].[].[ZFORECASTOPENOUTPUT]_x000D_
[LOCID].[].[0001004692]_x000D_
[PRDID].[].[20000250]_x000D_
[KEY_FIGURES].[].[ZACTUALSALES]_x000D_
[LOCID].[].[0001004692]_x000D_
[PRDID].[].[20000250]_x000D_
[KEY_FIGURES].[].[ZCONSENSUSDEMAND]_x000D_
[LOCID].[].[0001004692]_x000D_
[PRDID].[].[20000250]_x000D_
[KEY_FIGURES].[].[INDEPENDENTDEMAND]_x000D_
[LOCID].[].[0001004692]_x000D_
[PRDID].[].[20000251]_x000D_
[KEY_FIGURES].[].[ZCONSENSUSDEMANDQTY]_x000D_
[LOCID].[].[0001004692]_x000D_
[PRDID].[].[20000251]_x000D_
[KEY_FIGURES].[].[ZINPUTSOFC]_x000D_
[LOCID].[].[0001004692]_x000D_
[PRDID].[].[20000251]_x000D_
[KEY_FIGURES].[].[ZFORECASTOPENOUTPUT]_x000D_
[LOCID].[].[0001004692]_x000D_
[PRDID].[].[20000251]_x000D_
[KEY_FIGURES].[].[ZACTUALSALES]_x000D_
[LOCID].[].[0001004692]_x000D_
[PRDID].[].[20000251]_x000D_
[KEY_FIGURES].[].[ZCONSENSUSDEMAND]_x000D_
[LOCID].[].[0001004692]_x000D_
[PRDID].[].[20000251]_x000D_
[KEY_FIGURES].[].[INDEPENDENTDEMAND]_x000D_
[LOCID].[].[0001004692]_x000D_
[PRDID].[].[20000257]_x000D_
[KEY_FIGURES].[].[ZCONSENSUSDEMANDQTY]_x000D_
[LOCID].[].[0001004692]_x000D_
[PRDID].[].[20000257]_x000D_
[KEY_FIGURES].[].[ZINPUTSOFC]_x000D_
[LOCID].[].[0001004692]_x000D_
[PRDID].[].[20000257]_x000D_
[KEY_FIGURES].[].[ZFORECASTOPENOUTPUT]_x000D_
[LOCID].[].[0001004692]_x000D_
[PRDID].[].[20000257]_x000D_
[KEY_FIGURES].[].[ZACTUALSALES]_x000D_
[LOCID].[].[0001004692]_x000D_
[PRDID].[].[20000257]_x000D_
[KEY_FIGURES].[].[ZCONSENSUSDEMAND]_x000D_
[LOCID].[].[0001004692]_x000D_
[PRDID].[].[20000257]_x000D_
[KEY_FIGURES].[].[INDEPENDENTDEMAND]_x000D_
[LOCID].[].[0001004692]_x000D_
[PRDID].[].[20000259]_x000D_
[KEY_FIGURES].[].[ZCONSENSUSDEMANDQTY]_x000D_
[LOCID].[].[0001004692]_x000D_
[PRDID].[].[20000259]_x000D_
[KEY_FIGURES].[].[ZINPUTSOFC]_x000D_
[LOCID].[].[0001004692]_x000D_
[PRDID].[].[20000259]_x000D_
[KEY_FIGURES].[].[ZFORECASTOPENOUTPUT]_x000D_
[LOCID].[].[0001004692]_x000D_
[PRDID].[].[20000259]_x000D_
[KEY_FIGURES].[].[ZACTUALSALES]_x000D_
[LOCID].[].[0001004692]_x000D_
[PRDID].[].[20000259]_x000D_
[KEY_FIGURES].[].[ZCONSENSUSDEMAND]_x000D_
[LOCID].[].[0001004692]_x000D_
[PRDID].[].[20000259]_x000D_
[KEY_FIGURES].[].[INDEPENDENTDEMAND]_x000D_
[LOCID].[].[0001004692]_x000D_
[PRDID].[].[20000318]_x000D_
[KEY_FIGURES].[].[ZCONSENSUSDEMANDQTY]_x000D_
[LOCID].[].[0001004692]_x000D_
[PRDID].[].[20000318]_x000D_
[KEY_FIGURES].[].[ZINPUTSOFC]_x000D_
[LOCID].[].[0001004692]_x000D_
[PRDID].[].[20000318]_x000D_
[KEY_FIGURES].[].[ZFORECASTOPENOUTPUT]_x000D_
[LOCID].[].[0001004692]_x000D_
[PRDID].[].[20000318]_x000D_
[KEY_FIGURES].[].[ZACTUALSALES]_x000D_
[LOCID].[].[0001004692]_x000D_
[PRDID].[].[20000318]_x000D_
[KEY_FIGURES].[].[ZCONSENSUSDEMAND]_x000D_
[LOCID].[].[0001004692]_x000D_
[PRDID].[].[20000318]_x000D_
[KEY_FIGURES].[].[INDEPENDENTDEMAND]_x000D_
[LOCID].[].[0001004692]_x000D_
[PRDID].[].[20000342]_x000D_
[KEY_FIGURES].[].[ZCONSENSUSDEMANDQTY]_x000D_
[LOCID].[].[0001004692]_x000D_
[PRDID].[].[20000342]_x000D_
[KEY_FIGURES].[].[ZINPUTSOFC]_x000D_
[LOCID].[].[0001004692]_x000D_
[PRDID].[].[20000342]_x000D_
[KEY_FIGURES].[].[ZFORECASTOPENOUTPUT]_x000D_
[LOCID].[].[0001004692]_x000D_
[PRDID].[].[20000342]_x000D_
[KEY_FIGURES].[].[ZACTUALSALES]_x000D_
[LOCID].[].[0001004692]_x000D_
[PRDID].[].[20000342]_x000D_
[KEY_FIGURES].[].[ZCONSENSUSDEMAND]_x000D_
[LOCID].[].[0001004692]_x000D_
[PRDID].[].[20000342]_x000D_
[KEY_FIGURES].[].[INDEPENDENTDEMAND]_x000D_
[LOCID].[].[0001004692]_x000D_
[PRDID].[].[20000347]_x000D_
[KEY_FIGURES].[].[ZCONSENSUSDEMANDQTY]_x000D_
[LOCID].[].[0001004692]_x000D_
[PRDID].[].[20000347]_x000D_
[KEY_FIGURES].[].[ZINPUTSOFC]_x000D_
[LOCID].[].[0001004692]_x000D_
[PRDID].[].[20000347]_x000D_
[KEY_FIGURES].[].[ZFORECASTOPENOUTPUT]_x000D_
[LOCID].[].[0001004692]_x000D_
[PRDID].[].[20000347]_x000D_
[KEY_FIGURES].[].[ZACTUALSALES]_x000D_
[LOCID].[].[0001004692]_x000D_
[PRDID].[].[20000347]_x000D_
[KEY_FIGURES].[].[ZCONSENSUSDEMAND]_x000D_
[LOCID].[].[0001004692]</t>
  </si>
  <si>
    <t>[PRDID].[].[20000347]_x000D_
[KEY_FIGURES].[].[INDEPENDENTDEMAND]_x000D_
[LOCID].[].[0001004692]_x000D_
[PRDID].[].[20000348]_x000D_
[KEY_FIGURES].[].[ZCONSENSUSDEMANDQTY]_x000D_
[LOCID].[].[0001004692]_x000D_
[PRDID].[].[20000348]_x000D_
[KEY_FIGURES].[].[ZINPUTSOFC]_x000D_
[LOCID].[].[0001004692]_x000D_
[PRDID].[].[20000348]_x000D_
[KEY_FIGURES].[].[ZFORECASTOPENOUTPUT]_x000D_
[LOCID].[].[0001004692]_x000D_
[PRDID].[].[20000348]_x000D_
[KEY_FIGURES].[].[ZACTUALSALES]_x000D_
[LOCID].[].[0001004692]_x000D_
[PRDID].[].[20000348]_x000D_
[KEY_FIGURES].[].[ZCONSENSUSDEMAND]_x000D_
[LOCID].[].[0001004692]_x000D_
[PRDID].[].[20000348]_x000D_
[KEY_FIGURES].[].[INDEPENDENTDEMAND]_x000D_
[LOCID].[].[0001004692]_x000D_
[PRDID].[].[20000349]_x000D_
[KEY_FIGURES].[].[ZCONSENSUSDEMANDQTY]_x000D_
[LOCID].[].[0001004692]_x000D_
[PRDID].[].[20000349]_x000D_
[KEY_FIGURES].[].[ZINPUTSOFC]_x000D_
[LOCID].[].[0001004692]_x000D_
[PRDID].[].[20000349]_x000D_
[KEY_FIGURES].[].[ZFORECASTOPENOUTPUT]_x000D_
[LOCID].[].[0001004692]_x000D_
[PRDID].[].[20000349]_x000D_
[KEY_FIGURES].[].[ZACTUALSALES]_x000D_
[LOCID].[].[0001004692]_x000D_
[PRDID].[].[20000349]_x000D_
[KEY_FIGURES].[].[ZCONSENSUSDEMAND]_x000D_
[LOCID].[].[0001004692]_x000D_
[PRDID].[].[20000349]_x000D_
[KEY_FIGURES].[].[INDEPENDENTDEMAND]_x000D_
[LOCID].[].[0001004692]_x000D_
[PRDID].[].[20000365]_x000D_
[KEY_FIGURES].[].[ZCONSENSUSDEMANDQTY]_x000D_
[LOCID].[].[0001004692]_x000D_
[PRDID].[].[20000365]_x000D_
[KEY_FIGURES].[].[ZINPUTSOFC]_x000D_
[LOCID].[].[0001004692]_x000D_
[PRDID].[].[20000365]_x000D_
[KEY_FIGURES].[].[ZFORECASTOPENOUTPUT]_x000D_
[LOCID].[].[0001004692]_x000D_
[PRDID].[].[20000365]_x000D_
[KEY_FIGURES].[].[ZACTUALSALES]_x000D_
[LOCID].[].[0001004692]_x000D_
[PRDID].[].[20000365]_x000D_
[KEY_FIGURES].[].[ZCONSENSUSDEMAND]_x000D_
[LOCID].[].[0001004692]_x000D_
[PRDID].[].[20000365]_x000D_
[KEY_FIGURES].[].[INDEPENDENTDEMAND]_x000D_
[LOCID].[].[0001004692]_x000D_
[PRDID].[].[20000366]_x000D_
[KEY_FIGURES].[].[ZCONSENSUSDEMANDQTY]_x000D_
[LOCID].[].[0001004692]_x000D_
[PRDID].[].[20000366]_x000D_
[KEY_FIGURES].[].[ZINPUTSOFC]_x000D_
[LOCID].[].[0001004692]_x000D_
[PRDID].[].[20000366]_x000D_
[KEY_FIGURES].[].[ZFORECASTOPENOUTPUT]_x000D_
[LOCID].[].[0001004692]_x000D_
[PRDID].[].[20000366]_x000D_
[KEY_FIGURES].[].[ZACTUALSALES]_x000D_
[LOCID].[].[0001004692]_x000D_
[PRDID].[].[20000366]_x000D_
[KEY_FIGURES].[].[ZCONSENSUSDEMAND]_x000D_
[LOCID].[].[0001004692]_x000D_
[PRDID].[].[20000366]_x000D_
[KEY_FIGURES].[].[INDEPENDENTDEMAND]_x000D_
[LOCID].[].[0001004692]_x000D_
[PRDID].[].[20000367]_x000D_
[KEY_FIGURES].[].[ZCONSENSUSDEMANDQTY]_x000D_
[LOCID].[].[0001004692]_x000D_
[PRDID].[].[20000367]_x000D_
[KEY_FIGURES].[].[ZINPUTSOFC]_x000D_
[LOCID].[].[0001004692]_x000D_
[PRDID].[].[20000367]_x000D_
[KEY_FIGURES].[].[ZFORECASTOPENOUTPUT]_x000D_
[LOCID].[].[0001004692]_x000D_
[PRDID].[].[20000367]_x000D_
[KEY_FIGURES].[].[ZACTUALSALES]_x000D_
[LOCID].[].[0001004692]_x000D_
[PRDID].[].[20000367]_x000D_
[KEY_FIGURES].[].[ZCONSENSUSDEMAND]_x000D_
[LOCID].[].[0001004692]_x000D_
[PRDID].[].[20000367]_x000D_
[KEY_FIGURES].[].[INDEPENDENTDEMAND]_x000D_
[LOCID].[].[0001004692]_x000D_
[PRDID].[].[20000368]_x000D_
[KEY_FIGURES].[].[ZCONSENSUSDEMANDQTY]_x000D_
[LOCID].[].[0001004692]_x000D_
[PRDID].[].[20000368]_x000D_
[KEY_FIGURES].[].[ZINPUTSOFC]_x000D_
[LOCID].[].[0001004692]_x000D_
[PRDID].[].[20000368]_x000D_
[KEY_FIGURES].[].[ZFORECASTOPENOUTPUT]_x000D_
[LOCID].[].[0001004692]_x000D_
[PRDID].[].[20000368]_x000D_
[KEY_FIGURES].[].[ZACTUALSALES]_x000D_
[LOCID].[].[0001004692]_x000D_
[PRDID].[].[20000368]_x000D_
[KEY_FIGURES].[].[ZCONSENSUSDEMAND]_x000D_
[LOCID].[].[0001004692]_x000D_
[PRDID].[].[20000368]_x000D_
[KEY_FIGURES].[].[INDEPENDENTDEMAND]_x000D_
[LOCID].[].[0001004692]_x000D_
[PRDID].[].[20000370]_x000D_
[KEY_FIGURES].[].[ZCONSENSUSDEMANDQTY]_x000D_
[LOCID].[].[0001004692]_x000D_
[PRDID].[].[20000370]_x000D_
[KEY_FIGURES].[].[ZINPUTSOFC]_x000D_
[LOCID].[].[0001004692]_x000D_
[PRDID].[].[20000370]_x000D_
[KEY_FIGURES].[].[ZFORECASTOPENOUTPUT]_x000D_
[LOCID].[].[0001004692]_x000D_
[PRDID].[].[20000370]_x000D_
[KEY_FIGURES].[].[ZACTUALSALES]_x000D_
[LOCID].[].[0001004692]_x000D_
[PRDID].[].[20000370]_x000D_
[KEY_FIGURES].[].[ZCONSENSUSDEMAND]_x000D_
[LOCID].[].[0001004692]_x000D_
[PRDID].[].[20000370]_x000D_
[KEY_FIGURES].[].[INDEPENDENTDEMAND]_x000D_
[LOCID].[].[0001004692]_x000D_
[PRDID].[].[20000373]_x000D_
[KEY_FIGURES].[].[ZCONSENSUSDEMANDQTY]_x000D_
[LOCID].[].[0001004692]_x000D_
[PRDID].[].[20000373]_x000D_
[KEY_FIGURES].[].[ZINPUTSOFC]_x000D_
[LOCID].[].[0001004692]_x000D_
[PRDID].[].[20000373]_x000D_
[KEY_FIGURES].[].[ZFORECASTOPENOUTPUT]_x000D_
[LOCID].[].[0001004692]_x000D_
[PRDID].[].[20000373]_x000D_
[KEY_FIGURES].[].[ZACTUALSALES]_x000D_
[LOCID].[].[0001004692]_x000D_
[PRDID].[].[20000373]_x000D_
[KEY_FIGURES].[].[ZCONSENSUSDEMAND]_x000D_
[LOCID].[].[0001004692]_x000D_
[PRDID].[].[20000373]_x000D_
[KEY_FIGURES].[].[INDEPENDENTDEMAND]_x000D_
[LOCID].[].[0001004692]_x000D_
[PRDID].[].[20000374]_x000D_
[KEY_FIGURES].[].[ZCONSENSUSDEMANDQTY]_x000D_
[LOCID].[].[0001004692]_x000D_
[PRDID].[].[20000374]_x000D_
[KEY_FIGURES].[].[ZINPUTSOFC]_x000D_
[LOCID].[].[0001004692]_x000D_
[PRDID].[].[20000374]_x000D_
[KEY_FIGURES].[].[ZFORECASTOPENOUTPUT]_x000D_
[LOCID].[].[0001004692]_x000D_
[PRDID].[].[20000374]_x000D_
[KEY_FIGURES].[].[ZACTUALSALES]_x000D_
[LOCID].[].[0001004692]_x000D_
[PRDID].[].[20000374]_x000D_
[KEY_FIGURES].[].[ZCONSENSUSDEMAND]_x000D_
[LOCID].[].[0001004692]_x000D_
[PRDID].[].[20000374]_x000D_
[KEY_FIGURES].[].[INDEPENDENTDEMAND]_x000D_
[LOCID].[].[0001004692]_x000D_
[PRDID].[].[20000375]_x000D_
[KEY_FIGURES].[].[ZCONSENSUSDEMANDQTY]_x000D_
[LOCID].[].[0001004692]_x000D_
[PRDID].[].[20000375]_x000D_
[KEY_FIGURES].[].[ZINPUTSOFC]_x000D_
[LOCID].[].[0001004692]_x000D_
[PRDID].[].[20000375]_x000D_
[KEY_FIGURES].[].[ZFORECASTOPENOUTPUT]_x000D_
[LOCID].[].[0001004692]_x000D_
[PRDID].[].[20000375]_x000D_
[KEY_FIGURES].[].[ZACTUALSALES]_x000D_
[LOCID].[].[0001004692]_x000D_
[PRDID].[].[20000375]_x000D_
[KEY_FIGURES].[].[ZCONSENSUSDEMAND]_x000D_
[LOCID].[].[0001004692]_x000D_
[PRDID].[].[20000375]_x000D_
[KEY_FIGURES].[].[INDEPENDENTDEMAND]_x000D_
[LOCID].[].[0001004692]_x000D_
[PRDID].[].[20000376]_x000D_
[KEY_FIGURES].[].[ZCONSENSUSDEMANDQTY]_x000D_
[LOCID].[].[0001004692]_x000D_
[PRDID].[].[20000376]_x000D_
[KEY_FIGURES].[].[ZINPUTSOFC]_x000D_
[LOCID].[].[0001004692]_x000D_
[PRDID].[].[20000376]_x000D_
[KEY_FIGURES].[].[ZFORECASTOPENOUTPUT]_x000D_
[LOCID].[].[0001004692]_x000D_
[PRDID].[].[20000376]_x000D_
[KEY_FIGURES].[].[ZACTUALSALES]_x000D_
[LOCID].[].[0001004692]_x000D_
[PRDID].[].[20000376]_x000D_
[KEY_FIGURES].[].[ZCONSENSUSDEMAND]_x000D_
[LOCID].[].[0001004692]_x000D_
[PRDID].[].[20000376]_x000D_
[KEY_FIGURES].[].[INDEPENDENTDEMAND]</t>
  </si>
  <si>
    <t>[LOCID].[].[0001004692]_x000D_
[PRDID].[].[20000377]_x000D_
[KEY_FIGURES].[].[ZCONSENSUSDEMANDQTY]_x000D_
[LOCID].[].[0001004692]_x000D_
[PRDID].[].[20000377]_x000D_
[KEY_FIGURES].[].[ZINPUTSOFC]_x000D_
[LOCID].[].[0001004692]_x000D_
[PRDID].[].[20000377]_x000D_
[KEY_FIGURES].[].[ZFORECASTOPENOUTPUT]_x000D_
[LOCID].[].[0001004692]_x000D_
[PRDID].[].[20000377]_x000D_
[KEY_FIGURES].[].[ZACTUALSALES]_x000D_
[LOCID].[].[0001004692]_x000D_
[PRDID].[].[20000377]_x000D_
[KEY_FIGURES].[].[ZCONSENSUSDEMAND]_x000D_
[LOCID].[].[0001004692]_x000D_
[PRDID].[].[20000377]_x000D_
[KEY_FIGURES].[].[INDEPENDENTDEMAND]_x000D_
[LOCID].[].[0001004692]_x000D_
[PRDID].[].[20000378]_x000D_
[KEY_FIGURES].[].[ZCONSENSUSDEMANDQTY]_x000D_
[LOCID].[].[0001004692]_x000D_
[PRDID].[].[20000378]_x000D_
[KEY_FIGURES].[].[ZINPUTSOFC]_x000D_
[LOCID].[].[0001004692]_x000D_
[PRDID].[].[20000378]_x000D_
[KEY_FIGURES].[].[ZFORECASTOPENOUTPUT]_x000D_
[LOCID].[].[0001004692]_x000D_
[PRDID].[].[20000378]_x000D_
[KEY_FIGURES].[].[ZACTUALSALES]_x000D_
[LOCID].[].[0001004692]_x000D_
[PRDID].[].[20000378]_x000D_
[KEY_FIGURES].[].[ZCONSENSUSDEMAND]_x000D_
[LOCID].[].[0001004692]_x000D_
[PRDID].[].[20000378]_x000D_
[KEY_FIGURES].[].[INDEPENDENTDEMAND]_x000D_
[LOCID].[].[0001004692]_x000D_
[PRDID].[].[20000379]_x000D_
[KEY_FIGURES].[].[ZCONSENSUSDEMANDQTY]_x000D_
[LOCID].[].[0001004692]_x000D_
[PRDID].[].[20000379]_x000D_
[KEY_FIGURES].[].[ZINPUTSOFC]_x000D_
[LOCID].[].[0001004692]_x000D_
[PRDID].[].[20000379]_x000D_
[KEY_FIGURES].[].[ZFORECASTOPENOUTPUT]_x000D_
[LOCID].[].[0001004692]_x000D_
[PRDID].[].[20000379]_x000D_
[KEY_FIGURES].[].[ZACTUALSALES]_x000D_
[LOCID].[].[0001004692]_x000D_
[PRDID].[].[20000379]_x000D_
[KEY_FIGURES].[].[ZCONSENSUSDEMAND]_x000D_
[LOCID].[].[0001004692]_x000D_
[PRDID].[].[20000379]_x000D_
[KEY_FIGURES].[].[INDEPENDENTDEMAND]_x000D_
[LOCID].[].[0001004692]_x000D_
[PRDID].[].[20000380]_x000D_
[KEY_FIGURES].[].[ZCONSENSUSDEMANDQTY]_x000D_
[LOCID].[].[0001004692]_x000D_
[PRDID].[].[20000380]_x000D_
[KEY_FIGURES].[].[ZINPUTSOFC]_x000D_
[LOCID].[].[0001004692]_x000D_
[PRDID].[].[20000380]_x000D_
[KEY_FIGURES].[].[ZFORECASTOPENOUTPUT]_x000D_
[LOCID].[].[0001004692]_x000D_
[PRDID].[].[20000380]_x000D_
[KEY_FIGURES].[].[ZACTUALSALES]_x000D_
[LOCID].[].[0001004692]_x000D_
[PRDID].[].[20000380]_x000D_
[KEY_FIGURES].[].[ZCONSENSUSDEMAND]_x000D_
[LOCID].[].[0001004692]_x000D_
[PRDID].[].[20000380]_x000D_
[KEY_FIGURES].[].[INDEPENDENTDEMAND]_x000D_
[LOCID].[].[0001004692]_x000D_
[PRDID].[].[20000381]_x000D_
[KEY_FIGURES].[].[ZCONSENSUSDEMANDQTY]_x000D_
[LOCID].[].[0001004692]_x000D_
[PRDID].[].[20000381]_x000D_
[KEY_FIGURES].[].[ZINPUTSOFC]_x000D_
[LOCID].[].[0001004692]_x000D_
[PRDID].[].[20000381]_x000D_
[KEY_FIGURES].[].[ZFORECASTOPENOUTPUT]_x000D_
[LOCID].[].[0001004692]_x000D_
[PRDID].[].[20000381]_x000D_
[KEY_FIGURES].[].[ZACTUALSALES]_x000D_
[LOCID].[].[0001004692]_x000D_
[PRDID].[].[20000381]_x000D_
[KEY_FIGURES].[].[ZCONSENSUSDEMAND]_x000D_
[LOCID].[].[0001004692]_x000D_
[PRDID].[].[20000381]_x000D_
[KEY_FIGURES].[].[INDEPENDENTDEMAND]_x000D_
[LOCID].[].[0001004692]_x000D_
[PRDID].[].[20000382]_x000D_
[KEY_FIGURES].[].[ZCONSENSUSDEMANDQTY]_x000D_
[LOCID].[].[0001004692]_x000D_
[PRDID].[].[20000382]_x000D_
[KEY_FIGURES].[].[ZINPUTSOFC]_x000D_
[LOCID].[].[0001004692]_x000D_
[PRDID].[].[20000382]_x000D_
[KEY_FIGURES].[].[ZFORECASTOPENOUTPUT]_x000D_
[LOCID].[].[0001004692]_x000D_
[PRDID].[].[20000382]_x000D_
[KEY_FIGURES].[].[ZACTUALSALES]_x000D_
[LOCID].[].[0001004692]_x000D_
[PRDID].[].[20000382]_x000D_
[KEY_FIGURES].[].[ZCONSENSUSDEMAND]_x000D_
[LOCID].[].[0001004692]_x000D_
[PRDID].[].[20000382]_x000D_
[KEY_FIGURES].[].[INDEPENDENTDEMAND]_x000D_
[LOCID].[].[0001004692]_x000D_
[PRDID].[].[20000383]_x000D_
[KEY_FIGURES].[].[ZCONSENSUSDEMANDQTY]_x000D_
[LOCID].[].[0001004692]_x000D_
[PRDID].[].[20000383]_x000D_
[KEY_FIGURES].[].[ZINPUTSOFC]_x000D_
[LOCID].[].[0001004692]_x000D_
[PRDID].[].[20000383]_x000D_
[KEY_FIGURES].[].[ZFORECASTOPENOUTPUT]_x000D_
[LOCID].[].[0001004692]_x000D_
[PRDID].[].[20000383]_x000D_
[KEY_FIGURES].[].[ZACTUALSALES]_x000D_
[LOCID].[].[0001004692]_x000D_
[PRDID].[].[20000383]_x000D_
[KEY_FIGURES].[].[ZCONSENSUSDEMAND]_x000D_
[LOCID].[].[0001004692]_x000D_
[PRDID].[].[20000383]_x000D_
[KEY_FIGURES].[].[INDEPENDENTDEMAND]_x000D_
[LOCID].[].[0001004692]_x000D_
[PRDID].[].[20000384]_x000D_
[KEY_FIGURES].[].[ZCONSENSUSDEMANDQTY]_x000D_
[LOCID].[].[0001004692]_x000D_
[PRDID].[].[20000384]_x000D_
[KEY_FIGURES].[].[ZINPUTSOFC]_x000D_
[LOCID].[].[0001004692]_x000D_
[PRDID].[].[20000384]_x000D_
[KEY_FIGURES].[].[ZFORECASTOPENOUTPUT]_x000D_
[LOCID].[].[0001004692]_x000D_
[PRDID].[].[20000384]_x000D_
[KEY_FIGURES].[].[ZACTUALSALES]_x000D_
[LOCID].[].[0001004692]_x000D_
[PRDID].[].[20000384]_x000D_
[KEY_FIGURES].[].[ZCONSENSUSDEMAND]_x000D_
[LOCID].[].[0001004692]_x000D_
[PRDID].[].[20000384]_x000D_
[KEY_FIGURES].[].[INDEPENDENTDEMAND]_x000D_
[LOCID].[].[0001004692]_x000D_
[PRDID].[].[20000385]_x000D_
[KEY_FIGURES].[].[ZCONSENSUSDEMANDQTY]_x000D_
[LOCID].[].[0001004692]_x000D_
[PRDID].[].[20000385]_x000D_
[KEY_FIGURES].[].[ZINPUTSOFC]_x000D_
[LOCID].[].[0001004692]_x000D_
[PRDID].[].[20000385]_x000D_
[KEY_FIGURES].[].[ZFORECASTOPENOUTPUT]_x000D_
[LOCID].[].[0001004692]_x000D_
[PRDID].[].[20000385]_x000D_
[KEY_FIGURES].[].[ZACTUALSALES]_x000D_
[LOCID].[].[0001004692]_x000D_
[PRDID].[].[20000385]_x000D_
[KEY_FIGURES].[].[ZCONSENSUSDEMAND]_x000D_
[LOCID].[].[0001004692]_x000D_
[PRDID].[].[20000385]_x000D_
[KEY_FIGURES].[].[INDEPENDENTDEMAND]_x000D_
[LOCID].[].[0001004692]_x000D_
[PRDID].[].[20000386]_x000D_
[KEY_FIGURES].[].[ZCONSENSUSDEMANDQTY]_x000D_
[LOCID].[].[0001004692]_x000D_
[PRDID].[].[20000386]_x000D_
[KEY_FIGURES].[].[ZINPUTSOFC]_x000D_
[LOCID].[].[0001004692]_x000D_
[PRDID].[].[20000386]_x000D_
[KEY_FIGURES].[].[ZFORECASTOPENOUTPUT]_x000D_
[LOCID].[].[0001004692]_x000D_
[PRDID].[].[20000386]_x000D_
[KEY_FIGURES].[].[ZACTUALSALES]_x000D_
[LOCID].[].[0001004692]_x000D_
[PRDID].[].[20000386]_x000D_
[KEY_FIGURES].[].[ZCONSENSUSDEMAND]_x000D_
[LOCID].[].[0001004692]_x000D_
[PRDID].[].[20000386]_x000D_
[KEY_FIGURES].[].[INDEPENDENTDEMAND]_x000D_
[LOCID].[].[0001004692]_x000D_
[PRDID].[].[20000387]_x000D_
[KEY_FIGURES].[].[ZCONSENSUSDEMANDQTY]_x000D_
[LOCID].[].[0001004692]_x000D_
[PRDID].[].[20000387]_x000D_
[KEY_FIGURES].[].[ZINPUTSOFC]_x000D_
[LOCID].[].[0001004692]_x000D_
[PRDID].[].[20000387]_x000D_
[KEY_FIGURES].[].[ZFORECASTOPENOUTPUT]_x000D_
[LOCID].[].[0001004692]_x000D_
[PRDID].[].[20000387]_x000D_
[KEY_FIGURES].[].[ZACTUALSALES]_x000D_
[LOCID].[].[0001004692]_x000D_
[PRDID].[].[20000387]_x000D_
[KEY_FIGURES].[].[ZCONSENSUSDEMAND]_x000D_
[LOCID].[].[0001004692]_x000D_
[PRDID].[].[20000387]_x000D_
[KEY_FIGURES].[].[INDEPENDENTDEMAND]_x000D_
[LOCID].[].[0001004692]_x000D_
[PRDID].[].[20000388]</t>
  </si>
  <si>
    <t>[KEY_FIGURES].[].[ZCONSENSUSDEMANDQTY]_x000D_
[LOCID].[].[0001004692]_x000D_
[PRDID].[].[20000388]_x000D_
[KEY_FIGURES].[].[ZINPUTSOFC]_x000D_
[LOCID].[].[0001004692]_x000D_
[PRDID].[].[20000388]_x000D_
[KEY_FIGURES].[].[ZFORECASTOPENOUTPUT]_x000D_
[LOCID].[].[0001004692]_x000D_
[PRDID].[].[20000388]_x000D_
[KEY_FIGURES].[].[ZACTUALSALES]_x000D_
[LOCID].[].[0001004692]_x000D_
[PRDID].[].[20000388]_x000D_
[KEY_FIGURES].[].[ZCONSENSUSDEMAND]_x000D_
[LOCID].[].[0001004692]_x000D_
[PRDID].[].[20000388]_x000D_
[KEY_FIGURES].[].[INDEPENDENTDEMAND]_x000D_
[LOCID].[].[0001004692]_x000D_
[PRDID].[].[20000389]_x000D_
[KEY_FIGURES].[].[ZCONSENSUSDEMANDQTY]_x000D_
[LOCID].[].[0001004692]_x000D_
[PRDID].[].[20000389]_x000D_
[KEY_FIGURES].[].[ZINPUTSOFC]_x000D_
[LOCID].[].[0001004692]_x000D_
[PRDID].[].[20000389]_x000D_
[KEY_FIGURES].[].[ZFORECASTOPENOUTPUT]_x000D_
[LOCID].[].[0001004692]_x000D_
[PRDID].[].[20000389]_x000D_
[KEY_FIGURES].[].[ZACTUALSALES]_x000D_
[LOCID].[].[0001004692]_x000D_
[PRDID].[].[20000389]_x000D_
[KEY_FIGURES].[].[ZCONSENSUSDEMAND]_x000D_
[LOCID].[].[0001004692]_x000D_
[PRDID].[].[20000389]_x000D_
[KEY_FIGURES].[].[INDEPENDENTDEMAND]_x000D_
[LOCID].[].[0001004692]_x000D_
[PRDID].[].[20000390]_x000D_
[KEY_FIGURES].[].[ZCONSENSUSDEMANDQTY]_x000D_
[LOCID].[].[0001004692]_x000D_
[PRDID].[].[20000390]_x000D_
[KEY_FIGURES].[].[ZINPUTSOFC]_x000D_
[LOCID].[].[0001004692]_x000D_
[PRDID].[].[20000390]_x000D_
[KEY_FIGURES].[].[ZFORECASTOPENOUTPUT]_x000D_
[LOCID].[].[0001004692]_x000D_
[PRDID].[].[20000390]_x000D_
[KEY_FIGURES].[].[ZACTUALSALES]_x000D_
[LOCID].[].[0001004692]_x000D_
[PRDID].[].[20000390]_x000D_
[KEY_FIGURES].[].[ZCONSENSUSDEMAND]_x000D_
[LOCID].[].[0001004692]_x000D_
[PRDID].[].[20000390]_x000D_
[KEY_FIGURES].[].[INDEPENDENTDEMAND]_x000D_
[LOCID].[].[0001004692]_x000D_
[PRDID].[].[20000391]_x000D_
[KEY_FIGURES].[].[ZCONSENSUSDEMANDQTY]_x000D_
[LOCID].[].[0001004692]_x000D_
[PRDID].[].[20000391]_x000D_
[KEY_FIGURES].[].[ZINPUTSOFC]_x000D_
[LOCID].[].[0001004692]_x000D_
[PRDID].[].[20000391]_x000D_
[KEY_FIGURES].[].[ZFORECASTOPENOUTPUT]_x000D_
[LOCID].[].[0001004692]_x000D_
[PRDID].[].[20000391]_x000D_
[KEY_FIGURES].[].[ZACTUALSALES]_x000D_
[LOCID].[].[0001004692]_x000D_
[PRDID].[].[20000391]_x000D_
[KEY_FIGURES].[].[ZCONSENSUSDEMAND]_x000D_
[LOCID].[].[0001004692]_x000D_
[PRDID].[].[20000391]_x000D_
[KEY_FIGURES].[].[INDEPENDENTDEMAND]_x000D_
[LOCID].[].[0001004692]_x000D_
[PRDID].[].[20000392]_x000D_
[KEY_FIGURES].[].[ZCONSENSUSDEMANDQTY]_x000D_
[LOCID].[].[0001004692]_x000D_
[PRDID].[].[20000392]_x000D_
[KEY_FIGURES].[].[ZINPUTSOFC]_x000D_
[LOCID].[].[0001004692]_x000D_
[PRDID].[].[20000392]_x000D_
[KEY_FIGURES].[].[ZFORECASTOPENOUTPUT]_x000D_
[LOCID].[].[0001004692]_x000D_
[PRDID].[].[20000392]_x000D_
[KEY_FIGURES].[].[ZACTUALSALES]_x000D_
[LOCID].[].[0001004692]_x000D_
[PRDID].[].[20000392]_x000D_
[KEY_FIGURES].[].[ZCONSENSUSDEMAND]_x000D_
[LOCID].[].[0001004692]_x000D_
[PRDID].[].[20000392]_x000D_
[KEY_FIGURES].[].[INDEPENDENTDEMAND]_x000D_
[LOCID].[].[0001004692]_x000D_
[PRDID].[].[20000393]_x000D_
[KEY_FIGURES].[].[ZCONSENSUSDEMANDQTY]_x000D_
[LOCID].[].[0001004692]_x000D_
[PRDID].[].[20000393]_x000D_
[KEY_FIGURES].[].[ZINPUTSOFC]_x000D_
[LOCID].[].[0001004692]_x000D_
[PRDID].[].[20000393]_x000D_
[KEY_FIGURES].[].[ZFORECASTOPENOUTPUT]_x000D_
[LOCID].[].[0001004692]_x000D_
[PRDID].[].[20000393]_x000D_
[KEY_FIGURES].[].[ZACTUALSALES]_x000D_
[LOCID].[].[0001004692]_x000D_
[PRDID].[].[20000393]_x000D_
[KEY_FIGURES].[].[ZCONSENSUSDEMAND]_x000D_
[LOCID].[].[0001004692]_x000D_
[PRDID].[].[20000393]_x000D_
[KEY_FIGURES].[].[INDEPENDENTDEMAND]_x000D_
[LOCID].[].[0001004692]_x000D_
[PRDID].[].[20000394]_x000D_
[KEY_FIGURES].[].[ZCONSENSUSDEMANDQTY]_x000D_
[LOCID].[].[0001004692]_x000D_
[PRDID].[].[20000394]_x000D_
[KEY_FIGURES].[].[ZINPUTSOFC]_x000D_
[LOCID].[].[0001004692]_x000D_
[PRDID].[].[20000394]_x000D_
[KEY_FIGURES].[].[ZFORECASTOPENOUTPUT]_x000D_
[LOCID].[].[0001004692]_x000D_
[PRDID].[].[20000394]_x000D_
[KEY_FIGURES].[].[ZACTUALSALES]_x000D_
[LOCID].[].[0001004692]_x000D_
[PRDID].[].[20000394]_x000D_
[KEY_FIGURES].[].[ZCONSENSUSDEMAND]_x000D_
[LOCID].[].[0001004692]_x000D_
[PRDID].[].[20000394]_x000D_
[KEY_FIGURES].[].[INDEPENDENTDEMAND]_x000D_
[LOCID].[].[0001004692]_x000D_
[PRDID].[].[20000395]_x000D_
[KEY_FIGURES].[].[ZCONSENSUSDEMANDQTY]_x000D_
[LOCID].[].[0001004692]_x000D_
[PRDID].[].[20000395]_x000D_
[KEY_FIGURES].[].[ZINPUTSOFC]_x000D_
[LOCID].[].[0001004692]_x000D_
[PRDID].[].[20000395]_x000D_
[KEY_FIGURES].[].[ZFORECASTOPENOUTPUT]_x000D_
[LOCID].[].[0001004692]_x000D_
[PRDID].[].[20000395]_x000D_
[KEY_FIGURES].[].[ZACTUALSALES]_x000D_
[LOCID].[].[0001004692]_x000D_
[PRDID].[].[20000395]_x000D_
[KEY_FIGURES].[].[ZCONSENSUSDEMAND]_x000D_
[LOCID].[].[0001004692]_x000D_
[PRDID].[].[20000395]_x000D_
[KEY_FIGURES].[].[INDEPENDENTDEMAND]_x000D_
[LOCID].[].[0001004692]_x000D_
[PRDID].[].[20000396]_x000D_
[KEY_FIGURES].[].[ZCONSENSUSDEMANDQTY]_x000D_
[LOCID].[].[0001004692]_x000D_
[PRDID].[].[20000396]_x000D_
[KEY_FIGURES].[].[ZINPUTSOFC]_x000D_
[LOCID].[].[0001004692]_x000D_
[PRDID].[].[20000396]_x000D_
[KEY_FIGURES].[].[ZFORECASTOPENOUTPUT]_x000D_
[LOCID].[].[0001004692]_x000D_
[PRDID].[].[20000396]_x000D_
[KEY_FIGURES].[].[ZACTUALSALES]_x000D_
[LOCID].[].[0001004692]_x000D_
[PRDID].[].[20000396]_x000D_
[KEY_FIGURES].[].[ZCONSENSUSDEMAND]_x000D_
[LOCID].[].[0001004692]_x000D_
[PRDID].[].[20000396]_x000D_
[KEY_FIGURES].[].[INDEPENDENTDEMAND]_x000D_
[LOCID].[].[0001004692]_x000D_
[PRDID].[].[20000397]_x000D_
[KEY_FIGURES].[].[ZCONSENSUSDEMANDQTY]_x000D_
[LOCID].[].[0001004692]_x000D_
[PRDID].[].[20000397]_x000D_
[KEY_FIGURES].[].[ZINPUTSOFC]_x000D_
[LOCID].[].[0001004692]_x000D_
[PRDID].[].[20000397]_x000D_
[KEY_FIGURES].[].[ZFORECASTOPENOUTPUT]_x000D_
[LOCID].[].[0001004692]_x000D_
[PRDID].[].[20000397]_x000D_
[KEY_FIGURES].[].[ZACTUALSALES]_x000D_
[LOCID].[].[0001004692]_x000D_
[PRDID].[].[20000397]_x000D_
[KEY_FIGURES].[].[ZCONSENSUSDEMAND]_x000D_
[LOCID].[].[0001004692]_x000D_
[PRDID].[].[20000397]_x000D_
[KEY_FIGURES].[].[INDEPENDENTDEMAND]_x000D_
[LOCID].[].[0001004692]_x000D_
[PRDID].[].[20000398]_x000D_
[KEY_FIGURES].[].[ZCONSENSUSDEMANDQTY]_x000D_
[LOCID].[].[0001004692]_x000D_
[PRDID].[].[20000398]_x000D_
[KEY_FIGURES].[].[ZINPUTSOFC]_x000D_
[LOCID].[].[0001004692]_x000D_
[PRDID].[].[20000398]_x000D_
[KEY_FIGURES].[].[ZFORECASTOPENOUTPUT]_x000D_
[LOCID].[].[0001004692]_x000D_
[PRDID].[].[20000398]_x000D_
[KEY_FIGURES].[].[ZACTUALSALES]_x000D_
[LOCID].[].[0001004692]_x000D_
[PRDID].[].[20000398]_x000D_
[KEY_FIGURES].[].[ZCONSENSUSDEMAND]_x000D_
[LOCID].[].[0001004692]_x000D_
[PRDID].[].[20000398]_x000D_
[KEY_FIGURES].[].[INDEPENDENTDEMAND]_x000D_
[LOCID].[].[0001004692]_x000D_
[PRDID].[].[20000399]_x000D_
[KEY_FIGURES].[].[ZCONSENSUSDEMANDQTY]_x000D_
[LOCID].[].[0001004692]</t>
  </si>
  <si>
    <t>[PRDID].[].[20000399]_x000D_
[KEY_FIGURES].[].[ZINPUTSOFC]_x000D_
[LOCID].[].[0001004692]_x000D_
[PRDID].[].[20000399]_x000D_
[KEY_FIGURES].[].[ZFORECASTOPENOUTPUT]_x000D_
[LOCID].[].[0001004692]_x000D_
[PRDID].[].[20000399]_x000D_
[KEY_FIGURES].[].[ZACTUALSALES]_x000D_
[LOCID].[].[0001004692]_x000D_
[PRDID].[].[20000399]_x000D_
[KEY_FIGURES].[].[ZCONSENSUSDEMAND]_x000D_
[LOCID].[].[0001004692]_x000D_
[PRDID].[].[20000399]_x000D_
[KEY_FIGURES].[].[INDEPENDENTDEMAND]_x000D_
[LOCID].[].[0001004692]_x000D_
[PRDID].[].[20000400]_x000D_
[KEY_FIGURES].[].[ZCONSENSUSDEMANDQTY]_x000D_
[LOCID].[].[0001004692]_x000D_
[PRDID].[].[20000400]_x000D_
[KEY_FIGURES].[].[ZINPUTSOFC]_x000D_
[LOCID].[].[0001004692]_x000D_
[PRDID].[].[20000400]_x000D_
[KEY_FIGURES].[].[ZFORECASTOPENOUTPUT]_x000D_
[LOCID].[].[0001004692]_x000D_
[PRDID].[].[20000400]_x000D_
[KEY_FIGURES].[].[ZACTUALSALES]_x000D_
[LOCID].[].[0001004692]_x000D_
[PRDID].[].[20000400]_x000D_
[KEY_FIGURES].[].[ZCONSENSUSDEMAND]_x000D_
[LOCID].[].[0001004692]_x000D_
[PRDID].[].[20000400]_x000D_
[KEY_FIGURES].[].[INDEPENDENTDEMAND]_x000D_
[LOCID].[].[0001004692]_x000D_
[PRDID].[].[20000401]_x000D_
[KEY_FIGURES].[].[ZCONSENSUSDEMANDQTY]_x000D_
[LOCID].[].[0001004692]_x000D_
[PRDID].[].[20000401]_x000D_
[KEY_FIGURES].[].[ZINPUTSOFC]_x000D_
[LOCID].[].[0001004692]_x000D_
[PRDID].[].[20000401]_x000D_
[KEY_FIGURES].[].[ZFORECASTOPENOUTPUT]_x000D_
[LOCID].[].[0001004692]_x000D_
[PRDID].[].[20000401]_x000D_
[KEY_FIGURES].[].[ZACTUALSALES]_x000D_
[LOCID].[].[0001004692]_x000D_
[PRDID].[].[20000401]_x000D_
[KEY_FIGURES].[].[ZCONSENSUSDEMAND]_x000D_
[LOCID].[].[0001004692]_x000D_
[PRDID].[].[20000401]_x000D_
[KEY_FIGURES].[].[INDEPENDENTDEMAND]_x000D_
[LOCID].[].[0001004692]_x000D_
[PRDID].[].[20000402]_x000D_
[KEY_FIGURES].[].[ZCONSENSUSDEMANDQTY]_x000D_
[LOCID].[].[0001004692]_x000D_
[PRDID].[].[20000402]_x000D_
[KEY_FIGURES].[].[ZINPUTSOFC]_x000D_
[LOCID].[].[0001004692]_x000D_
[PRDID].[].[20000402]_x000D_
[KEY_FIGURES].[].[ZFORECASTOPENOUTPUT]_x000D_
[LOCID].[].[0001004692]_x000D_
[PRDID].[].[20000402]_x000D_
[KEY_FIGURES].[].[ZACTUALSALES]_x000D_
[LOCID].[].[0001004692]_x000D_
[PRDID].[].[20000402]_x000D_
[KEY_FIGURES].[].[ZCONSENSUSDEMAND]_x000D_
[LOCID].[].[0001004692]_x000D_
[PRDID].[].[20000402]_x000D_
[KEY_FIGURES].[].[INDEPENDENTDEMAND]_x000D_
[LOCID].[].[0001004692]_x000D_
[PRDID].[].[20000403]_x000D_
[KEY_FIGURES].[].[ZCONSENSUSDEMANDQTY]_x000D_
[LOCID].[].[0001004692]_x000D_
[PRDID].[].[20000403]_x000D_
[KEY_FIGURES].[].[ZINPUTSOFC]_x000D_
[LOCID].[].[0001004692]_x000D_
[PRDID].[].[20000403]_x000D_
[KEY_FIGURES].[].[ZFORECASTOPENOUTPUT]_x000D_
[LOCID].[].[0001004692]_x000D_
[PRDID].[].[20000403]_x000D_
[KEY_FIGURES].[].[ZACTUALSALES]_x000D_
[LOCID].[].[0001004692]_x000D_
[PRDID].[].[20000403]_x000D_
[KEY_FIGURES].[].[ZCONSENSUSDEMAND]_x000D_
[LOCID].[].[0001004692]_x000D_
[PRDID].[].[20000403]_x000D_
[KEY_FIGURES].[].[INDEPENDENTDEMAND]_x000D_
[LOCID].[].[0001004692]_x000D_
[PRDID].[].[20000404]_x000D_
[KEY_FIGURES].[].[ZCONSENSUSDEMANDQTY]_x000D_
[LOCID].[].[0001004692]_x000D_
[PRDID].[].[20000404]_x000D_
[KEY_FIGURES].[].[ZINPUTSOFC]_x000D_
[LOCID].[].[0001004692]_x000D_
[PRDID].[].[20000404]_x000D_
[KEY_FIGURES].[].[ZFORECASTOPENOUTPUT]_x000D_
[LOCID].[].[0001004692]_x000D_
[PRDID].[].[20000404]_x000D_
[KEY_FIGURES].[].[ZACTUALSALES]_x000D_
[LOCID].[].[0001004692]_x000D_
[PRDID].[].[20000404]_x000D_
[KEY_FIGURES].[].[ZCONSENSUSDEMAND]_x000D_
[LOCID].[].[0001004692]_x000D_
[PRDID].[].[20000404]_x000D_
[KEY_FIGURES].[].[INDEPENDENTDEMAND]_x000D_
[LOCID].[].[0001004692]_x000D_
[PRDID].[].[20000405]_x000D_
[KEY_FIGURES].[].[ZCONSENSUSDEMANDQTY]_x000D_
[LOCID].[].[0001004692]_x000D_
[PRDID].[].[20000405]_x000D_
[KEY_FIGURES].[].[ZINPUTSOFC]_x000D_
[LOCID].[].[0001004692]_x000D_
[PRDID].[].[20000405]_x000D_
[KEY_FIGURES].[].[ZFORECASTOPENOUTPUT]_x000D_
[LOCID].[].[0001004692]_x000D_
[PRDID].[].[20000405]_x000D_
[KEY_FIGURES].[].[ZACTUALSALES]_x000D_
[LOCID].[].[0001004692]_x000D_
[PRDID].[].[20000405]_x000D_
[KEY_FIGURES].[].[ZCONSENSUSDEMAND]_x000D_
[LOCID].[].[0001004692]_x000D_
[PRDID].[].[20000405]_x000D_
[KEY_FIGURES].[].[INDEPENDENTDEMAND]_x000D_
[LOCID].[].[0001004692]_x000D_
[PRDID].[].[20000406]_x000D_
[KEY_FIGURES].[].[ZCONSENSUSDEMANDQTY]_x000D_
[LOCID].[].[0001004692]_x000D_
[PRDID].[].[20000406]_x000D_
[KEY_FIGURES].[].[ZINPUTSOFC]_x000D_
[LOCID].[].[0001004692]_x000D_
[PRDID].[].[20000406]_x000D_
[KEY_FIGURES].[].[ZFORECASTOPENOUTPUT]_x000D_
[LOCID].[].[0001004692]_x000D_
[PRDID].[].[20000406]_x000D_
[KEY_FIGURES].[].[ZACTUALSALES]_x000D_
[LOCID].[].[0001004692]_x000D_
[PRDID].[].[20000406]_x000D_
[KEY_FIGURES].[].[ZCONSENSUSDEMAND]_x000D_
[LOCID].[].[0001004692]_x000D_
[PRDID].[].[20000406]_x000D_
[KEY_FIGURES].[].[INDEPENDENTDEMAND]_x000D_
[LOCID].[].[0001004692]_x000D_
[PRDID].[].[20000407]_x000D_
[KEY_FIGURES].[].[ZCONSENSUSDEMANDQTY]_x000D_
[LOCID].[].[0001004692]_x000D_
[PRDID].[].[20000407]_x000D_
[KEY_FIGURES].[].[ZINPUTSOFC]_x000D_
[LOCID].[].[0001004692]_x000D_
[PRDID].[].[20000407]_x000D_
[KEY_FIGURES].[].[ZFORECASTOPENOUTPUT]_x000D_
[LOCID].[].[0001004692]_x000D_
[PRDID].[].[20000407]_x000D_
[KEY_FIGURES].[].[ZACTUALSALES]_x000D_
[LOCID].[].[0001004692]_x000D_
[PRDID].[].[20000407]_x000D_
[KEY_FIGURES].[].[ZCONSENSUSDEMAND]_x000D_
[LOCID].[].[0001004692]_x000D_
[PRDID].[].[20000407]_x000D_
[KEY_FIGURES].[].[INDEPENDENTDEMAND]_x000D_
[LOCID].[].[0001004692]_x000D_
[PRDID].[].[20000408]_x000D_
[KEY_FIGURES].[].[ZCONSENSUSDEMANDQTY]_x000D_
[LOCID].[].[0001004692]_x000D_
[PRDID].[].[20000408]_x000D_
[KEY_FIGURES].[].[ZINPUTSOFC]_x000D_
[LOCID].[].[0001004692]_x000D_
[PRDID].[].[20000408]_x000D_
[KEY_FIGURES].[].[ZFORECASTOPENOUTPUT]_x000D_
[LOCID].[].[0001004692]_x000D_
[PRDID].[].[20000408]_x000D_
[KEY_FIGURES].[].[ZACTUALSALES]_x000D_
[LOCID].[].[0001004692]_x000D_
[PRDID].[].[20000408]_x000D_
[KEY_FIGURES].[].[ZCONSENSUSDEMAND]_x000D_
[LOCID].[].[0001004692]_x000D_
[PRDID].[].[20000408]_x000D_
[KEY_FIGURES].[].[INDEPENDENTDEMAND]_x000D_
[LOCID].[].[0001004692]_x000D_
[PRDID].[].[20000409]_x000D_
[KEY_FIGURES].[].[ZCONSENSUSDEMANDQTY]_x000D_
[LOCID].[].[0001004692]_x000D_
[PRDID].[].[20000409]_x000D_
[KEY_FIGURES].[].[ZINPUTSOFC]_x000D_
[LOCID].[].[0001004692]_x000D_
[PRDID].[].[20000409]_x000D_
[KEY_FIGURES].[].[ZFORECASTOPENOUTPUT]_x000D_
[LOCID].[].[0001004692]_x000D_
[PRDID].[].[20000409]_x000D_
[KEY_FIGURES].[].[ZACTUALSALES]_x000D_
[LOCID].[].[0001004692]_x000D_
[PRDID].[].[20000409]_x000D_
[KEY_FIGURES].[].[ZCONSENSUSDEMAND]_x000D_
[LOCID].[].[0001004692]_x000D_
[PRDID].[].[20000409]_x000D_
[KEY_FIGURES].[].[INDEPENDENTDEMAND]_x000D_
[LOCID].[].[0001004692]_x000D_
[PRDID].[].[20000410]_x000D_
[KEY_FIGURES].[].[ZCONSENSUSDEMANDQTY]_x000D_
[LOCID].[].[0001004692]_x000D_
[PRDID].[].[20000410]_x000D_
[KEY_FIGURES].[].[ZINPUTSOFC]</t>
  </si>
  <si>
    <t>[LOCID].[].[0001004692]_x000D_
[PRDID].[].[20000410]_x000D_
[KEY_FIGURES].[].[ZFORECASTOPENOUTPUT]_x000D_
[LOCID].[].[0001004692]_x000D_
[PRDID].[].[20000410]_x000D_
[KEY_FIGURES].[].[ZACTUALSALES]_x000D_
[LOCID].[].[0001004692]_x000D_
[PRDID].[].[20000410]_x000D_
[KEY_FIGURES].[].[ZCONSENSUSDEMAND]_x000D_
[LOCID].[].[0001004692]_x000D_
[PRDID].[].[20000410]_x000D_
[KEY_FIGURES].[].[INDEPENDENTDEMAND]_x000D_
[LOCID].[].[0001004692]_x000D_
[PRDID].[].[20000411]_x000D_
[KEY_FIGURES].[].[ZCONSENSUSDEMANDQTY]_x000D_
[LOCID].[].[0001004692]_x000D_
[PRDID].[].[20000411]_x000D_
[KEY_FIGURES].[].[ZINPUTSOFC]_x000D_
[LOCID].[].[0001004692]_x000D_
[PRDID].[].[20000411]_x000D_
[KEY_FIGURES].[].[ZFORECASTOPENOUTPUT]_x000D_
[LOCID].[].[0001004692]_x000D_
[PRDID].[].[20000411]_x000D_
[KEY_FIGURES].[].[ZACTUALSALES]_x000D_
[LOCID].[].[0001004692]_x000D_
[PRDID].[].[20000411]_x000D_
[KEY_FIGURES].[].[ZCONSENSUSDEMAND]_x000D_
[LOCID].[].[0001004692]_x000D_
[PRDID].[].[20000411]_x000D_
[KEY_FIGURES].[].[INDEPENDENTDEMAND]_x000D_
[LOCID].[].[0001004692]_x000D_
[PRDID].[].[20000412]_x000D_
[KEY_FIGURES].[].[ZCONSENSUSDEMANDQTY]_x000D_
[LOCID].[].[0001004692]_x000D_
[PRDID].[].[20000412]_x000D_
[KEY_FIGURES].[].[ZINPUTSOFC]_x000D_
[LOCID].[].[0001004692]_x000D_
[PRDID].[].[20000412]_x000D_
[KEY_FIGURES].[].[ZFORECASTOPENOUTPUT]_x000D_
[LOCID].[].[0001004692]_x000D_
[PRDID].[].[20000412]_x000D_
[KEY_FIGURES].[].[ZACTUALSALES]_x000D_
[LOCID].[].[0001004692]_x000D_
[PRDID].[].[20000412]_x000D_
[KEY_FIGURES].[].[ZCONSENSUSDEMAND]_x000D_
[LOCID].[].[0001004692]_x000D_
[PRDID].[].[20000412]_x000D_
[KEY_FIGURES].[].[INDEPENDENTDEMAND]_x000D_
[LOCID].[].[0001004692]_x000D_
[PRDID].[].[20000413]_x000D_
[KEY_FIGURES].[].[ZCONSENSUSDEMANDQTY]_x000D_
[LOCID].[].[0001004692]_x000D_
[PRDID].[].[20000413]_x000D_
[KEY_FIGURES].[].[ZINPUTSOFC]_x000D_
[LOCID].[].[0001004692]_x000D_
[PRDID].[].[20000413]_x000D_
[KEY_FIGURES].[].[ZFORECASTOPENOUTPUT]_x000D_
[LOCID].[].[0001004692]_x000D_
[PRDID].[].[20000413]_x000D_
[KEY_FIGURES].[].[ZACTUALSALES]_x000D_
[LOCID].[].[0001004692]_x000D_
[PRDID].[].[20000413]_x000D_
[KEY_FIGURES].[].[ZCONSENSUSDEMAND]_x000D_
[LOCID].[].[0001004692]_x000D_
[PRDID].[].[20000413]_x000D_
[KEY_FIGURES].[].[INDEPENDENTDEMAND]_x000D_
[LOCID].[].[0001004692]_x000D_
[PRDID].[].[20000414]_x000D_
[KEY_FIGURES].[].[ZCONSENSUSDEMANDQTY]_x000D_
[LOCID].[].[0001004692]_x000D_
[PRDID].[].[20000414]_x000D_
[KEY_FIGURES].[].[ZINPUTSOFC]_x000D_
[LOCID].[].[0001004692]_x000D_
[PRDID].[].[20000414]_x000D_
[KEY_FIGURES].[].[ZFORECASTOPENOUTPUT]_x000D_
[LOCID].[].[0001004692]_x000D_
[PRDID].[].[20000414]_x000D_
[KEY_FIGURES].[].[ZACTUALSALES]_x000D_
[LOCID].[].[0001004692]_x000D_
[PRDID].[].[20000414]_x000D_
[KEY_FIGURES].[].[ZCONSENSUSDEMAND]_x000D_
[LOCID].[].[0001004692]_x000D_
[PRDID].[].[20000414]_x000D_
[KEY_FIGURES].[].[INDEPENDENTDEMAND]_x000D_
[LOCID].[].[0001004692]_x000D_
[PRDID].[].[20000415]_x000D_
[KEY_FIGURES].[].[ZCONSENSUSDEMANDQTY]_x000D_
[LOCID].[].[0001004692]_x000D_
[PRDID].[].[20000415]_x000D_
[KEY_FIGURES].[].[ZINPUTSOFC]_x000D_
[LOCID].[].[0001004692]_x000D_
[PRDID].[].[20000415]_x000D_
[KEY_FIGURES].[].[ZFORECASTOPENOUTPUT]_x000D_
[LOCID].[].[0001004692]_x000D_
[PRDID].[].[20000415]_x000D_
[KEY_FIGURES].[].[ZACTUALSALES]_x000D_
[LOCID].[].[0001004692]_x000D_
[PRDID].[].[20000415]_x000D_
[KEY_FIGURES].[].[ZCONSENSUSDEMAND]_x000D_
[LOCID].[].[0001004692]_x000D_
[PRDID].[].[20000415]_x000D_
[KEY_FIGURES].[].[INDEPENDENTDEMAND]_x000D_
[LOCID].[].[0001004692]_x000D_
[PRDID].[].[20000416]_x000D_
[KEY_FIGURES].[].[ZCONSENSUSDEMANDQTY]_x000D_
[LOCID].[].[0001004692]_x000D_
[PRDID].[].[20000416]_x000D_
[KEY_FIGURES].[].[ZINPUTSOFC]_x000D_
[LOCID].[].[0001004692]_x000D_
[PRDID].[].[20000416]_x000D_
[KEY_FIGURES].[].[ZFORECASTOPENOUTPUT]_x000D_
[LOCID].[].[0001004692]_x000D_
[PRDID].[].[20000416]_x000D_
[KEY_FIGURES].[].[ZACTUALSALES]_x000D_
[LOCID].[].[0001004692]_x000D_
[PRDID].[].[20000416]_x000D_
[KEY_FIGURES].[].[ZCONSENSUSDEMAND]_x000D_
[LOCID].[].[0001004692]_x000D_
[PRDID].[].[20000416]_x000D_
[KEY_FIGURES].[].[INDEPENDENTDEMAND]_x000D_
[LOCID].[].[0001004692]_x000D_
[PRDID].[].[20000417]_x000D_
[KEY_FIGURES].[].[ZCONSENSUSDEMANDQTY]_x000D_
[LOCID].[].[0001004692]_x000D_
[PRDID].[].[20000417]_x000D_
[KEY_FIGURES].[].[ZINPUTSOFC]_x000D_
[LOCID].[].[0001004692]_x000D_
[PRDID].[].[20000417]_x000D_
[KEY_FIGURES].[].[ZFORECASTOPENOUTPUT]_x000D_
[LOCID].[].[0001004692]_x000D_
[PRDID].[].[20000417]_x000D_
[KEY_FIGURES].[].[ZACTUALSALES]_x000D_
[LOCID].[].[0001004692]_x000D_
[PRDID].[].[20000417]_x000D_
[KEY_FIGURES].[].[ZCONSENSUSDEMAND]_x000D_
[LOCID].[].[0001004692]_x000D_
[PRDID].[].[20000417]_x000D_
[KEY_FIGURES].[].[INDEPENDENTDEMAND]_x000D_
[LOCID].[].[0001004692]_x000D_
[PRDID].[].[20000418]_x000D_
[KEY_FIGURES].[].[ZCONSENSUSDEMANDQTY]_x000D_
[LOCID].[].[0001004692]_x000D_
[PRDID].[].[20000418]_x000D_
[KEY_FIGURES].[].[ZINPUTSOFC]_x000D_
[LOCID].[].[0001004692]_x000D_
[PRDID].[].[20000418]_x000D_
[KEY_FIGURES].[].[ZFORECASTOPENOUTPUT]_x000D_
[LOCID].[].[0001004692]_x000D_
[PRDID].[].[20000418]_x000D_
[KEY_FIGURES].[].[ZACTUALSALES]_x000D_
[LOCID].[].[0001004692]_x000D_
[PRDID].[].[20000418]_x000D_
[KEY_FIGURES].[].[ZCONSENSUSDEMAND]_x000D_
[LOCID].[].[0001004692]_x000D_
[PRDID].[].[20000418]_x000D_
[KEY_FIGURES].[].[INDEPENDENTDEMAND]_x000D_
[LOCID].[].[0001004692]_x000D_
[PRDID].[].[20000419]_x000D_
[KEY_FIGURES].[].[ZCONSENSUSDEMANDQTY]_x000D_
[LOCID].[].[0001004692]_x000D_
[PRDID].[].[20000419]_x000D_
[KEY_FIGURES].[].[ZINPUTSOFC]_x000D_
[LOCID].[].[0001004692]_x000D_
[PRDID].[].[20000419]_x000D_
[KEY_FIGURES].[].[ZFORECASTOPENOUTPUT]_x000D_
[LOCID].[].[0001004692]_x000D_
[PRDID].[].[20000419]_x000D_
[KEY_FIGURES].[].[ZACTUALSALES]_x000D_
[LOCID].[].[0001004692]_x000D_
[PRDID].[].[20000419]_x000D_
[KEY_FIGURES].[].[ZCONSENSUSDEMAND]_x000D_
[LOCID].[].[0001004692]_x000D_
[PRDID].[].[20000419]_x000D_
[KEY_FIGURES].[].[INDEPENDENTDEMAND]_x000D_
[LOCID].[].[0001004692]_x000D_
[PRDID].[].[20000420]_x000D_
[KEY_FIGURES].[].[ZCONSENSUSDEMANDQTY]_x000D_
[LOCID].[].[0001004692]_x000D_
[PRDID].[].[20000420]_x000D_
[KEY_FIGURES].[].[ZINPUTSOFC]_x000D_
[LOCID].[].[0001004692]_x000D_
[PRDID].[].[20000420]_x000D_
[KEY_FIGURES].[].[ZFORECASTOPENOUTPUT]_x000D_
[LOCID].[].[0001004692]_x000D_
[PRDID].[].[20000420]_x000D_
[KEY_FIGURES].[].[ZACTUALSALES]_x000D_
[LOCID].[].[0001004692]_x000D_
[PRDID].[].[20000420]_x000D_
[KEY_FIGURES].[].[ZCONSENSUSDEMAND]_x000D_
[LOCID].[].[0001004692]_x000D_
[PRDID].[].[20000420]_x000D_
[KEY_FIGURES].[].[INDEPENDENTDEMAND]_x000D_
[LOCID].[].[0001004692]_x000D_
[PRDID].[].[20000421]_x000D_
[KEY_FIGURES].[].[ZCONSENSUSDEMANDQTY]_x000D_
[LOCID].[].[0001004692]_x000D_
[PRDID].[].[20000421]_x000D_
[KEY_FIGURES].[].[ZINPUTSOFC]_x000D_
[LOCID].[].[0001004692]_x000D_
[PRDID].[].[20000421]</t>
  </si>
  <si>
    <t>[KEY_FIGURES].[].[ZFORECASTOPENOUTPUT]_x000D_
[LOCID].[].[0001004692]_x000D_
[PRDID].[].[20000421]_x000D_
[KEY_FIGURES].[].[ZACTUALSALES]_x000D_
[LOCID].[].[0001004692]_x000D_
[PRDID].[].[20000421]_x000D_
[KEY_FIGURES].[].[ZCONSENSUSDEMAND]_x000D_
[LOCID].[].[0001004692]_x000D_
[PRDID].[].[20000421]_x000D_
[KEY_FIGURES].[].[INDEPENDENTDEMAND]_x000D_
[LOCID].[].[0001004692]_x000D_
[PRDID].[].[20000422]_x000D_
[KEY_FIGURES].[].[ZCONSENSUSDEMANDQTY]_x000D_
[LOCID].[].[0001004692]_x000D_
[PRDID].[].[20000422]_x000D_
[KEY_FIGURES].[].[ZINPUTSOFC]_x000D_
[LOCID].[].[0001004692]_x000D_
[PRDID].[].[20000422]_x000D_
[KEY_FIGURES].[].[ZFORECASTOPENOUTPUT]_x000D_
[LOCID].[].[0001004692]_x000D_
[PRDID].[].[20000422]_x000D_
[KEY_FIGURES].[].[ZACTUALSALES]_x000D_
[LOCID].[].[0001004692]_x000D_
[PRDID].[].[20000422]_x000D_
[KEY_FIGURES].[].[ZCONSENSUSDEMAND]_x000D_
[LOCID].[].[0001004692]_x000D_
[PRDID].[].[20000422]_x000D_
[KEY_FIGURES].[].[INDEPENDENTDEMAND]_x000D_
[LOCID].[].[0001004692]_x000D_
[PRDID].[].[20000423]_x000D_
[KEY_FIGURES].[].[ZCONSENSUSDEMANDQTY]_x000D_
[LOCID].[].[0001004692]_x000D_
[PRDID].[].[20000423]_x000D_
[KEY_FIGURES].[].[ZINPUTSOFC]_x000D_
[LOCID].[].[0001004692]_x000D_
[PRDID].[].[20000423]_x000D_
[KEY_FIGURES].[].[ZFORECASTOPENOUTPUT]_x000D_
[LOCID].[].[0001004692]_x000D_
[PRDID].[].[20000423]_x000D_
[KEY_FIGURES].[].[ZACTUALSALES]_x000D_
[LOCID].[].[0001004692]_x000D_
[PRDID].[].[20000423]_x000D_
[KEY_FIGURES].[].[ZCONSENSUSDEMAND]_x000D_
[LOCID].[].[0001004692]_x000D_
[PRDID].[].[20000423]_x000D_
[KEY_FIGURES].[].[INDEPENDENTDEMAND]_x000D_
[LOCID].[].[0001004692]_x000D_
[PRDID].[].[20000424]_x000D_
[KEY_FIGURES].[].[ZCONSENSUSDEMANDQTY]_x000D_
[LOCID].[].[0001004692]_x000D_
[PRDID].[].[20000424]_x000D_
[KEY_FIGURES].[].[ZINPUTSOFC]_x000D_
[LOCID].[].[0001004692]_x000D_
[PRDID].[].[20000424]_x000D_
[KEY_FIGURES].[].[ZFORECASTOPENOUTPUT]_x000D_
[LOCID].[].[0001004692]_x000D_
[PRDID].[].[20000424]_x000D_
[KEY_FIGURES].[].[ZACTUALSALES]_x000D_
[LOCID].[].[0001004692]_x000D_
[PRDID].[].[20000424]_x000D_
[KEY_FIGURES].[].[ZCONSENSUSDEMAND]_x000D_
[LOCID].[].[0001004692]_x000D_
[PRDID].[].[20000424]_x000D_
[KEY_FIGURES].[].[INDEPENDENTDEMAND]_x000D_
[LOCID].[].[0001004692]_x000D_
[PRDID].[].[20000425]_x000D_
[KEY_FIGURES].[].[ZCONSENSUSDEMANDQTY]_x000D_
[LOCID].[].[0001004692]_x000D_
[PRDID].[].[20000425]_x000D_
[KEY_FIGURES].[].[ZINPUTSOFC]_x000D_
[LOCID].[].[0001004692]_x000D_
[PRDID].[].[20000425]_x000D_
[KEY_FIGURES].[].[ZFORECASTOPENOUTPUT]_x000D_
[LOCID].[].[0001004692]_x000D_
[PRDID].[].[20000425]_x000D_
[KEY_FIGURES].[].[ZACTUALSALES]_x000D_
[LOCID].[].[0001004692]_x000D_
[PRDID].[].[20000425]_x000D_
[KEY_FIGURES].[].[ZCONSENSUSDEMAND]_x000D_
[LOCID].[].[0001004692]_x000D_
[PRDID].[].[20000425]_x000D_
[KEY_FIGURES].[].[INDEPENDENTDEMAND]_x000D_
[LOCID].[].[0001004692]_x000D_
[PRDID].[].[20000426]_x000D_
[KEY_FIGURES].[].[ZCONSENSUSDEMANDQTY]_x000D_
[LOCID].[].[0001004692]_x000D_
[PRDID].[].[20000426]_x000D_
[KEY_FIGURES].[].[ZINPUTSOFC]_x000D_
[LOCID].[].[0001004692]_x000D_
[PRDID].[].[20000426]_x000D_
[KEY_FIGURES].[].[ZFORECASTOPENOUTPUT]_x000D_
[LOCID].[].[0001004692]_x000D_
[PRDID].[].[20000426]_x000D_
[KEY_FIGURES].[].[ZACTUALSALES]_x000D_
[LOCID].[].[0001004692]_x000D_
[PRDID].[].[20000426]_x000D_
[KEY_FIGURES].[].[ZCONSENSUSDEMAND]_x000D_
[LOCID].[].[0001004692]_x000D_
[PRDID].[].[20000426]_x000D_
[KEY_FIGURES].[].[INDEPENDENTDEMAND]_x000D_
[LOCID].[].[0001004692]_x000D_
[PRDID].[].[20000427]_x000D_
[KEY_FIGURES].[].[ZCONSENSUSDEMANDQTY]_x000D_
[LOCID].[].[0001004692]_x000D_
[PRDID].[].[20000427]_x000D_
[KEY_FIGURES].[].[ZINPUTSOFC]_x000D_
[LOCID].[].[0001004692]_x000D_
[PRDID].[].[20000427]_x000D_
[KEY_FIGURES].[].[ZFORECASTOPENOUTPUT]_x000D_
[LOCID].[].[0001004692]_x000D_
[PRDID].[].[20000427]_x000D_
[KEY_FIGURES].[].[ZACTUALSALES]_x000D_
[LOCID].[].[0001004692]_x000D_
[PRDID].[].[20000427]_x000D_
[KEY_FIGURES].[].[ZCONSENSUSDEMAND]_x000D_
[LOCID].[].[0001004692]_x000D_
[PRDID].[].[20000427]_x000D_
[KEY_FIGURES].[].[INDEPENDENTDEMAND]_x000D_
[LOCID].[].[0001004692]_x000D_
[PRDID].[].[20000428]_x000D_
[KEY_FIGURES].[].[ZCONSENSUSDEMANDQTY]_x000D_
[LOCID].[].[0001004692]_x000D_
[PRDID].[].[20000428]_x000D_
[KEY_FIGURES].[].[ZINPUTSOFC]_x000D_
[LOCID].[].[0001004692]_x000D_
[PRDID].[].[20000428]_x000D_
[KEY_FIGURES].[].[ZFORECASTOPENOUTPUT]_x000D_
[LOCID].[].[0001004692]_x000D_
[PRDID].[].[20000428]_x000D_
[KEY_FIGURES].[].[ZACTUALSALES]_x000D_
[LOCID].[].[0001004692]_x000D_
[PRDID].[].[20000428]_x000D_
[KEY_FIGURES].[].[ZCONSENSUSDEMAND]_x000D_
[LOCID].[].[0001004692]_x000D_
[PRDID].[].[20000428]_x000D_
[KEY_FIGURES].[].[INDEPENDENTDEMAND]_x000D_
[LOCID].[].[0001004692]_x000D_
[PRDID].[].[20000429]_x000D_
[KEY_FIGURES].[].[ZCONSENSUSDEMANDQTY]_x000D_
[LOCID].[].[0001004692]_x000D_
[PRDID].[].[20000429]_x000D_
[KEY_FIGURES].[].[ZINPUTSOFC]_x000D_
[LOCID].[].[0001004692]_x000D_
[PRDID].[].[20000429]_x000D_
[KEY_FIGURES].[].[ZFORECASTOPENOUTPUT]_x000D_
[LOCID].[].[0001004692]_x000D_
[PRDID].[].[20000429]_x000D_
[KEY_FIGURES].[].[ZACTUALSALES]_x000D_
[LOCID].[].[0001004692]_x000D_
[PRDID].[].[20000429]_x000D_
[KEY_FIGURES].[].[ZCONSENSUSDEMAND]_x000D_
[LOCID].[].[0001004692]_x000D_
[PRDID].[].[20000429]_x000D_
[KEY_FIGURES].[].[INDEPENDENTDEMAND]_x000D_
[LOCID].[].[0001004692]_x000D_
[PRDID].[].[20000430]_x000D_
[KEY_FIGURES].[].[ZCONSENSUSDEMANDQTY]_x000D_
[LOCID].[].[0001004692]_x000D_
[PRDID].[].[20000430]_x000D_
[KEY_FIGURES].[].[ZINPUTSOFC]_x000D_
[LOCID].[].[0001004692]_x000D_
[PRDID].[].[20000430]_x000D_
[KEY_FIGURES].[].[ZFORECASTOPENOUTPUT]_x000D_
[LOCID].[].[0001004692]_x000D_
[PRDID].[].[20000430]_x000D_
[KEY_FIGURES].[].[ZACTUALSALES]_x000D_
[LOCID].[].[0001004692]_x000D_
[PRDID].[].[20000430]_x000D_
[KEY_FIGURES].[].[ZCONSENSUSDEMAND]_x000D_
[LOCID].[].[0001004692]_x000D_
[PRDID].[].[20000430]_x000D_
[KEY_FIGURES].[].[INDEPENDENTDEMAND]_x000D_
[LOCID].[].[0001004692]_x000D_
[PRDID].[].[20000431]_x000D_
[KEY_FIGURES].[].[ZCONSENSUSDEMANDQTY]_x000D_
[LOCID].[].[0001004692]_x000D_
[PRDID].[].[20000431]_x000D_
[KEY_FIGURES].[].[ZINPUTSOFC]_x000D_
[LOCID].[].[0001004692]_x000D_
[PRDID].[].[20000431]_x000D_
[KEY_FIGURES].[].[ZFORECASTOPENOUTPUT]_x000D_
[LOCID].[].[0001004692]_x000D_
[PRDID].[].[20000431]_x000D_
[KEY_FIGURES].[].[ZACTUALSALES]_x000D_
[LOCID].[].[0001004692]_x000D_
[PRDID].[].[20000431]_x000D_
[KEY_FIGURES].[].[ZCONSENSUSDEMAND]_x000D_
[LOCID].[].[0001004692]_x000D_
[PRDID].[].[20000431]_x000D_
[KEY_FIGURES].[].[INDEPENDENTDEMAND]_x000D_
[LOCID].[].[0001004692]_x000D_
[PRDID].[].[20000432]_x000D_
[KEY_FIGURES].[].[ZCONSENSUSDEMANDQTY]_x000D_
[LOCID].[].[0001004692]_x000D_
[PRDID].[].[20000432]_x000D_
[KEY_FIGURES].[].[ZINPUTSOFC]_x000D_
[LOCID].[].[0001004692]_x000D_
[PRDID].[].[20000432]_x000D_
[KEY_FIGURES].[].[ZFORECASTOPENOUTPUT]_x000D_
[LOCID].[].[0001004692]</t>
  </si>
  <si>
    <t>[PRDID].[].[20000432]_x000D_
[KEY_FIGURES].[].[ZACTUALSALES]_x000D_
[LOCID].[].[0001004692]_x000D_
[PRDID].[].[20000432]_x000D_
[KEY_FIGURES].[].[ZCONSENSUSDEMAND]_x000D_
[LOCID].[].[0001004692]_x000D_
[PRDID].[].[20000432]_x000D_
[KEY_FIGURES].[].[INDEPENDENTDEMAND]_x000D_
[LOCID].[].[0001004692]_x000D_
[PRDID].[].[20000433]_x000D_
[KEY_FIGURES].[].[ZCONSENSUSDEMANDQTY]_x000D_
[LOCID].[].[0001004692]_x000D_
[PRDID].[].[20000433]_x000D_
[KEY_FIGURES].[].[ZINPUTSOFC]_x000D_
[LOCID].[].[0001004692]_x000D_
[PRDID].[].[20000433]_x000D_
[KEY_FIGURES].[].[ZFORECASTOPENOUTPUT]_x000D_
[LOCID].[].[0001004692]_x000D_
[PRDID].[].[20000433]_x000D_
[KEY_FIGURES].[].[ZACTUALSALES]_x000D_
[LOCID].[].[0001004692]_x000D_
[PRDID].[].[20000433]_x000D_
[KEY_FIGURES].[].[ZCONSENSUSDEMAND]_x000D_
[LOCID].[].[0001004692]_x000D_
[PRDID].[].[20000433]_x000D_
[KEY_FIGURES].[].[INDEPENDENTDEMAND]_x000D_
[LOCID].[].[0001004692]_x000D_
[PRDID].[].[20000434]_x000D_
[KEY_FIGURES].[].[ZCONSENSUSDEMANDQTY]_x000D_
[LOCID].[].[0001004692]_x000D_
[PRDID].[].[20000434]_x000D_
[KEY_FIGURES].[].[ZINPUTSOFC]_x000D_
[LOCID].[].[0001004692]_x000D_
[PRDID].[].[20000434]_x000D_
[KEY_FIGURES].[].[ZFORECASTOPENOUTPUT]_x000D_
[LOCID].[].[0001004692]_x000D_
[PRDID].[].[20000434]_x000D_
[KEY_FIGURES].[].[ZACTUALSALES]_x000D_
[LOCID].[].[0001004692]_x000D_
[PRDID].[].[20000434]_x000D_
[KEY_FIGURES].[].[ZCONSENSUSDEMAND]_x000D_
[LOCID].[].[0001004692]_x000D_
[PRDID].[].[20000434]_x000D_
[KEY_FIGURES].[].[INDEPENDENTDEMAND]_x000D_
[LOCID].[].[0001004692]_x000D_
[PRDID].[].[20000435]_x000D_
[KEY_FIGURES].[].[ZCONSENSUSDEMANDQTY]_x000D_
[LOCID].[].[0001004692]_x000D_
[PRDID].[].[20000435]_x000D_
[KEY_FIGURES].[].[ZINPUTSOFC]_x000D_
[LOCID].[].[0001004692]_x000D_
[PRDID].[].[20000435]_x000D_
[KEY_FIGURES].[].[ZFORECASTOPENOUTPUT]_x000D_
[LOCID].[].[0001004692]_x000D_
[PRDID].[].[20000435]_x000D_
[KEY_FIGURES].[].[ZACTUALSALES]_x000D_
[LOCID].[].[0001004692]_x000D_
[PRDID].[].[20000435]_x000D_
[KEY_FIGURES].[].[ZCONSENSUSDEMAND]_x000D_
[LOCID].[].[0001004692]_x000D_
[PRDID].[].[20000435]_x000D_
[KEY_FIGURES].[].[INDEPENDENTDEMAND]_x000D_
[LOCID].[].[0001004692]_x000D_
[PRDID].[].[20000436]_x000D_
[KEY_FIGURES].[].[ZCONSENSUSDEMANDQTY]_x000D_
[LOCID].[].[0001004692]_x000D_
[PRDID].[].[20000436]_x000D_
[KEY_FIGURES].[].[ZINPUTSOFC]_x000D_
[LOCID].[].[0001004692]_x000D_
[PRDID].[].[20000436]_x000D_
[KEY_FIGURES].[].[ZFORECASTOPENOUTPUT]_x000D_
[LOCID].[].[0001004692]_x000D_
[PRDID].[].[20000436]_x000D_
[KEY_FIGURES].[].[ZACTUALSALES]_x000D_
[LOCID].[].[0001004692]_x000D_
[PRDID].[].[20000436]_x000D_
[KEY_FIGURES].[].[ZCONSENSUSDEMAND]_x000D_
[LOCID].[].[0001004692]_x000D_
[PRDID].[].[20000436]_x000D_
[KEY_FIGURES].[].[INDEPENDENTDEMAND]_x000D_
[LOCID].[].[0001004692]_x000D_
[PRDID].[].[20000437]_x000D_
[KEY_FIGURES].[].[ZCONSENSUSDEMANDQTY]_x000D_
[LOCID].[].[0001004692]_x000D_
[PRDID].[].[20000437]_x000D_
[KEY_FIGURES].[].[ZINPUTSOFC]_x000D_
[LOCID].[].[0001004692]_x000D_
[PRDID].[].[20000437]_x000D_
[KEY_FIGURES].[].[ZFORECASTOPENOUTPUT]_x000D_
[LOCID].[].[0001004692]_x000D_
[PRDID].[].[20000437]_x000D_
[KEY_FIGURES].[].[ZACTUALSALES]_x000D_
[LOCID].[].[0001004692]_x000D_
[PRDID].[].[20000437]_x000D_
[KEY_FIGURES].[].[ZCONSENSUSDEMAND]_x000D_
[LOCID].[].[0001004692]_x000D_
[PRDID].[].[20000437]_x000D_
[KEY_FIGURES].[].[INDEPENDENTDEMAND]_x000D_
[LOCID].[].[0001004692]_x000D_
[PRDID].[].[20000438]_x000D_
[KEY_FIGURES].[].[ZCONSENSUSDEMANDQTY]_x000D_
[LOCID].[].[0001004692]_x000D_
[PRDID].[].[20000438]_x000D_
[KEY_FIGURES].[].[ZINPUTSOFC]_x000D_
[LOCID].[].[0001004692]_x000D_
[PRDID].[].[20000438]_x000D_
[KEY_FIGURES].[].[ZFORECASTOPENOUTPUT]_x000D_
[LOCID].[].[0001004692]_x000D_
[PRDID].[].[20000438]_x000D_
[KEY_FIGURES].[].[ZACTUALSALES]_x000D_
[LOCID].[].[0001004692]_x000D_
[PRDID].[].[20000438]_x000D_
[KEY_FIGURES].[].[ZCONSENSUSDEMAND]_x000D_
[LOCID].[].[0001004692]_x000D_
[PRDID].[].[20000438]_x000D_
[KEY_FIGURES].[].[INDEPENDENTDEMAND]_x000D_
[LOCID].[].[0001004692]_x000D_
[PRDID].[].[20000439]_x000D_
[KEY_FIGURES].[].[ZCONSENSUSDEMANDQTY]_x000D_
[LOCID].[].[0001004692]_x000D_
[PRDID].[].[20000439]_x000D_
[KEY_FIGURES].[].[ZINPUTSOFC]_x000D_
[LOCID].[].[0001004692]_x000D_
[PRDID].[].[20000439]_x000D_
[KEY_FIGURES].[].[ZFORECASTOPENOUTPUT]_x000D_
[LOCID].[].[0001004692]_x000D_
[PRDID].[].[20000439]_x000D_
[KEY_FIGURES].[].[ZACTUALSALES]_x000D_
[LOCID].[].[0001004692]_x000D_
[PRDID].[].[20000439]_x000D_
[KEY_FIGURES].[].[ZCONSENSUSDEMAND]_x000D_
[LOCID].[].[0001004692]_x000D_
[PRDID].[].[20000439]_x000D_
[KEY_FIGURES].[].[INDEPENDENTDEMAND]_x000D_
[LOCID].[].[0001004692]_x000D_
[PRDID].[].[20000440]_x000D_
[KEY_FIGURES].[].[ZCONSENSUSDEMANDQTY]_x000D_
[LOCID].[].[0001004692]_x000D_
[PRDID].[].[20000440]_x000D_
[KEY_FIGURES].[].[ZINPUTSOFC]_x000D_
[LOCID].[].[0001004692]_x000D_
[PRDID].[].[20000440]_x000D_
[KEY_FIGURES].[].[ZFORECASTOPENOUTPUT]_x000D_
[LOCID].[].[0001004692]_x000D_
[PRDID].[].[20000440]_x000D_
[KEY_FIGURES].[].[ZACTUALSALES]_x000D_
[LOCID].[].[0001004692]_x000D_
[PRDID].[].[20000440]_x000D_
[KEY_FIGURES].[].[ZCONSENSUSDEMAND]_x000D_
[LOCID].[].[0001004692]_x000D_
[PRDID].[].[20000440]_x000D_
[KEY_FIGURES].[].[INDEPENDENTDEMAND]_x000D_
[LOCID].[].[0001004692]_x000D_
[PRDID].[].[20000441]_x000D_
[KEY_FIGURES].[].[ZCONSENSUSDEMANDQTY]_x000D_
[LOCID].[].[0001004692]_x000D_
[PRDID].[].[20000441]_x000D_
[KEY_FIGURES].[].[ZINPUTSOFC]_x000D_
[LOCID].[].[0001004692]_x000D_
[PRDID].[].[20000441]_x000D_
[KEY_FIGURES].[].[ZFORECASTOPENOUTPUT]_x000D_
[LOCID].[].[0001004692]_x000D_
[PRDID].[].[20000441]_x000D_
[KEY_FIGURES].[].[ZACTUALSALES]_x000D_
[LOCID].[].[0001004692]_x000D_
[PRDID].[].[20000441]_x000D_
[KEY_FIGURES].[].[ZCONSENSUSDEMAND]_x000D_
[LOCID].[].[0001004692]_x000D_
[PRDID].[].[20000441]_x000D_
[KEY_FIGURES].[].[INDEPENDENTDEMAND]_x000D_
[LOCID].[].[0001004692]_x000D_
[PRDID].[].[20000442]_x000D_
[KEY_FIGURES].[].[ZCONSENSUSDEMANDQTY]_x000D_
[LOCID].[].[0001004692]_x000D_
[PRDID].[].[20000442]_x000D_
[KEY_FIGURES].[].[ZINPUTSOFC]_x000D_
[LOCID].[].[0001004692]_x000D_
[PRDID].[].[20000442]_x000D_
[KEY_FIGURES].[].[ZFORECASTOPENOUTPUT]_x000D_
[LOCID].[].[0001004692]_x000D_
[PRDID].[].[20000442]_x000D_
[KEY_FIGURES].[].[ZACTUALSALES]_x000D_
[LOCID].[].[0001004692]_x000D_
[PRDID].[].[20000442]_x000D_
[KEY_FIGURES].[].[ZCONSENSUSDEMAND]_x000D_
[LOCID].[].[0001004692]_x000D_
[PRDID].[].[20000442]_x000D_
[KEY_FIGURES].[].[INDEPENDENTDEMAND]_x000D_
[LOCID].[].[0001004692]_x000D_
[PRDID].[].[20000443]_x000D_
[KEY_FIGURES].[].[ZCONSENSUSDEMANDQTY]_x000D_
[LOCID].[].[0001004692]_x000D_
[PRDID].[].[20000443]_x000D_
[KEY_FIGURES].[].[ZINPUTSOFC]_x000D_
[LOCID].[].[0001004692]_x000D_
[PRDID].[].[20000443]_x000D_
[KEY_FIGURES].[].[ZFORECASTOPENOUTPUT]_x000D_
[LOCID].[].[0001004692]_x000D_
[PRDID].[].[20000443]_x000D_
[KEY_FIGURES].[].[ZACTUALSALES]</t>
  </si>
  <si>
    <t>[LOCID].[].[0001004692]_x000D_
[PRDID].[].[20000443]_x000D_
[KEY_FIGURES].[].[ZCONSENSUSDEMAND]_x000D_
[LOCID].[].[0001004692]_x000D_
[PRDID].[].[20000443]_x000D_
[KEY_FIGURES].[].[INDEPENDENTDEMAND]_x000D_
[LOCID].[].[0001004692]_x000D_
[PRDID].[].[20000444]_x000D_
[KEY_FIGURES].[].[ZCONSENSUSDEMANDQTY]_x000D_
[LOCID].[].[0001004692]_x000D_
[PRDID].[].[20000444]_x000D_
[KEY_FIGURES].[].[ZINPUTSOFC]_x000D_
[LOCID].[].[0001004692]_x000D_
[PRDID].[].[20000444]_x000D_
[KEY_FIGURES].[].[ZFORECASTOPENOUTPUT]_x000D_
[LOCID].[].[0001004692]_x000D_
[PRDID].[].[20000444]_x000D_
[KEY_FIGURES].[].[ZACTUALSALES]_x000D_
[LOCID].[].[0001004692]_x000D_
[PRDID].[].[20000444]_x000D_
[KEY_FIGURES].[].[ZCONSENSUSDEMAND]_x000D_
[LOCID].[].[0001004692]_x000D_
[PRDID].[].[20000444]_x000D_
[KEY_FIGURES].[].[INDEPENDENTDEMAND]_x000D_
[LOCID].[].[0001004692]_x000D_
[PRDID].[].[20000445]_x000D_
[KEY_FIGURES].[].[ZCONSENSUSDEMANDQTY]_x000D_
[LOCID].[].[0001004692]_x000D_
[PRDID].[].[20000445]_x000D_
[KEY_FIGURES].[].[ZINPUTSOFC]_x000D_
[LOCID].[].[0001004692]_x000D_
[PRDID].[].[20000445]_x000D_
[KEY_FIGURES].[].[ZFORECASTOPENOUTPUT]_x000D_
[LOCID].[].[0001004692]_x000D_
[PRDID].[].[20000445]_x000D_
[KEY_FIGURES].[].[ZACTUALSALES]_x000D_
[LOCID].[].[0001004692]_x000D_
[PRDID].[].[20000445]_x000D_
[KEY_FIGURES].[].[ZCONSENSUSDEMAND]_x000D_
[LOCID].[].[0001004692]_x000D_
[PRDID].[].[20000445]_x000D_
[KEY_FIGURES].[].[INDEPENDENTDEMAND]_x000D_
[LOCID].[].[0001004692]_x000D_
[PRDID].[].[20000446]_x000D_
[KEY_FIGURES].[].[ZCONSENSUSDEMANDQTY]_x000D_
[LOCID].[].[0001004692]_x000D_
[PRDID].[].[20000446]_x000D_
[KEY_FIGURES].[].[ZINPUTSOFC]_x000D_
[LOCID].[].[0001004692]_x000D_
[PRDID].[].[20000446]_x000D_
[KEY_FIGURES].[].[ZFORECASTOPENOUTPUT]_x000D_
[LOCID].[].[0001004692]_x000D_
[PRDID].[].[20000446]_x000D_
[KEY_FIGURES].[].[ZACTUALSALES]_x000D_
[LOCID].[].[0001004692]_x000D_
[PRDID].[].[20000446]_x000D_
[KEY_FIGURES].[].[ZCONSENSUSDEMAND]_x000D_
[LOCID].[].[0001004692]_x000D_
[PRDID].[].[20000446]_x000D_
[KEY_FIGURES].[].[INDEPENDENTDEMAND]_x000D_
[LOCID].[].[0001004692]_x000D_
[PRDID].[].[20000447]_x000D_
[KEY_FIGURES].[].[ZCONSENSUSDEMANDQTY]_x000D_
[LOCID].[].[0001004692]_x000D_
[PRDID].[].[20000447]_x000D_
[KEY_FIGURES].[].[ZINPUTSOFC]_x000D_
[LOCID].[].[0001004692]_x000D_
[PRDID].[].[20000447]_x000D_
[KEY_FIGURES].[].[ZFORECASTOPENOUTPUT]_x000D_
[LOCID].[].[0001004692]_x000D_
[PRDID].[].[20000447]_x000D_
[KEY_FIGURES].[].[ZACTUALSALES]_x000D_
[LOCID].[].[0001004692]_x000D_
[PRDID].[].[20000447]_x000D_
[KEY_FIGURES].[].[ZCONSENSUSDEMAND]_x000D_
[LOCID].[].[0001004692]_x000D_
[PRDID].[].[20000447]_x000D_
[KEY_FIGURES].[].[INDEPENDENTDEMAND]_x000D_
[LOCID].[].[0001004692]_x000D_
[PRDID].[].[20000448]_x000D_
[KEY_FIGURES].[].[ZCONSENSUSDEMANDQTY]_x000D_
[LOCID].[].[0001004692]_x000D_
[PRDID].[].[20000448]_x000D_
[KEY_FIGURES].[].[ZINPUTSOFC]_x000D_
[LOCID].[].[0001004692]_x000D_
[PRDID].[].[20000448]_x000D_
[KEY_FIGURES].[].[ZFORECASTOPENOUTPUT]_x000D_
[LOCID].[].[0001004692]_x000D_
[PRDID].[].[20000448]_x000D_
[KEY_FIGURES].[].[ZACTUALSALES]_x000D_
[LOCID].[].[0001004692]_x000D_
[PRDID].[].[20000448]_x000D_
[KEY_FIGURES].[].[ZCONSENSUSDEMAND]_x000D_
[LOCID].[].[0001004692]_x000D_
[PRDID].[].[20000448]_x000D_
[KEY_FIGURES].[].[INDEPENDENTDEMAND]_x000D_
[LOCID].[].[0001004692]_x000D_
[PRDID].[].[20000449]_x000D_
[KEY_FIGURES].[].[ZCONSENSUSDEMANDQTY]_x000D_
[LOCID].[].[0001004692]_x000D_
[PRDID].[].[20000449]_x000D_
[KEY_FIGURES].[].[ZINPUTSOFC]_x000D_
[LOCID].[].[0001004692]_x000D_
[PRDID].[].[20000449]_x000D_
[KEY_FIGURES].[].[ZFORECASTOPENOUTPUT]_x000D_
[LOCID].[].[0001004692]_x000D_
[PRDID].[].[20000449]_x000D_
[KEY_FIGURES].[].[ZACTUALSALES]_x000D_
[LOCID].[].[0001004692]_x000D_
[PRDID].[].[20000449]_x000D_
[KEY_FIGURES].[].[ZCONSENSUSDEMAND]_x000D_
[LOCID].[].[0001004692]_x000D_
[PRDID].[].[20000449]_x000D_
[KEY_FIGURES].[].[INDEPENDENTDEMAND]_x000D_
[LOCID].[].[0001004692]_x000D_
[PRDID].[].[20000451]_x000D_
[KEY_FIGURES].[].[ZCONSENSUSDEMANDQTY]_x000D_
[LOCID].[].[0001004692]_x000D_
[PRDID].[].[20000451]_x000D_
[KEY_FIGURES].[].[ZINPUTSOFC]_x000D_
[LOCID].[].[0001004692]_x000D_
[PRDID].[].[20000451]_x000D_
[KEY_FIGURES].[].[ZFORECASTOPENOUTPUT]_x000D_
[LOCID].[].[0001004692]_x000D_
[PRDID].[].[20000451]_x000D_
[KEY_FIGURES].[].[ZACTUALSALES]_x000D_
[LOCID].[].[0001004692]_x000D_
[PRDID].[].[20000451]_x000D_
[KEY_FIGURES].[].[ZCONSENSUSDEMAND]_x000D_
[LOCID].[].[0001004692]_x000D_
[PRDID].[].[20000451]_x000D_
[KEY_FIGURES].[].[INDEPENDENTDEMAND]_x000D_
[LOCID].[].[0001004692]_x000D_
[PRDID].[].[20000452]_x000D_
[KEY_FIGURES].[].[ZCONSENSUSDEMANDQTY]_x000D_
[LOCID].[].[0001004692]_x000D_
[PRDID].[].[20000452]_x000D_
[KEY_FIGURES].[].[ZINPUTSOFC]_x000D_
[LOCID].[].[0001004692]_x000D_
[PRDID].[].[20000452]_x000D_
[KEY_FIGURES].[].[ZFORECASTOPENOUTPUT]_x000D_
[LOCID].[].[0001004692]_x000D_
[PRDID].[].[20000452]_x000D_
[KEY_FIGURES].[].[ZACTUALSALES]_x000D_
[LOCID].[].[0001004692]_x000D_
[PRDID].[].[20000452]_x000D_
[KEY_FIGURES].[].[ZCONSENSUSDEMAND]_x000D_
[LOCID].[].[0001004692]_x000D_
[PRDID].[].[20000452]_x000D_
[KEY_FIGURES].[].[INDEPENDENTDEMAND]_x000D_
[LOCID].[].[0001004692]_x000D_
[PRDID].[].[20000453]_x000D_
[KEY_FIGURES].[].[ZCONSENSUSDEMANDQTY]_x000D_
[LOCID].[].[0001004692]_x000D_
[PRDID].[].[20000453]_x000D_
[KEY_FIGURES].[].[ZINPUTSOFC]_x000D_
[LOCID].[].[0001004692]_x000D_
[PRDID].[].[20000453]_x000D_
[KEY_FIGURES].[].[ZFORECASTOPENOUTPUT]_x000D_
[LOCID].[].[0001004692]_x000D_
[PRDID].[].[20000453]_x000D_
[KEY_FIGURES].[].[ZACTUALSALES]_x000D_
[LOCID].[].[0001004692]_x000D_
[PRDID].[].[20000453]_x000D_
[KEY_FIGURES].[].[ZCONSENSUSDEMAND]_x000D_
[LOCID].[].[0001004692]_x000D_
[PRDID].[].[20000453]_x000D_
[KEY_FIGURES].[].[INDEPENDENTDEMAND]_x000D_
[LOCID].[].[0001004692]_x000D_
[PRDID].[].[20000454]_x000D_
[KEY_FIGURES].[].[ZCONSENSUSDEMANDQTY]_x000D_
[LOCID].[].[0001004692]_x000D_
[PRDID].[].[20000454]_x000D_
[KEY_FIGURES].[].[ZINPUTSOFC]_x000D_
[LOCID].[].[0001004692]_x000D_
[PRDID].[].[20000454]_x000D_
[KEY_FIGURES].[].[ZFORECASTOPENOUTPUT]_x000D_
[LOCID].[].[0001004692]_x000D_
[PRDID].[].[20000454]_x000D_
[KEY_FIGURES].[].[ZACTUALSALES]_x000D_
[LOCID].[].[0001004692]_x000D_
[PRDID].[].[20000454]_x000D_
[KEY_FIGURES].[].[ZCONSENSUSDEMAND]_x000D_
[LOCID].[].[0001004692]_x000D_
[PRDID].[].[20000454]_x000D_
[KEY_FIGURES].[].[INDEPENDENTDEMAND]_x000D_
[LOCID].[].[0001004692]_x000D_
[PRDID].[].[20000455]_x000D_
[KEY_FIGURES].[].[ZCONSENSUSDEMANDQTY]_x000D_
[LOCID].[].[0001004692]_x000D_
[PRDID].[].[20000455]_x000D_
[KEY_FIGURES].[].[ZINPUTSOFC]_x000D_
[LOCID].[].[0001004692]_x000D_
[PRDID].[].[20000455]_x000D_
[KEY_FIGURES].[].[ZFORECASTOPENOUTPUT]_x000D_
[LOCID].[].[0001004692]_x000D_
[PRDID].[].[20000455]_x000D_
[KEY_FIGURES].[].[ZACTUALSALES]_x000D_
[LOCID].[].[0001004692]_x000D_
[PRDID].[].[20000455]</t>
  </si>
  <si>
    <t>[KEY_FIGURES].[].[ZCONSENSUSDEMAND]_x000D_
[LOCID].[].[0001004692]_x000D_
[PRDID].[].[20000455]_x000D_
[KEY_FIGURES].[].[INDEPENDENTDEMAND]_x000D_
[LOCID].[].[0001004692]_x000D_
[PRDID].[].[20000456]_x000D_
[KEY_FIGURES].[].[ZCONSENSUSDEMANDQTY]_x000D_
[LOCID].[].[0001004692]_x000D_
[PRDID].[].[20000456]_x000D_
[KEY_FIGURES].[].[ZINPUTSOFC]_x000D_
[LOCID].[].[0001004692]_x000D_
[PRDID].[].[20000456]_x000D_
[KEY_FIGURES].[].[ZFORECASTOPENOUTPUT]_x000D_
[LOCID].[].[0001004692]_x000D_
[PRDID].[].[20000456]_x000D_
[KEY_FIGURES].[].[ZACTUALSALES]_x000D_
[LOCID].[].[0001004692]_x000D_
[PRDID].[].[20000456]_x000D_
[KEY_FIGURES].[].[ZCONSENSUSDEMAND]_x000D_
[LOCID].[].[0001004692]_x000D_
[PRDID].[].[20000456]_x000D_
[KEY_FIGURES].[].[INDEPENDENTDEMAND]_x000D_
[LOCID].[].[0001004692]_x000D_
[PRDID].[].[20000457]_x000D_
[KEY_FIGURES].[].[ZCONSENSUSDEMANDQTY]_x000D_
[LOCID].[].[0001004692]_x000D_
[PRDID].[].[20000457]_x000D_
[KEY_FIGURES].[].[ZINPUTSOFC]_x000D_
[LOCID].[].[0001004692]_x000D_
[PRDID].[].[20000457]_x000D_
[KEY_FIGURES].[].[ZFORECASTOPENOUTPUT]_x000D_
[LOCID].[].[0001004692]_x000D_
[PRDID].[].[20000457]_x000D_
[KEY_FIGURES].[].[ZACTUALSALES]_x000D_
[LOCID].[].[0001004692]_x000D_
[PRDID].[].[20000457]_x000D_
[KEY_FIGURES].[].[ZCONSENSUSDEMAND]_x000D_
[LOCID].[].[0001004692]_x000D_
[PRDID].[].[20000457]_x000D_
[KEY_FIGURES].[].[INDEPENDENTDEMAND]_x000D_
[LOCID].[].[0001004692]_x000D_
[PRDID].[].[20000458]_x000D_
[KEY_FIGURES].[].[ZCONSENSUSDEMANDQTY]_x000D_
[LOCID].[].[0001004692]_x000D_
[PRDID].[].[20000458]_x000D_
[KEY_FIGURES].[].[ZINPUTSOFC]_x000D_
[LOCID].[].[0001004692]_x000D_
[PRDID].[].[20000458]_x000D_
[KEY_FIGURES].[].[ZFORECASTOPENOUTPUT]_x000D_
[LOCID].[].[0001004692]_x000D_
[PRDID].[].[20000458]_x000D_
[KEY_FIGURES].[].[ZACTUALSALES]_x000D_
[LOCID].[].[0001004692]_x000D_
[PRDID].[].[20000458]_x000D_
[KEY_FIGURES].[].[ZCONSENSUSDEMAND]_x000D_
[LOCID].[].[0001004692]_x000D_
[PRDID].[].[20000458]_x000D_
[KEY_FIGURES].[].[INDEPENDENTDEMAND]_x000D_
[LOCID].[].[0001004692]_x000D_
[PRDID].[].[20000459]_x000D_
[KEY_FIGURES].[].[ZCONSENSUSDEMANDQTY]_x000D_
[LOCID].[].[0001004692]_x000D_
[PRDID].[].[20000459]_x000D_
[KEY_FIGURES].[].[ZINPUTSOFC]_x000D_
[LOCID].[].[0001004692]_x000D_
[PRDID].[].[20000459]_x000D_
[KEY_FIGURES].[].[ZFORECASTOPENOUTPUT]_x000D_
[LOCID].[].[0001004692]_x000D_
[PRDID].[].[20000459]_x000D_
[KEY_FIGURES].[].[ZACTUALSALES]_x000D_
[LOCID].[].[0001004692]_x000D_
[PRDID].[].[20000459]_x000D_
[KEY_FIGURES].[].[ZCONSENSUSDEMAND]_x000D_
[LOCID].[].[0001004692]_x000D_
[PRDID].[].[20000459]_x000D_
[KEY_FIGURES].[].[INDEPENDENTDEMAND]_x000D_
[LOCID].[].[0001004692]_x000D_
[PRDID].[].[20000460]_x000D_
[KEY_FIGURES].[].[ZCONSENSUSDEMANDQTY]_x000D_
[LOCID].[].[0001004692]_x000D_
[PRDID].[].[20000460]_x000D_
[KEY_FIGURES].[].[ZINPUTSOFC]_x000D_
[LOCID].[].[0001004692]_x000D_
[PRDID].[].[20000460]_x000D_
[KEY_FIGURES].[].[ZFORECASTOPENOUTPUT]_x000D_
[LOCID].[].[0001004692]_x000D_
[PRDID].[].[20000460]_x000D_
[KEY_FIGURES].[].[ZACTUALSALES]_x000D_
[LOCID].[].[0001004692]_x000D_
[PRDID].[].[20000460]_x000D_
[KEY_FIGURES].[].[ZCONSENSUSDEMAND]_x000D_
[LOCID].[].[0001004692]_x000D_
[PRDID].[].[20000460]_x000D_
[KEY_FIGURES].[].[INDEPENDENTDEMAND]_x000D_
[LOCID].[].[0001004692]_x000D_
[PRDID].[].[20000461]_x000D_
[KEY_FIGURES].[].[ZCONSENSUSDEMANDQTY]_x000D_
[LOCID].[].[0001004692]_x000D_
[PRDID].[].[20000461]_x000D_
[KEY_FIGURES].[].[ZINPUTSOFC]_x000D_
[LOCID].[].[0001004692]_x000D_
[PRDID].[].[20000461]_x000D_
[KEY_FIGURES].[].[ZFORECASTOPENOUTPUT]_x000D_
[LOCID].[].[0001004692]_x000D_
[PRDID].[].[20000461]_x000D_
[KEY_FIGURES].[].[ZACTUALSALES]_x000D_
[LOCID].[].[0001004692]_x000D_
[PRDID].[].[20000461]_x000D_
[KEY_FIGURES].[].[ZCONSENSUSDEMAND]_x000D_
[LOCID].[].[0001004692]_x000D_
[PRDID].[].[20000461]_x000D_
[KEY_FIGURES].[].[INDEPENDENTDEMAND]_x000D_
[LOCID].[].[0001004692]_x000D_
[PRDID].[].[20000462]_x000D_
[KEY_FIGURES].[].[ZCONSENSUSDEMANDQTY]_x000D_
[LOCID].[].[0001004692]_x000D_
[PRDID].[].[20000462]_x000D_
[KEY_FIGURES].[].[ZINPUTSOFC]_x000D_
[LOCID].[].[0001004692]_x000D_
[PRDID].[].[20000462]_x000D_
[KEY_FIGURES].[].[ZFORECASTOPENOUTPUT]_x000D_
[LOCID].[].[0001004692]_x000D_
[PRDID].[].[20000462]_x000D_
[KEY_FIGURES].[].[ZACTUALSALES]_x000D_
[LOCID].[].[0001004692]_x000D_
[PRDID].[].[20000462]_x000D_
[KEY_FIGURES].[].[ZCONSENSUSDEMAND]_x000D_
[LOCID].[].[0001004692]_x000D_
[PRDID].[].[20000462]_x000D_
[KEY_FIGURES].[].[INDEPENDENTDEMAND]_x000D_
[LOCID].[].[0001004692]_x000D_
[PRDID].[].[20000463]_x000D_
[KEY_FIGURES].[].[ZCONSENSUSDEMANDQTY]_x000D_
[LOCID].[].[0001004692]_x000D_
[PRDID].[].[20000463]_x000D_
[KEY_FIGURES].[].[ZINPUTSOFC]_x000D_
[LOCID].[].[0001004692]_x000D_
[PRDID].[].[20000463]_x000D_
[KEY_FIGURES].[].[ZFORECASTOPENOUTPUT]_x000D_
[LOCID].[].[0001004692]_x000D_
[PRDID].[].[20000463]_x000D_
[KEY_FIGURES].[].[ZACTUALSALES]_x000D_
[LOCID].[].[0001004692]_x000D_
[PRDID].[].[20000463]_x000D_
[KEY_FIGURES].[].[ZCONSENSUSDEMAND]_x000D_
[LOCID].[].[0001004692]_x000D_
[PRDID].[].[20000463]_x000D_
[KEY_FIGURES].[].[INDEPENDENTDEMAND]_x000D_
[LOCID].[].[0001004692]_x000D_
[PRDID].[].[20000464]_x000D_
[KEY_FIGURES].[].[ZCONSENSUSDEMANDQTY]_x000D_
[LOCID].[].[0001004692]_x000D_
[PRDID].[].[20000464]_x000D_
[KEY_FIGURES].[].[ZINPUTSOFC]_x000D_
[LOCID].[].[0001004692]_x000D_
[PRDID].[].[20000464]_x000D_
[KEY_FIGURES].[].[ZFORECASTOPENOUTPUT]_x000D_
[LOCID].[].[0001004692]_x000D_
[PRDID].[].[20000464]_x000D_
[KEY_FIGURES].[].[ZACTUALSALES]_x000D_
[LOCID].[].[0001004692]_x000D_
[PRDID].[].[20000464]_x000D_
[KEY_FIGURES].[].[ZCONSENSUSDEMAND]_x000D_
[LOCID].[].[0001004692]_x000D_
[PRDID].[].[20000464]_x000D_
[KEY_FIGURES].[].[INDEPENDENTDEMAND]_x000D_
[LOCID].[].[0001004692]_x000D_
[PRDID].[].[20000465]_x000D_
[KEY_FIGURES].[].[ZCONSENSUSDEMANDQTY]_x000D_
[LOCID].[].[0001004692]_x000D_
[PRDID].[].[20000465]_x000D_
[KEY_FIGURES].[].[ZINPUTSOFC]_x000D_
[LOCID].[].[0001004692]_x000D_
[PRDID].[].[20000465]_x000D_
[KEY_FIGURES].[].[ZFORECASTOPENOUTPUT]_x000D_
[LOCID].[].[0001004692]_x000D_
[PRDID].[].[20000465]_x000D_
[KEY_FIGURES].[].[ZACTUALSALES]_x000D_
[LOCID].[].[0001004692]_x000D_
[PRDID].[].[20000465]_x000D_
[KEY_FIGURES].[].[ZCONSENSUSDEMAND]_x000D_
[LOCID].[].[0001004692]_x000D_
[PRDID].[].[20000465]_x000D_
[KEY_FIGURES].[].[INDEPENDENTDEMAND]_x000D_
[LOCID].[].[0001004692]_x000D_
[PRDID].[].[20000466]_x000D_
[KEY_FIGURES].[].[ZCONSENSUSDEMANDQTY]_x000D_
[LOCID].[].[0001004692]_x000D_
[PRDID].[].[20000466]_x000D_
[KEY_FIGURES].[].[ZINPUTSOFC]_x000D_
[LOCID].[].[0001004692]_x000D_
[PRDID].[].[20000466]_x000D_
[KEY_FIGURES].[].[ZFORECASTOPENOUTPUT]_x000D_
[LOCID].[].[0001004692]_x000D_
[PRDID].[].[20000466]_x000D_
[KEY_FIGURES].[].[ZACTUALSALES]_x000D_
[LOCID].[].[0001004692]_x000D_
[PRDID].[].[20000466]_x000D_
[KEY_FIGURES].[].[ZCONSENSUSDEMAND]_x000D_
[LOCID].[].[0001004692]</t>
  </si>
  <si>
    <t>[PRDID].[].[20000466]_x000D_
[KEY_FIGURES].[].[INDEPENDENTDEMAND]_x000D_
[LOCID].[].[0001004692]_x000D_
[PRDID].[].[20000467]_x000D_
[KEY_FIGURES].[].[ZCONSENSUSDEMANDQTY]_x000D_
[LOCID].[].[0001004692]_x000D_
[PRDID].[].[20000467]_x000D_
[KEY_FIGURES].[].[ZINPUTSOFC]_x000D_
[LOCID].[].[0001004692]_x000D_
[PRDID].[].[20000467]_x000D_
[KEY_FIGURES].[].[ZFORECASTOPENOUTPUT]_x000D_
[LOCID].[].[0001004692]_x000D_
[PRDID].[].[20000467]_x000D_
[KEY_FIGURES].[].[ZACTUALSALES]_x000D_
[LOCID].[].[0001004692]_x000D_
[PRDID].[].[20000467]_x000D_
[KEY_FIGURES].[].[ZCONSENSUSDEMAND]_x000D_
[LOCID].[].[0001004692]_x000D_
[PRDID].[].[20000467]_x000D_
[KEY_FIGURES].[].[INDEPENDENTDEMAND]_x000D_
[LOCID].[].[0001004692]_x000D_
[PRDID].[].[20000468]_x000D_
[KEY_FIGURES].[].[ZCONSENSUSDEMANDQTY]_x000D_
[LOCID].[].[0001004692]_x000D_
[PRDID].[].[20000468]_x000D_
[KEY_FIGURES].[].[ZINPUTSOFC]_x000D_
[LOCID].[].[0001004692]_x000D_
[PRDID].[].[20000468]_x000D_
[KEY_FIGURES].[].[ZFORECASTOPENOUTPUT]_x000D_
[LOCID].[].[0001004692]_x000D_
[PRDID].[].[20000468]_x000D_
[KEY_FIGURES].[].[ZACTUALSALES]_x000D_
[LOCID].[].[0001004692]_x000D_
[PRDID].[].[20000468]_x000D_
[KEY_FIGURES].[].[ZCONSENSUSDEMAND]_x000D_
[LOCID].[].[0001004692]_x000D_
[PRDID].[].[20000468]_x000D_
[KEY_FIGURES].[].[INDEPENDENTDEMAND]_x000D_
[LOCID].[].[0001004692]_x000D_
[PRDID].[].[20000469]_x000D_
[KEY_FIGURES].[].[ZCONSENSUSDEMANDQTY]_x000D_
[LOCID].[].[0001004692]_x000D_
[PRDID].[].[20000469]_x000D_
[KEY_FIGURES].[].[ZINPUTSOFC]_x000D_
[LOCID].[].[0001004692]_x000D_
[PRDID].[].[20000469]_x000D_
[KEY_FIGURES].[].[ZFORECASTOPENOUTPUT]_x000D_
[LOCID].[].[0001004692]_x000D_
[PRDID].[].[20000469]_x000D_
[KEY_FIGURES].[].[ZACTUALSALES]_x000D_
[LOCID].[].[0001004692]_x000D_
[PRDID].[].[20000469]_x000D_
[KEY_FIGURES].[].[ZCONSENSUSDEMAND]_x000D_
[LOCID].[].[0001004692]_x000D_
[PRDID].[].[20000469]_x000D_
[KEY_FIGURES].[].[INDEPENDENTDEMAND]_x000D_
[LOCID].[].[0001004692]_x000D_
[PRDID].[].[20000470]_x000D_
[KEY_FIGURES].[].[ZCONSENSUSDEMANDQTY]_x000D_
[LOCID].[].[0001004692]_x000D_
[PRDID].[].[20000470]_x000D_
[KEY_FIGURES].[].[ZINPUTSOFC]_x000D_
[LOCID].[].[0001004692]_x000D_
[PRDID].[].[20000470]_x000D_
[KEY_FIGURES].[].[ZFORECASTOPENOUTPUT]_x000D_
[LOCID].[].[0001004692]_x000D_
[PRDID].[].[20000470]_x000D_
[KEY_FIGURES].[].[ZACTUALSALES]_x000D_
[LOCID].[].[0001004692]_x000D_
[PRDID].[].[20000470]_x000D_
[KEY_FIGURES].[].[ZCONSENSUSDEMAND]_x000D_
[LOCID].[].[0001004692]_x000D_
[PRDID].[].[20000470]_x000D_
[KEY_FIGURES].[].[INDEPENDENTDEMAND]_x000D_
[LOCID].[].[0001004692]_x000D_
[PRDID].[].[20000471]_x000D_
[KEY_FIGURES].[].[ZCONSENSUSDEMANDQTY]_x000D_
[LOCID].[].[0001004692]_x000D_
[PRDID].[].[20000471]_x000D_
[KEY_FIGURES].[].[ZINPUTSOFC]_x000D_
[LOCID].[].[0001004692]_x000D_
[PRDID].[].[20000471]_x000D_
[KEY_FIGURES].[].[ZFORECASTOPENOUTPUT]_x000D_
[LOCID].[].[0001004692]_x000D_
[PRDID].[].[20000471]_x000D_
[KEY_FIGURES].[].[ZACTUALSALES]_x000D_
[LOCID].[].[0001004692]_x000D_
[PRDID].[].[20000471]_x000D_
[KEY_FIGURES].[].[ZCONSENSUSDEMAND]_x000D_
[LOCID].[].[0001004692]_x000D_
[PRDID].[].[20000471]_x000D_
[KEY_FIGURES].[].[INDEPENDENTDEMAND]_x000D_
[LOCID].[].[0001004692]_x000D_
[PRDID].[].[20000472]_x000D_
[KEY_FIGURES].[].[ZCONSENSUSDEMANDQTY]_x000D_
[LOCID].[].[0001004692]_x000D_
[PRDID].[].[20000472]_x000D_
[KEY_FIGURES].[].[ZINPUTSOFC]_x000D_
[LOCID].[].[0001004692]_x000D_
[PRDID].[].[20000472]_x000D_
[KEY_FIGURES].[].[ZFORECASTOPENOUTPUT]_x000D_
[LOCID].[].[0001004692]_x000D_
[PRDID].[].[20000472]_x000D_
[KEY_FIGURES].[].[ZACTUALSALES]_x000D_
[LOCID].[].[0001004692]_x000D_
[PRDID].[].[20000472]_x000D_
[KEY_FIGURES].[].[ZCONSENSUSDEMAND]_x000D_
[LOCID].[].[0001004692]_x000D_
[PRDID].[].[20000472]_x000D_
[KEY_FIGURES].[].[INDEPENDENTDEMAND]_x000D_
[LOCID].[].[0001004692]_x000D_
[PRDID].[].[20000473]_x000D_
[KEY_FIGURES].[].[ZCONSENSUSDEMANDQTY]_x000D_
[LOCID].[].[0001004692]_x000D_
[PRDID].[].[20000473]_x000D_
[KEY_FIGURES].[].[ZINPUTSOFC]_x000D_
[LOCID].[].[0001004692]_x000D_
[PRDID].[].[20000473]_x000D_
[KEY_FIGURES].[].[ZFORECASTOPENOUTPUT]_x000D_
[LOCID].[].[0001004692]_x000D_
[PRDID].[].[20000473]_x000D_
[KEY_FIGURES].[].[ZACTUALSALES]_x000D_
[LOCID].[].[0001004692]_x000D_
[PRDID].[].[20000473]_x000D_
[KEY_FIGURES].[].[ZCONSENSUSDEMAND]_x000D_
[LOCID].[].[0001004692]_x000D_
[PRDID].[].[20000473]_x000D_
[KEY_FIGURES].[].[INDEPENDENTDEMAND]_x000D_
[LOCID].[].[0001004692]_x000D_
[PRDID].[].[20000474]_x000D_
[KEY_FIGURES].[].[ZCONSENSUSDEMANDQTY]_x000D_
[LOCID].[].[0001004692]_x000D_
[PRDID].[].[20000474]_x000D_
[KEY_FIGURES].[].[ZINPUTSOFC]_x000D_
[LOCID].[].[0001004692]_x000D_
[PRDID].[].[20000474]_x000D_
[KEY_FIGURES].[].[ZFORECASTOPENOUTPUT]_x000D_
[LOCID].[].[0001004692]_x000D_
[PRDID].[].[20000474]_x000D_
[KEY_FIGURES].[].[ZACTUALSALES]_x000D_
[LOCID].[].[0001004692]_x000D_
[PRDID].[].[20000474]_x000D_
[KEY_FIGURES].[].[ZCONSENSUSDEMAND]_x000D_
[LOCID].[].[0001004692]_x000D_
[PRDID].[].[20000474]_x000D_
[KEY_FIGURES].[].[INDEPENDENTDEMAND]_x000D_
[LOCID].[].[0001004692]_x000D_
[PRDID].[].[20000475]_x000D_
[KEY_FIGURES].[].[ZCONSENSUSDEMANDQTY]_x000D_
[LOCID].[].[0001004692]_x000D_
[PRDID].[].[20000475]_x000D_
[KEY_FIGURES].[].[ZINPUTSOFC]_x000D_
[LOCID].[].[0001004692]_x000D_
[PRDID].[].[20000475]_x000D_
[KEY_FIGURES].[].[ZFORECASTOPENOUTPUT]_x000D_
[LOCID].[].[0001004692]_x000D_
[PRDID].[].[20000475]_x000D_
[KEY_FIGURES].[].[ZACTUALSALES]_x000D_
[LOCID].[].[0001004692]_x000D_
[PRDID].[].[20000475]_x000D_
[KEY_FIGURES].[].[ZCONSENSUSDEMAND]_x000D_
[LOCID].[].[0001004692]_x000D_
[PRDID].[].[20000475]_x000D_
[KEY_FIGURES].[].[INDEPENDENTDEMAND]_x000D_
[LOCID].[].[0001004692]_x000D_
[PRDID].[].[20000476]_x000D_
[KEY_FIGURES].[].[ZCONSENSUSDEMANDQTY]_x000D_
[LOCID].[].[0001004692]_x000D_
[PRDID].[].[20000476]_x000D_
[KEY_FIGURES].[].[ZINPUTSOFC]_x000D_
[LOCID].[].[0001004692]_x000D_
[PRDID].[].[20000476]_x000D_
[KEY_FIGURES].[].[ZFORECASTOPENOUTPUT]_x000D_
[LOCID].[].[0001004692]_x000D_
[PRDID].[].[20000476]_x000D_
[KEY_FIGURES].[].[ZACTUALSALES]_x000D_
[LOCID].[].[0001004692]_x000D_
[PRDID].[].[20000476]_x000D_
[KEY_FIGURES].[].[ZCONSENSUSDEMAND]_x000D_
[LOCID].[].[0001004692]_x000D_
[PRDID].[].[20000476]_x000D_
[KEY_FIGURES].[].[INDEPENDENTDEMAND]_x000D_
[LOCID].[].[0001004692]_x000D_
[PRDID].[].[20000477]_x000D_
[KEY_FIGURES].[].[ZCONSENSUSDEMANDQTY]_x000D_
[LOCID].[].[0001004692]_x000D_
[PRDID].[].[20000477]_x000D_
[KEY_FIGURES].[].[ZINPUTSOFC]_x000D_
[LOCID].[].[0001004692]_x000D_
[PRDID].[].[20000477]_x000D_
[KEY_FIGURES].[].[ZFORECASTOPENOUTPUT]_x000D_
[LOCID].[].[0001004692]_x000D_
[PRDID].[].[20000477]_x000D_
[KEY_FIGURES].[].[ZACTUALSALES]_x000D_
[LOCID].[].[0001004692]_x000D_
[PRDID].[].[20000477]_x000D_
[KEY_FIGURES].[].[ZCONSENSUSDEMAND]_x000D_
[LOCID].[].[0001004692]_x000D_
[PRDID].[].[20000477]_x000D_
[KEY_FIGURES].[].[INDEPENDENTDEMAND]</t>
  </si>
  <si>
    <t>[LOCID].[].[0001004692]_x000D_
[PRDID].[].[20000478]_x000D_
[KEY_FIGURES].[].[ZCONSENSUSDEMANDQTY]_x000D_
[LOCID].[].[0001004692]_x000D_
[PRDID].[].[20000478]_x000D_
[KEY_FIGURES].[].[ZINPUTSOFC]_x000D_
[LOCID].[].[0001004692]_x000D_
[PRDID].[].[20000478]_x000D_
[KEY_FIGURES].[].[ZFORECASTOPENOUTPUT]_x000D_
[LOCID].[].[0001004692]_x000D_
[PRDID].[].[20000478]_x000D_
[KEY_FIGURES].[].[ZACTUALSALES]_x000D_
[LOCID].[].[0001004692]_x000D_
[PRDID].[].[20000478]_x000D_
[KEY_FIGURES].[].[ZCONSENSUSDEMAND]_x000D_
[LOCID].[].[0001004692]_x000D_
[PRDID].[].[20000478]_x000D_
[KEY_FIGURES].[].[INDEPENDENTDEMAND]_x000D_
[LOCID].[].[0001004692]_x000D_
[PRDID].[].[20000479]_x000D_
[KEY_FIGURES].[].[ZCONSENSUSDEMANDQTY]_x000D_
[LOCID].[].[0001004692]_x000D_
[PRDID].[].[20000479]_x000D_
[KEY_FIGURES].[].[ZINPUTSOFC]_x000D_
[LOCID].[].[0001004692]_x000D_
[PRDID].[].[20000479]_x000D_
[KEY_FIGURES].[].[ZFORECASTOPENOUTPUT]_x000D_
[LOCID].[].[0001004692]_x000D_
[PRDID].[].[20000479]_x000D_
[KEY_FIGURES].[].[ZACTUALSALES]_x000D_
[LOCID].[].[0001004692]_x000D_
[PRDID].[].[20000479]_x000D_
[KEY_FIGURES].[].[ZCONSENSUSDEMAND]_x000D_
[LOCID].[].[0001004692]_x000D_
[PRDID].[].[20000479]_x000D_
[KEY_FIGURES].[].[INDEPENDENTDEMAND]_x000D_
[LOCID].[].[0001004692]_x000D_
[PRDID].[].[20000480]_x000D_
[KEY_FIGURES].[].[ZCONSENSUSDEMANDQTY]_x000D_
[LOCID].[].[0001004692]_x000D_
[PRDID].[].[20000480]_x000D_
[KEY_FIGURES].[].[ZINPUTSOFC]_x000D_
[LOCID].[].[0001004692]_x000D_
[PRDID].[].[20000480]_x000D_
[KEY_FIGURES].[].[ZFORECASTOPENOUTPUT]_x000D_
[LOCID].[].[0001004692]_x000D_
[PRDID].[].[20000480]_x000D_
[KEY_FIGURES].[].[ZACTUALSALES]_x000D_
[LOCID].[].[0001004692]_x000D_
[PRDID].[].[20000480]_x000D_
[KEY_FIGURES].[].[ZCONSENSUSDEMAND]_x000D_
[LOCID].[].[0001004692]_x000D_
[PRDID].[].[20000480]_x000D_
[KEY_FIGURES].[].[INDEPENDENTDEMAND]_x000D_
[LOCID].[].[0001004692]_x000D_
[PRDID].[].[20000481]_x000D_
[KEY_FIGURES].[].[ZCONSENSUSDEMANDQTY]_x000D_
[LOCID].[].[0001004692]_x000D_
[PRDID].[].[20000481]_x000D_
[KEY_FIGURES].[].[ZINPUTSOFC]_x000D_
[LOCID].[].[0001004692]_x000D_
[PRDID].[].[20000481]_x000D_
[KEY_FIGURES].[].[ZFORECASTOPENOUTPUT]_x000D_
[LOCID].[].[0001004692]_x000D_
[PRDID].[].[20000481]_x000D_
[KEY_FIGURES].[].[ZACTUALSALES]_x000D_
[LOCID].[].[0001004692]_x000D_
[PRDID].[].[20000481]_x000D_
[KEY_FIGURES].[].[ZCONSENSUSDEMAND]_x000D_
[LOCID].[].[0001004692]_x000D_
[PRDID].[].[20000481]_x000D_
[KEY_FIGURES].[].[INDEPENDENTDEMAND]_x000D_
[LOCID].[].[0001004692]_x000D_
[PRDID].[].[20000482]_x000D_
[KEY_FIGURES].[].[ZCONSENSUSDEMANDQTY]_x000D_
[LOCID].[].[0001004692]_x000D_
[PRDID].[].[20000482]_x000D_
[KEY_FIGURES].[].[ZINPUTSOFC]_x000D_
[LOCID].[].[0001004692]_x000D_
[PRDID].[].[20000482]_x000D_
[KEY_FIGURES].[].[ZFORECASTOPENOUTPUT]_x000D_
[LOCID].[].[0001004692]_x000D_
[PRDID].[].[20000482]_x000D_
[KEY_FIGURES].[].[ZACTUALSALES]_x000D_
[LOCID].[].[0001004692]_x000D_
[PRDID].[].[20000482]_x000D_
[KEY_FIGURES].[].[ZCONSENSUSDEMAND]_x000D_
[LOCID].[].[0001004692]_x000D_
[PRDID].[].[20000482]_x000D_
[KEY_FIGURES].[].[INDEPENDENTDEMAND]_x000D_
[LOCID].[].[0001004692]_x000D_
[PRDID].[].[20000483]_x000D_
[KEY_FIGURES].[].[ZCONSENSUSDEMANDQTY]_x000D_
[LOCID].[].[0001004692]_x000D_
[PRDID].[].[20000483]_x000D_
[KEY_FIGURES].[].[ZINPUTSOFC]_x000D_
[LOCID].[].[0001004692]_x000D_
[PRDID].[].[20000483]_x000D_
[KEY_FIGURES].[].[ZFORECASTOPENOUTPUT]_x000D_
[LOCID].[].[0001004692]_x000D_
[PRDID].[].[20000483]_x000D_
[KEY_FIGURES].[].[ZACTUALSALES]_x000D_
[LOCID].[].[0001004692]_x000D_
[PRDID].[].[20000483]_x000D_
[KEY_FIGURES].[].[ZCONSENSUSDEMAND]_x000D_
[LOCID].[].[0001004692]_x000D_
[PRDID].[].[20000483]_x000D_
[KEY_FIGURES].[].[INDEPENDENTDEMAND]_x000D_
[LOCID].[].[0001004692]_x000D_
[PRDID].[].[20000484]_x000D_
[KEY_FIGURES].[].[ZCONSENSUSDEMANDQTY]_x000D_
[LOCID].[].[0001004692]_x000D_
[PRDID].[].[20000484]_x000D_
[KEY_FIGURES].[].[ZINPUTSOFC]_x000D_
[LOCID].[].[0001004692]_x000D_
[PRDID].[].[20000484]_x000D_
[KEY_FIGURES].[].[ZFORECASTOPENOUTPUT]_x000D_
[LOCID].[].[0001004692]_x000D_
[PRDID].[].[20000484]_x000D_
[KEY_FIGURES].[].[ZACTUALSALES]_x000D_
[LOCID].[].[0001004692]_x000D_
[PRDID].[].[20000484]_x000D_
[KEY_FIGURES].[].[ZCONSENSUSDEMAND]_x000D_
[LOCID].[].[0001004692]_x000D_
[PRDID].[].[20000484]_x000D_
[KEY_FIGURES].[].[INDEPENDENTDEMAND]_x000D_
[LOCID].[].[0001004692]_x000D_
[PRDID].[].[20000485]_x000D_
[KEY_FIGURES].[].[ZCONSENSUSDEMANDQTY]_x000D_
[LOCID].[].[0001004692]_x000D_
[PRDID].[].[20000485]_x000D_
[KEY_FIGURES].[].[ZINPUTSOFC]_x000D_
[LOCID].[].[0001004692]_x000D_
[PRDID].[].[20000485]_x000D_
[KEY_FIGURES].[].[ZFORECASTOPENOUTPUT]_x000D_
[LOCID].[].[0001004692]_x000D_
[PRDID].[].[20000485]_x000D_
[KEY_FIGURES].[].[ZACTUALSALES]_x000D_
[LOCID].[].[0001004692]_x000D_
[PRDID].[].[20000485]_x000D_
[KEY_FIGURES].[].[ZCONSENSUSDEMAND]_x000D_
[LOCID].[].[0001004692]_x000D_
[PRDID].[].[20000485]_x000D_
[KEY_FIGURES].[].[INDEPENDENTDEMAND]_x000D_
[LOCID].[].[0001004692]_x000D_
[PRDID].[].[20000486]_x000D_
[KEY_FIGURES].[].[ZCONSENSUSDEMANDQTY]_x000D_
[LOCID].[].[0001004692]_x000D_
[PRDID].[].[20000486]_x000D_
[KEY_FIGURES].[].[ZINPUTSOFC]_x000D_
[LOCID].[].[0001004692]_x000D_
[PRDID].[].[20000486]_x000D_
[KEY_FIGURES].[].[ZFORECASTOPENOUTPUT]_x000D_
[LOCID].[].[0001004692]_x000D_
[PRDID].[].[20000486]_x000D_
[KEY_FIGURES].[].[ZACTUALSALES]_x000D_
[LOCID].[].[0001004692]_x000D_
[PRDID].[].[20000486]_x000D_
[KEY_FIGURES].[].[ZCONSENSUSDEMAND]_x000D_
[LOCID].[].[0001004692]_x000D_
[PRDID].[].[20000486]_x000D_
[KEY_FIGURES].[].[INDEPENDENTDEMAND]_x000D_
[LOCID].[].[0001004692]_x000D_
[PRDID].[].[20000487]_x000D_
[KEY_FIGURES].[].[ZCONSENSUSDEMANDQTY]_x000D_
[LOCID].[].[0001004692]_x000D_
[PRDID].[].[20000487]_x000D_
[KEY_FIGURES].[].[ZINPUTSOFC]_x000D_
[LOCID].[].[0001004692]_x000D_
[PRDID].[].[20000487]_x000D_
[KEY_FIGURES].[].[ZFORECASTOPENOUTPUT]_x000D_
[LOCID].[].[0001004692]_x000D_
[PRDID].[].[20000487]_x000D_
[KEY_FIGURES].[].[ZACTUALSALES]_x000D_
[LOCID].[].[0001004692]_x000D_
[PRDID].[].[20000487]_x000D_
[KEY_FIGURES].[].[ZCONSENSUSDEMAND]_x000D_
[LOCID].[].[0001004692]_x000D_
[PRDID].[].[20000487]_x000D_
[KEY_FIGURES].[].[INDEPENDENTDEMAND]_x000D_
[LOCID].[].[0001004692]_x000D_
[PRDID].[].[20000488]_x000D_
[KEY_FIGURES].[].[ZCONSENSUSDEMANDQTY]_x000D_
[LOCID].[].[0001004692]_x000D_
[PRDID].[].[20000488]_x000D_
[KEY_FIGURES].[].[ZINPUTSOFC]_x000D_
[LOCID].[].[0001004692]_x000D_
[PRDID].[].[20000488]_x000D_
[KEY_FIGURES].[].[ZFORECASTOPENOUTPUT]_x000D_
[LOCID].[].[0001004692]_x000D_
[PRDID].[].[20000488]_x000D_
[KEY_FIGURES].[].[ZACTUALSALES]_x000D_
[LOCID].[].[0001004692]_x000D_
[PRDID].[].[20000488]_x000D_
[KEY_FIGURES].[].[ZCONSENSUSDEMAND]_x000D_
[LOCID].[].[0001004692]_x000D_
[PRDID].[].[20000488]_x000D_
[KEY_FIGURES].[].[INDEPENDENTDEMAND]_x000D_
[LOCID].[].[0001004692]_x000D_
[PRDID].[].[20000489]</t>
  </si>
  <si>
    <t>[KEY_FIGURES].[].[ZCONSENSUSDEMANDQTY]_x000D_
[LOCID].[].[0001004692]_x000D_
[PRDID].[].[20000489]_x000D_
[KEY_FIGURES].[].[ZINPUTSOFC]_x000D_
[LOCID].[].[0001004692]_x000D_
[PRDID].[].[20000489]_x000D_
[KEY_FIGURES].[].[ZFORECASTOPENOUTPUT]_x000D_
[LOCID].[].[0001004692]_x000D_
[PRDID].[].[20000489]_x000D_
[KEY_FIGURES].[].[ZACTUALSALES]_x000D_
[LOCID].[].[0001004692]_x000D_
[PRDID].[].[20000489]_x000D_
[KEY_FIGURES].[].[ZCONSENSUSDEMAND]_x000D_
[LOCID].[].[0001004692]_x000D_
[PRDID].[].[20000489]_x000D_
[KEY_FIGURES].[].[INDEPENDENTDEMAND]_x000D_
[LOCID].[].[0001004692]_x000D_
[PRDID].[].[20000490]_x000D_
[KEY_FIGURES].[].[ZCONSENSUSDEMANDQTY]_x000D_
[LOCID].[].[0001004692]_x000D_
[PRDID].[].[20000490]_x000D_
[KEY_FIGURES].[].[ZINPUTSOFC]_x000D_
[LOCID].[].[0001004692]_x000D_
[PRDID].[].[20000490]_x000D_
[KEY_FIGURES].[].[ZFORECASTOPENOUTPUT]_x000D_
[LOCID].[].[0001004692]_x000D_
[PRDID].[].[20000490]_x000D_
[KEY_FIGURES].[].[ZACTUALSALES]_x000D_
[LOCID].[].[0001004692]_x000D_
[PRDID].[].[20000490]_x000D_
[KEY_FIGURES].[].[ZCONSENSUSDEMAND]_x000D_
[LOCID].[].[0001004692]_x000D_
[PRDID].[].[20000490]_x000D_
[KEY_FIGURES].[].[INDEPENDENTDEMAND]_x000D_
[LOCID].[].[0001004692]_x000D_
[PRDID].[].[20000491]_x000D_
[KEY_FIGURES].[].[ZCONSENSUSDEMANDQTY]_x000D_
[LOCID].[].[0001004692]_x000D_
[PRDID].[].[20000491]_x000D_
[KEY_FIGURES].[].[ZINPUTSOFC]_x000D_
[LOCID].[].[0001004692]_x000D_
[PRDID].[].[20000491]_x000D_
[KEY_FIGURES].[].[ZFORECASTOPENOUTPUT]_x000D_
[LOCID].[].[0001004692]_x000D_
[PRDID].[].[20000491]_x000D_
[KEY_FIGURES].[].[ZACTUALSALES]_x000D_
[LOCID].[].[0001004692]_x000D_
[PRDID].[].[20000491]_x000D_
[KEY_FIGURES].[].[ZCONSENSUSDEMAND]_x000D_
[LOCID].[].[0001004692]_x000D_
[PRDID].[].[20000491]_x000D_
[KEY_FIGURES].[].[INDEPENDENTDEMAND]_x000D_
[LOCID].[].[0001004692]_x000D_
[PRDID].[].[20000492]_x000D_
[KEY_FIGURES].[].[ZCONSENSUSDEMANDQTY]_x000D_
[LOCID].[].[0001004692]_x000D_
[PRDID].[].[20000492]_x000D_
[KEY_FIGURES].[].[ZINPUTSOFC]_x000D_
[LOCID].[].[0001004692]_x000D_
[PRDID].[].[20000492]_x000D_
[KEY_FIGURES].[].[ZFORECASTOPENOUTPUT]_x000D_
[LOCID].[].[0001004692]_x000D_
[PRDID].[].[20000492]_x000D_
[KEY_FIGURES].[].[ZACTUALSALES]_x000D_
[LOCID].[].[0001004692]_x000D_
[PRDID].[].[20000492]_x000D_
[KEY_FIGURES].[].[ZCONSENSUSDEMAND]_x000D_
[LOCID].[].[0001004692]_x000D_
[PRDID].[].[20000492]_x000D_
[KEY_FIGURES].[].[INDEPENDENTDEMAND]_x000D_
[LOCID].[].[0001004692]_x000D_
[PRDID].[].[20000493]_x000D_
[KEY_FIGURES].[].[ZCONSENSUSDEMANDQTY]_x000D_
[LOCID].[].[0001004692]_x000D_
[PRDID].[].[20000493]_x000D_
[KEY_FIGURES].[].[ZINPUTSOFC]_x000D_
[LOCID].[].[0001004692]_x000D_
[PRDID].[].[20000493]_x000D_
[KEY_FIGURES].[].[ZFORECASTOPENOUTPUT]_x000D_
[LOCID].[].[0001004692]_x000D_
[PRDID].[].[20000493]_x000D_
[KEY_FIGURES].[].[ZACTUALSALES]_x000D_
[LOCID].[].[0001004692]_x000D_
[PRDID].[].[20000493]_x000D_
[KEY_FIGURES].[].[ZCONSENSUSDEMAND]_x000D_
[LOCID].[].[0001004692]_x000D_
[PRDID].[].[20000493]_x000D_
[KEY_FIGURES].[].[INDEPENDENTDEMAND]_x000D_
[LOCID].[].[0001004692]_x000D_
[PRDID].[].[20000494]_x000D_
[KEY_FIGURES].[].[ZCONSENSUSDEMANDQTY]_x000D_
[LOCID].[].[0001004692]_x000D_
[PRDID].[].[20000494]_x000D_
[KEY_FIGURES].[].[ZINPUTSOFC]_x000D_
[LOCID].[].[0001004692]_x000D_
[PRDID].[].[20000494]_x000D_
[KEY_FIGURES].[].[ZFORECASTOPENOUTPUT]_x000D_
[LOCID].[].[0001004692]_x000D_
[PRDID].[].[20000494]_x000D_
[KEY_FIGURES].[].[ZACTUALSALES]_x000D_
[LOCID].[].[0001004692]_x000D_
[PRDID].[].[20000494]_x000D_
[KEY_FIGURES].[].[ZCONSENSUSDEMAND]_x000D_
[LOCID].[].[0001004692]_x000D_
[PRDID].[].[20000494]_x000D_
[KEY_FIGURES].[].[INDEPENDENTDEMAND]_x000D_
[LOCID].[].[0001004692]_x000D_
[PRDID].[].[20000495]_x000D_
[KEY_FIGURES].[].[ZCONSENSUSDEMANDQTY]_x000D_
[LOCID].[].[0001004692]_x000D_
[PRDID].[].[20000495]_x000D_
[KEY_FIGURES].[].[ZINPUTSOFC]_x000D_
[LOCID].[].[0001004692]_x000D_
[PRDID].[].[20000495]_x000D_
[KEY_FIGURES].[].[ZFORECASTOPENOUTPUT]_x000D_
[LOCID].[].[0001004692]_x000D_
[PRDID].[].[20000495]_x000D_
[KEY_FIGURES].[].[ZACTUALSALES]_x000D_
[LOCID].[].[0001004692]_x000D_
[PRDID].[].[20000495]_x000D_
[KEY_FIGURES].[].[ZCONSENSUSDEMAND]_x000D_
[LOCID].[].[0001004692]_x000D_
[PRDID].[].[20000495]_x000D_
[KEY_FIGURES].[].[INDEPENDENTDEMAND]_x000D_
[LOCID].[].[0001004692]_x000D_
[PRDID].[].[20000496]_x000D_
[KEY_FIGURES].[].[ZCONSENSUSDEMANDQTY]_x000D_
[LOCID].[].[0001004692]_x000D_
[PRDID].[].[20000496]_x000D_
[KEY_FIGURES].[].[ZINPUTSOFC]_x000D_
[LOCID].[].[0001004692]_x000D_
[PRDID].[].[20000496]_x000D_
[KEY_FIGURES].[].[ZFORECASTOPENOUTPUT]_x000D_
[LOCID].[].[0001004692]_x000D_
[PRDID].[].[20000496]_x000D_
[KEY_FIGURES].[].[ZACTUALSALES]_x000D_
[LOCID].[].[0001004692]_x000D_
[PRDID].[].[20000496]_x000D_
[KEY_FIGURES].[].[ZCONSENSUSDEMAND]_x000D_
[LOCID].[].[0001004692]_x000D_
[PRDID].[].[20000496]_x000D_
[KEY_FIGURES].[].[INDEPENDENTDEMAND]_x000D_
[LOCID].[].[0001004692]_x000D_
[PRDID].[].[20000497]_x000D_
[KEY_FIGURES].[].[ZCONSENSUSDEMANDQTY]_x000D_
[LOCID].[].[0001004692]_x000D_
[PRDID].[].[20000497]_x000D_
[KEY_FIGURES].[].[ZINPUTSOFC]_x000D_
[LOCID].[].[0001004692]_x000D_
[PRDID].[].[20000497]_x000D_
[KEY_FIGURES].[].[ZFORECASTOPENOUTPUT]_x000D_
[LOCID].[].[0001004692]_x000D_
[PRDID].[].[20000497]_x000D_
[KEY_FIGURES].[].[ZACTUALSALES]_x000D_
[LOCID].[].[0001004692]_x000D_
[PRDID].[].[20000497]_x000D_
[KEY_FIGURES].[].[ZCONSENSUSDEMAND]_x000D_
[LOCID].[].[0001004692]_x000D_
[PRDID].[].[20000497]_x000D_
[KEY_FIGURES].[].[INDEPENDENTDEMAND]_x000D_
[LOCID].[].[0001004692]_x000D_
[PRDID].[].[20000498]_x000D_
[KEY_FIGURES].[].[ZCONSENSUSDEMANDQTY]_x000D_
[LOCID].[].[0001004692]_x000D_
[PRDID].[].[20000498]_x000D_
[KEY_FIGURES].[].[ZINPUTSOFC]_x000D_
[LOCID].[].[0001004692]_x000D_
[PRDID].[].[20000498]_x000D_
[KEY_FIGURES].[].[ZFORECASTOPENOUTPUT]_x000D_
[LOCID].[].[0001004692]_x000D_
[PRDID].[].[20000498]_x000D_
[KEY_FIGURES].[].[ZACTUALSALES]_x000D_
[LOCID].[].[0001004692]_x000D_
[PRDID].[].[20000498]_x000D_
[KEY_FIGURES].[].[ZCONSENSUSDEMAND]_x000D_
[LOCID].[].[0001004692]_x000D_
[PRDID].[].[20000498]_x000D_
[KEY_FIGURES].[].[INDEPENDENTDEMAND]_x000D_
[LOCID].[].[0001004692]_x000D_
[PRDID].[].[20000499]_x000D_
[KEY_FIGURES].[].[ZCONSENSUSDEMANDQTY]_x000D_
[LOCID].[].[0001004692]_x000D_
[PRDID].[].[20000499]_x000D_
[KEY_FIGURES].[].[ZINPUTSOFC]_x000D_
[LOCID].[].[0001004692]_x000D_
[PRDID].[].[20000499]_x000D_
[KEY_FIGURES].[].[ZFORECASTOPENOUTPUT]_x000D_
[LOCID].[].[0001004692]_x000D_
[PRDID].[].[20000499]_x000D_
[KEY_FIGURES].[].[ZACTUALSALES]_x000D_
[LOCID].[].[0001004692]_x000D_
[PRDID].[].[20000499]_x000D_
[KEY_FIGURES].[].[ZCONSENSUSDEMAND]_x000D_
[LOCID].[].[0001004692]_x000D_
[PRDID].[].[20000499]_x000D_
[KEY_FIGURES].[].[INDEPENDENTDEMAND]_x000D_
[LOCID].[].[0001004692]_x000D_
[PRDID].[].[20000500]_x000D_
[KEY_FIGURES].[].[ZCONSENSUSDEMANDQTY]_x000D_
[LOCID].[].[0001004692]</t>
  </si>
  <si>
    <t>[PRDID].[].[20000500]_x000D_
[KEY_FIGURES].[].[ZINPUTSOFC]_x000D_
[LOCID].[].[0001004692]_x000D_
[PRDID].[].[20000500]_x000D_
[KEY_FIGURES].[].[ZFORECASTOPENOUTPUT]_x000D_
[LOCID].[].[0001004692]_x000D_
[PRDID].[].[20000500]_x000D_
[KEY_FIGURES].[].[ZACTUALSALES]_x000D_
[LOCID].[].[0001004692]_x000D_
[PRDID].[].[20000500]_x000D_
[KEY_FIGURES].[].[ZCONSENSUSDEMAND]_x000D_
[LOCID].[].[0001004692]_x000D_
[PRDID].[].[20000500]_x000D_
[KEY_FIGURES].[].[INDEPENDENTDEMAND]_x000D_
[LOCID].[].[0001004692]_x000D_
[PRDID].[].[20000501]_x000D_
[KEY_FIGURES].[].[ZCONSENSUSDEMANDQTY]_x000D_
[LOCID].[].[0001004692]_x000D_
[PRDID].[].[20000501]_x000D_
[KEY_FIGURES].[].[ZINPUTSOFC]_x000D_
[LOCID].[].[0001004692]_x000D_
[PRDID].[].[20000501]_x000D_
[KEY_FIGURES].[].[ZFORECASTOPENOUTPUT]_x000D_
[LOCID].[].[0001004692]_x000D_
[PRDID].[].[20000501]_x000D_
[KEY_FIGURES].[].[ZACTUALSALES]_x000D_
[LOCID].[].[0001004692]_x000D_
[PRDID].[].[20000501]_x000D_
[KEY_FIGURES].[].[ZCONSENSUSDEMAND]_x000D_
[LOCID].[].[0001004692]_x000D_
[PRDID].[].[20000501]_x000D_
[KEY_FIGURES].[].[INDEPENDENTDEMAND]_x000D_
[LOCID].[].[0001004692]_x000D_
[PRDID].[].[20000502]_x000D_
[KEY_FIGURES].[].[ZCONSENSUSDEMANDQTY]_x000D_
[LOCID].[].[0001004692]_x000D_
[PRDID].[].[20000502]_x000D_
[KEY_FIGURES].[].[ZINPUTSOFC]_x000D_
[LOCID].[].[0001004692]_x000D_
[PRDID].[].[20000502]_x000D_
[KEY_FIGURES].[].[ZFORECASTOPENOUTPUT]_x000D_
[LOCID].[].[0001004692]_x000D_
[PRDID].[].[20000502]_x000D_
[KEY_FIGURES].[].[ZACTUALSALES]_x000D_
[LOCID].[].[0001004692]_x000D_
[PRDID].[].[20000502]_x000D_
[KEY_FIGURES].[].[ZCONSENSUSDEMAND]_x000D_
[LOCID].[].[0001004692]_x000D_
[PRDID].[].[20000502]_x000D_
[KEY_FIGURES].[].[INDEPENDENTDEMAND]_x000D_
[LOCID].[].[0001004692]_x000D_
[PRDID].[].[20000503]_x000D_
[KEY_FIGURES].[].[ZCONSENSUSDEMANDQTY]_x000D_
[LOCID].[].[0001004692]_x000D_
[PRDID].[].[20000503]_x000D_
[KEY_FIGURES].[].[ZINPUTSOFC]_x000D_
[LOCID].[].[0001004692]_x000D_
[PRDID].[].[20000503]_x000D_
[KEY_FIGURES].[].[ZFORECASTOPENOUTPUT]_x000D_
[LOCID].[].[0001004692]_x000D_
[PRDID].[].[20000503]_x000D_
[KEY_FIGURES].[].[ZACTUALSALES]_x000D_
[LOCID].[].[0001004692]_x000D_
[PRDID].[].[20000503]_x000D_
[KEY_FIGURES].[].[ZCONSENSUSDEMAND]_x000D_
[LOCID].[].[0001004692]_x000D_
[PRDID].[].[20000503]_x000D_
[KEY_FIGURES].[].[INDEPENDENTDEMAND]_x000D_
[LOCID].[].[0001004692]_x000D_
[PRDID].[].[20000504]_x000D_
[KEY_FIGURES].[].[ZCONSENSUSDEMANDQTY]_x000D_
[LOCID].[].[0001004692]_x000D_
[PRDID].[].[20000504]_x000D_
[KEY_FIGURES].[].[ZINPUTSOFC]_x000D_
[LOCID].[].[0001004692]_x000D_
[PRDID].[].[20000504]_x000D_
[KEY_FIGURES].[].[ZFORECASTOPENOUTPUT]_x000D_
[LOCID].[].[0001004692]_x000D_
[PRDID].[].[20000504]_x000D_
[KEY_FIGURES].[].[ZACTUALSALES]_x000D_
[LOCID].[].[0001004692]_x000D_
[PRDID].[].[20000504]_x000D_
[KEY_FIGURES].[].[ZCONSENSUSDEMAND]_x000D_
[LOCID].[].[0001004692]_x000D_
[PRDID].[].[20000504]_x000D_
[KEY_FIGURES].[].[INDEPENDENTDEMAND]_x000D_
[LOCID].[].[0001004692]_x000D_
[PRDID].[].[20000505]_x000D_
[KEY_FIGURES].[].[ZCONSENSUSDEMANDQTY]_x000D_
[LOCID].[].[0001004692]_x000D_
[PRDID].[].[20000505]_x000D_
[KEY_FIGURES].[].[ZINPUTSOFC]_x000D_
[LOCID].[].[0001004692]_x000D_
[PRDID].[].[20000505]_x000D_
[KEY_FIGURES].[].[ZFORECASTOPENOUTPUT]_x000D_
[LOCID].[].[0001004692]_x000D_
[PRDID].[].[20000505]_x000D_
[KEY_FIGURES].[].[ZACTUALSALES]_x000D_
[LOCID].[].[0001004692]_x000D_
[PRDID].[].[20000505]_x000D_
[KEY_FIGURES].[].[ZCONSENSUSDEMAND]_x000D_
[LOCID].[].[0001004692]_x000D_
[PRDID].[].[20000505]_x000D_
[KEY_FIGURES].[].[INDEPENDENTDEMAND]_x000D_
[LOCID].[].[0001004692]_x000D_
[PRDID].[].[20000506]_x000D_
[KEY_FIGURES].[].[ZCONSENSUSDEMANDQTY]_x000D_
[LOCID].[].[0001004692]_x000D_
[PRDID].[].[20000506]_x000D_
[KEY_FIGURES].[].[ZINPUTSOFC]_x000D_
[LOCID].[].[0001004692]_x000D_
[PRDID].[].[20000506]_x000D_
[KEY_FIGURES].[].[ZFORECASTOPENOUTPUT]_x000D_
[LOCID].[].[0001004692]_x000D_
[PRDID].[].[20000506]_x000D_
[KEY_FIGURES].[].[ZACTUALSALES]_x000D_
[LOCID].[].[0001004692]_x000D_
[PRDID].[].[20000506]_x000D_
[KEY_FIGURES].[].[ZCONSENSUSDEMAND]_x000D_
[LOCID].[].[0001004692]_x000D_
[PRDID].[].[20000506]_x000D_
[KEY_FIGURES].[].[INDEPENDENTDEMAND]_x000D_
[LOCID].[].[0001004692]_x000D_
[PRDID].[].[20000507]_x000D_
[KEY_FIGURES].[].[ZCONSENSUSDEMANDQTY]_x000D_
[LOCID].[].[0001004692]_x000D_
[PRDID].[].[20000507]_x000D_
[KEY_FIGURES].[].[ZINPUTSOFC]_x000D_
[LOCID].[].[0001004692]_x000D_
[PRDID].[].[20000507]_x000D_
[KEY_FIGURES].[].[ZFORECASTOPENOUTPUT]_x000D_
[LOCID].[].[0001004692]_x000D_
[PRDID].[].[20000507]_x000D_
[KEY_FIGURES].[].[ZACTUALSALES]_x000D_
[LOCID].[].[0001004692]_x000D_
[PRDID].[].[20000507]_x000D_
[KEY_FIGURES].[].[ZCONSENSUSDEMAND]_x000D_
[LOCID].[].[0001004692]_x000D_
[PRDID].[].[20000507]_x000D_
[KEY_FIGURES].[].[INDEPENDENTDEMAND]_x000D_
[LOCID].[].[0001004692]_x000D_
[PRDID].[].[20000508]_x000D_
[KEY_FIGURES].[].[ZCONSENSUSDEMANDQTY]_x000D_
[LOCID].[].[0001004692]_x000D_
[PRDID].[].[20000508]_x000D_
[KEY_FIGURES].[].[ZINPUTSOFC]_x000D_
[LOCID].[].[0001004692]_x000D_
[PRDID].[].[20000508]_x000D_
[KEY_FIGURES].[].[ZFORECASTOPENOUTPUT]_x000D_
[LOCID].[].[0001004692]_x000D_
[PRDID].[].[20000508]_x000D_
[KEY_FIGURES].[].[ZACTUALSALES]_x000D_
[LOCID].[].[0001004692]_x000D_
[PRDID].[].[20000508]_x000D_
[KEY_FIGURES].[].[ZCONSENSUSDEMAND]_x000D_
[LOCID].[].[0001004692]_x000D_
[PRDID].[].[20000508]_x000D_
[KEY_FIGURES].[].[INDEPENDENTDEMAND]_x000D_
[LOCID].[].[0001004692]_x000D_
[PRDID].[].[20000509]_x000D_
[KEY_FIGURES].[].[ZCONSENSUSDEMANDQTY]_x000D_
[LOCID].[].[0001004692]_x000D_
[PRDID].[].[20000509]_x000D_
[KEY_FIGURES].[].[ZINPUTSOFC]_x000D_
[LOCID].[].[0001004692]_x000D_
[PRDID].[].[20000509]_x000D_
[KEY_FIGURES].[].[ZFORECASTOPENOUTPUT]_x000D_
[LOCID].[].[0001004692]_x000D_
[PRDID].[].[20000509]_x000D_
[KEY_FIGURES].[].[ZACTUALSALES]_x000D_
[LOCID].[].[0001004692]_x000D_
[PRDID].[].[20000509]_x000D_
[KEY_FIGURES].[].[ZCONSENSUSDEMAND]_x000D_
[LOCID].[].[0001004692]_x000D_
[PRDID].[].[20000509]_x000D_
[KEY_FIGURES].[].[INDEPENDENTDEMAND]_x000D_
[LOCID].[].[0001004692]_x000D_
[PRDID].[].[20000510]_x000D_
[KEY_FIGURES].[].[ZCONSENSUSDEMANDQTY]_x000D_
[LOCID].[].[0001004692]_x000D_
[PRDID].[].[20000510]_x000D_
[KEY_FIGURES].[].[ZINPUTSOFC]_x000D_
[LOCID].[].[0001004692]_x000D_
[PRDID].[].[20000510]_x000D_
[KEY_FIGURES].[].[ZFORECASTOPENOUTPUT]_x000D_
[LOCID].[].[0001004692]_x000D_
[PRDID].[].[20000510]_x000D_
[KEY_FIGURES].[].[ZACTUALSALES]_x000D_
[LOCID].[].[0001004692]_x000D_
[PRDID].[].[20000510]_x000D_
[KEY_FIGURES].[].[ZCONSENSUSDEMAND]_x000D_
[LOCID].[].[0001004692]_x000D_
[PRDID].[].[20000510]_x000D_
[KEY_FIGURES].[].[INDEPENDENTDEMAND]_x000D_
[LOCID].[].[0001004692]_x000D_
[PRDID].[].[20000511]_x000D_
[KEY_FIGURES].[].[ZCONSENSUSDEMANDQTY]_x000D_
[LOCID].[].[0001004692]_x000D_
[PRDID].[].[20000511]_x000D_
[KEY_FIGURES].[].[ZINPUTSOFC]</t>
  </si>
  <si>
    <t>[LOCID].[].[0001004692]_x000D_
[PRDID].[].[20000511]_x000D_
[KEY_FIGURES].[].[ZFORECASTOPENOUTPUT]_x000D_
[LOCID].[].[0001004692]_x000D_
[PRDID].[].[20000511]_x000D_
[KEY_FIGURES].[].[ZACTUALSALES]_x000D_
[LOCID].[].[0001004692]_x000D_
[PRDID].[].[20000511]_x000D_
[KEY_FIGURES].[].[ZCONSENSUSDEMAND]_x000D_
[LOCID].[].[0001004692]_x000D_
[PRDID].[].[20000511]_x000D_
[KEY_FIGURES].[].[INDEPENDENTDEMAND]_x000D_
[LOCID].[].[0001004692]_x000D_
[PRDID].[].[20000512]_x000D_
[KEY_FIGURES].[].[ZCONSENSUSDEMANDQTY]_x000D_
[LOCID].[].[0001004692]_x000D_
[PRDID].[].[20000512]_x000D_
[KEY_FIGURES].[].[ZINPUTSOFC]_x000D_
[LOCID].[].[0001004692]_x000D_
[PRDID].[].[20000512]_x000D_
[KEY_FIGURES].[].[ZFORECASTOPENOUTPUT]_x000D_
[LOCID].[].[0001004692]_x000D_
[PRDID].[].[20000512]_x000D_
[KEY_FIGURES].[].[ZACTUALSALES]_x000D_
[LOCID].[].[0001004692]_x000D_
[PRDID].[].[20000512]_x000D_
[KEY_FIGURES].[].[ZCONSENSUSDEMAND]_x000D_
[LOCID].[].[0001004692]_x000D_
[PRDID].[].[20000512]_x000D_
[KEY_FIGURES].[].[INDEPENDENTDEMAND]_x000D_
[LOCID].[].[0001004692]_x000D_
[PRDID].[].[20000513]_x000D_
[KEY_FIGURES].[].[ZCONSENSUSDEMANDQTY]_x000D_
[LOCID].[].[0001004692]_x000D_
[PRDID].[].[20000513]_x000D_
[KEY_FIGURES].[].[ZINPUTSOFC]_x000D_
[LOCID].[].[0001004692]_x000D_
[PRDID].[].[20000513]_x000D_
[KEY_FIGURES].[].[ZFORECASTOPENOUTPUT]_x000D_
[LOCID].[].[0001004692]_x000D_
[PRDID].[].[20000513]_x000D_
[KEY_FIGURES].[].[ZACTUALSALES]_x000D_
[LOCID].[].[0001004692]_x000D_
[PRDID].[].[20000513]_x000D_
[KEY_FIGURES].[].[ZCONSENSUSDEMAND]_x000D_
[LOCID].[].[0001004692]_x000D_
[PRDID].[].[20000513]_x000D_
[KEY_FIGURES].[].[INDEPENDENTDEMAND]_x000D_
[LOCID].[].[0001004692]_x000D_
[PRDID].[].[20000514]_x000D_
[KEY_FIGURES].[].[ZCONSENSUSDEMANDQTY]_x000D_
[LOCID].[].[0001004692]_x000D_
[PRDID].[].[20000514]_x000D_
[KEY_FIGURES].[].[ZINPUTSOFC]_x000D_
[LOCID].[].[0001004692]_x000D_
[PRDID].[].[20000514]_x000D_
[KEY_FIGURES].[].[ZFORECASTOPENOUTPUT]_x000D_
[LOCID].[].[0001004692]_x000D_
[PRDID].[].[20000514]_x000D_
[KEY_FIGURES].[].[ZACTUALSALES]_x000D_
[LOCID].[].[0001004692]_x000D_
[PRDID].[].[20000514]_x000D_
[KEY_FIGURES].[].[ZCONSENSUSDEMAND]_x000D_
[LOCID].[].[0001004692]_x000D_
[PRDID].[].[20000514]_x000D_
[KEY_FIGURES].[].[INDEPENDENTDEMAND]_x000D_
[LOCID].[].[0001004692]_x000D_
[PRDID].[].[20000515]_x000D_
[KEY_FIGURES].[].[ZCONSENSUSDEMANDQTY]_x000D_
[LOCID].[].[0001004692]_x000D_
[PRDID].[].[20000515]_x000D_
[KEY_FIGURES].[].[ZINPUTSOFC]_x000D_
[LOCID].[].[0001004692]_x000D_
[PRDID].[].[20000515]_x000D_
[KEY_FIGURES].[].[ZFORECASTOPENOUTPUT]_x000D_
[LOCID].[].[0001004692]_x000D_
[PRDID].[].[20000515]_x000D_
[KEY_FIGURES].[].[ZACTUALSALES]_x000D_
[LOCID].[].[0001004692]_x000D_
[PRDID].[].[20000515]_x000D_
[KEY_FIGURES].[].[ZCONSENSUSDEMAND]_x000D_
[LOCID].[].[0001004692]_x000D_
[PRDID].[].[20000515]_x000D_
[KEY_FIGURES].[].[INDEPENDENTDEMAND]_x000D_
[LOCID].[].[0001004692]_x000D_
[PRDID].[].[20000516]_x000D_
[KEY_FIGURES].[].[ZCONSENSUSDEMANDQTY]_x000D_
[LOCID].[].[0001004692]_x000D_
[PRDID].[].[20000516]_x000D_
[KEY_FIGURES].[].[ZINPUTSOFC]_x000D_
[LOCID].[].[0001004692]_x000D_
[PRDID].[].[20000516]_x000D_
[KEY_FIGURES].[].[ZFORECASTOPENOUTPUT]_x000D_
[LOCID].[].[0001004692]_x000D_
[PRDID].[].[20000516]_x000D_
[KEY_FIGURES].[].[ZACTUALSALES]_x000D_
[LOCID].[].[0001004692]_x000D_
[PRDID].[].[20000516]_x000D_
[KEY_FIGURES].[].[ZCONSENSUSDEMAND]_x000D_
[LOCID].[].[0001004692]_x000D_
[PRDID].[].[20000516]_x000D_
[KEY_FIGURES].[].[INDEPENDENTDEMAND]_x000D_
[LOCID].[].[0001004692]_x000D_
[PRDID].[].[20000517]_x000D_
[KEY_FIGURES].[].[ZCONSENSUSDEMANDQTY]_x000D_
[LOCID].[].[0001004692]_x000D_
[PRDID].[].[20000517]_x000D_
[KEY_FIGURES].[].[ZINPUTSOFC]_x000D_
[LOCID].[].[0001004692]_x000D_
[PRDID].[].[20000517]_x000D_
[KEY_FIGURES].[].[ZFORECASTOPENOUTPUT]_x000D_
[LOCID].[].[0001004692]_x000D_
[PRDID].[].[20000517]_x000D_
[KEY_FIGURES].[].[ZACTUALSALES]_x000D_
[LOCID].[].[0001004692]_x000D_
[PRDID].[].[20000517]_x000D_
[KEY_FIGURES].[].[ZCONSENSUSDEMAND]_x000D_
[LOCID].[].[0001004692]_x000D_
[PRDID].[].[20000517]_x000D_
[KEY_FIGURES].[].[INDEPENDENTDEMAND]_x000D_
[LOCID].[].[0001004692]_x000D_
[PRDID].[].[20000518]_x000D_
[KEY_FIGURES].[].[ZCONSENSUSDEMANDQTY]_x000D_
[LOCID].[].[0001004692]_x000D_
[PRDID].[].[20000518]_x000D_
[KEY_FIGURES].[].[ZINPUTSOFC]_x000D_
[LOCID].[].[0001004692]_x000D_
[PRDID].[].[20000518]_x000D_
[KEY_FIGURES].[].[ZFORECASTOPENOUTPUT]_x000D_
[LOCID].[].[0001004692]_x000D_
[PRDID].[].[20000518]_x000D_
[KEY_FIGURES].[].[ZACTUALSALES]_x000D_
[LOCID].[].[0001004692]_x000D_
[PRDID].[].[20000518]_x000D_
[KEY_FIGURES].[].[ZCONSENSUSDEMAND]_x000D_
[LOCID].[].[0001004692]_x000D_
[PRDID].[].[20000518]_x000D_
[KEY_FIGURES].[].[INDEPENDENTDEMAND]_x000D_
[LOCID].[].[0001004692]_x000D_
[PRDID].[].[20000519]_x000D_
[KEY_FIGURES].[].[ZCONSENSUSDEMANDQTY]_x000D_
[LOCID].[].[0001004692]_x000D_
[PRDID].[].[20000519]_x000D_
[KEY_FIGURES].[].[ZINPUTSOFC]_x000D_
[LOCID].[].[0001004692]_x000D_
[PRDID].[].[20000519]_x000D_
[KEY_FIGURES].[].[ZFORECASTOPENOUTPUT]_x000D_
[LOCID].[].[0001004692]_x000D_
[PRDID].[].[20000519]_x000D_
[KEY_FIGURES].[].[ZACTUALSALES]_x000D_
[LOCID].[].[0001004692]_x000D_
[PRDID].[].[20000519]_x000D_
[KEY_FIGURES].[].[ZCONSENSUSDEMAND]_x000D_
[LOCID].[].[0001004692]_x000D_
[PRDID].[].[20000519]_x000D_
[KEY_FIGURES].[].[INDEPENDENTDEMAND]_x000D_
[LOCID].[].[0001004692]_x000D_
[PRDID].[].[20000520]_x000D_
[KEY_FIGURES].[].[ZCONSENSUSDEMANDQTY]_x000D_
[LOCID].[].[0001004692]_x000D_
[PRDID].[].[20000520]_x000D_
[KEY_FIGURES].[].[ZINPUTSOFC]_x000D_
[LOCID].[].[0001004692]_x000D_
[PRDID].[].[20000520]_x000D_
[KEY_FIGURES].[].[ZFORECASTOPENOUTPUT]_x000D_
[LOCID].[].[0001004692]_x000D_
[PRDID].[].[20000520]_x000D_
[KEY_FIGURES].[].[ZACTUALSALES]_x000D_
[LOCID].[].[0001004692]_x000D_
[PRDID].[].[20000520]_x000D_
[KEY_FIGURES].[].[ZCONSENSUSDEMAND]_x000D_
[LOCID].[].[0001004692]_x000D_
[PRDID].[].[20000520]_x000D_
[KEY_FIGURES].[].[INDEPENDENTDEMAND]_x000D_
[LOCID].[].[0001004692]_x000D_
[PRDID].[].[20000521]_x000D_
[KEY_FIGURES].[].[ZCONSENSUSDEMANDQTY]_x000D_
[LOCID].[].[0001004692]_x000D_
[PRDID].[].[20000521]_x000D_
[KEY_FIGURES].[].[ZINPUTSOFC]_x000D_
[LOCID].[].[0001004692]_x000D_
[PRDID].[].[20000521]_x000D_
[KEY_FIGURES].[].[ZFORECASTOPENOUTPUT]_x000D_
[LOCID].[].[0001004692]_x000D_
[PRDID].[].[20000521]_x000D_
[KEY_FIGURES].[].[ZACTUALSALES]_x000D_
[LOCID].[].[0001004692]_x000D_
[PRDID].[].[20000521]_x000D_
[KEY_FIGURES].[].[ZCONSENSUSDEMAND]_x000D_
[LOCID].[].[0001004692]_x000D_
[PRDID].[].[20000521]_x000D_
[KEY_FIGURES].[].[INDEPENDENTDEMAND]_x000D_
[LOCID].[].[0001004692]_x000D_
[PRDID].[].[20000522]_x000D_
[KEY_FIGURES].[].[ZCONSENSUSDEMANDQTY]_x000D_
[LOCID].[].[0001004692]_x000D_
[PRDID].[].[20000522]_x000D_
[KEY_FIGURES].[].[ZINPUTSOFC]_x000D_
[LOCID].[].[0001004692]_x000D_
[PRDID].[].[20000522]</t>
  </si>
  <si>
    <t>[KEY_FIGURES].[].[ZFORECASTOPENOUTPUT]_x000D_
[LOCID].[].[0001004692]_x000D_
[PRDID].[].[20000522]_x000D_
[KEY_FIGURES].[].[ZACTUALSALES]_x000D_
[LOCID].[].[0001004692]_x000D_
[PRDID].[].[20000522]_x000D_
[KEY_FIGURES].[].[ZCONSENSUSDEMAND]_x000D_
[LOCID].[].[0001004692]_x000D_
[PRDID].[].[20000522]_x000D_
[KEY_FIGURES].[].[INDEPENDENTDEMAND]_x000D_
[LOCID].[].[0001004692]_x000D_
[PRDID].[].[20000523]_x000D_
[KEY_FIGURES].[].[ZCONSENSUSDEMANDQTY]_x000D_
[LOCID].[].[0001004692]_x000D_
[PRDID].[].[20000523]_x000D_
[KEY_FIGURES].[].[ZINPUTSOFC]_x000D_
[LOCID].[].[0001004692]_x000D_
[PRDID].[].[20000523]_x000D_
[KEY_FIGURES].[].[ZFORECASTOPENOUTPUT]_x000D_
[LOCID].[].[0001004692]_x000D_
[PRDID].[].[20000523]_x000D_
[KEY_FIGURES].[].[ZACTUALSALES]_x000D_
[LOCID].[].[0001004692]_x000D_
[PRDID].[].[20000523]_x000D_
[KEY_FIGURES].[].[ZCONSENSUSDEMAND]_x000D_
[LOCID].[].[0001004692]_x000D_
[PRDID].[].[20000523]_x000D_
[KEY_FIGURES].[].[INDEPENDENTDEMAND]_x000D_
[LOCID].[].[0001004692]_x000D_
[PRDID].[].[20000524]_x000D_
[KEY_FIGURES].[].[ZCONSENSUSDEMANDQTY]_x000D_
[LOCID].[].[0001004692]_x000D_
[PRDID].[].[20000524]_x000D_
[KEY_FIGURES].[].[ZINPUTSOFC]_x000D_
[LOCID].[].[0001004692]_x000D_
[PRDID].[].[20000524]_x000D_
[KEY_FIGURES].[].[ZFORECASTOPENOUTPUT]_x000D_
[LOCID].[].[0001004692]_x000D_
[PRDID].[].[20000524]_x000D_
[KEY_FIGURES].[].[ZACTUALSALES]_x000D_
[LOCID].[].[0001004692]_x000D_
[PRDID].[].[20000524]_x000D_
[KEY_FIGURES].[].[ZCONSENSUSDEMAND]_x000D_
[LOCID].[].[0001004692]_x000D_
[PRDID].[].[20000524]_x000D_
[KEY_FIGURES].[].[INDEPENDENTDEMAND]_x000D_
[LOCID].[].[0001004692]_x000D_
[PRDID].[].[20000525]_x000D_
[KEY_FIGURES].[].[ZCONSENSUSDEMANDQTY]_x000D_
[LOCID].[].[0001004692]_x000D_
[PRDID].[].[20000525]_x000D_
[KEY_FIGURES].[].[ZINPUTSOFC]_x000D_
[LOCID].[].[0001004692]_x000D_
[PRDID].[].[20000525]_x000D_
[KEY_FIGURES].[].[ZFORECASTOPENOUTPUT]_x000D_
[LOCID].[].[0001004692]_x000D_
[PRDID].[].[20000525]_x000D_
[KEY_FIGURES].[].[ZACTUALSALES]_x000D_
[LOCID].[].[0001004692]_x000D_
[PRDID].[].[20000525]_x000D_
[KEY_FIGURES].[].[ZCONSENSUSDEMAND]_x000D_
[LOCID].[].[0001004692]_x000D_
[PRDID].[].[20000525]_x000D_
[KEY_FIGURES].[].[INDEPENDENTDEMAND]_x000D_
[LOCID].[].[0001004692]_x000D_
[PRDID].[].[20000526]_x000D_
[KEY_FIGURES].[].[ZCONSENSUSDEMANDQTY]_x000D_
[LOCID].[].[0001004692]_x000D_
[PRDID].[].[20000526]_x000D_
[KEY_FIGURES].[].[ZINPUTSOFC]_x000D_
[LOCID].[].[0001004692]_x000D_
[PRDID].[].[20000526]_x000D_
[KEY_FIGURES].[].[ZFORECASTOPENOUTPUT]_x000D_
[LOCID].[].[0001004692]_x000D_
[PRDID].[].[20000526]_x000D_
[KEY_FIGURES].[].[ZACTUALSALES]_x000D_
[LOCID].[].[0001004692]_x000D_
[PRDID].[].[20000526]_x000D_
[KEY_FIGURES].[].[ZCONSENSUSDEMAND]_x000D_
[LOCID].[].[0001004692]_x000D_
[PRDID].[].[20000526]_x000D_
[KEY_FIGURES].[].[INDEPENDENTDEMAND]_x000D_
[LOCID].[].[0001004692]_x000D_
[PRDID].[].[20000527]_x000D_
[KEY_FIGURES].[].[ZCONSENSUSDEMANDQTY]_x000D_
[LOCID].[].[0001004692]_x000D_
[PRDID].[].[20000527]_x000D_
[KEY_FIGURES].[].[ZINPUTSOFC]_x000D_
[LOCID].[].[0001004692]_x000D_
[PRDID].[].[20000527]_x000D_
[KEY_FIGURES].[].[ZFORECASTOPENOUTPUT]_x000D_
[LOCID].[].[0001004692]_x000D_
[PRDID].[].[20000527]_x000D_
[KEY_FIGURES].[].[ZACTUALSALES]_x000D_
[LOCID].[].[0001004692]_x000D_
[PRDID].[].[20000527]_x000D_
[KEY_FIGURES].[].[ZCONSENSUSDEMAND]_x000D_
[LOCID].[].[0001004692]_x000D_
[PRDID].[].[20000527]_x000D_
[KEY_FIGURES].[].[INDEPENDENTDEMAND]_x000D_
[LOCID].[].[0001004692]_x000D_
[PRDID].[].[20000528]_x000D_
[KEY_FIGURES].[].[ZCONSENSUSDEMANDQTY]_x000D_
[LOCID].[].[0001004692]_x000D_
[PRDID].[].[20000528]_x000D_
[KEY_FIGURES].[].[ZINPUTSOFC]_x000D_
[LOCID].[].[0001004692]_x000D_
[PRDID].[].[20000528]_x000D_
[KEY_FIGURES].[].[ZFORECASTOPENOUTPUT]_x000D_
[LOCID].[].[0001004692]_x000D_
[PRDID].[].[20000528]_x000D_
[KEY_FIGURES].[].[ZACTUALSALES]_x000D_
[LOCID].[].[0001004692]_x000D_
[PRDID].[].[20000528]_x000D_
[KEY_FIGURES].[].[ZCONSENSUSDEMAND]_x000D_
[LOCID].[].[0001004692]_x000D_
[PRDID].[].[20000528]_x000D_
[KEY_FIGURES].[].[INDEPENDENTDEMAND]_x000D_
[LOCID].[].[0001004692]_x000D_
[PRDID].[].[20000529]_x000D_
[KEY_FIGURES].[].[ZCONSENSUSDEMANDQTY]_x000D_
[LOCID].[].[0001004692]_x000D_
[PRDID].[].[20000529]_x000D_
[KEY_FIGURES].[].[ZINPUTSOFC]_x000D_
[LOCID].[].[0001004692]_x000D_
[PRDID].[].[20000529]_x000D_
[KEY_FIGURES].[].[ZFORECASTOPENOUTPUT]_x000D_
[LOCID].[].[0001004692]_x000D_
[PRDID].[].[20000529]_x000D_
[KEY_FIGURES].[].[ZACTUALSALES]_x000D_
[LOCID].[].[0001004692]_x000D_
[PRDID].[].[20000529]_x000D_
[KEY_FIGURES].[].[ZCONSENSUSDEMAND]_x000D_
[LOCID].[].[0001004692]_x000D_
[PRDID].[].[20000529]_x000D_
[KEY_FIGURES].[].[INDEPENDENTDEMAND]_x000D_
[LOCID].[].[0001004692]_x000D_
[PRDID].[].[20000530]_x000D_
[KEY_FIGURES].[].[ZCONSENSUSDEMANDQTY]_x000D_
[LOCID].[].[0001004692]_x000D_
[PRDID].[].[20000530]_x000D_
[KEY_FIGURES].[].[ZINPUTSOFC]_x000D_
[LOCID].[].[0001004692]_x000D_
[PRDID].[].[20000530]_x000D_
[KEY_FIGURES].[].[ZFORECASTOPENOUTPUT]_x000D_
[LOCID].[].[0001004692]_x000D_
[PRDID].[].[20000530]_x000D_
[KEY_FIGURES].[].[ZACTUALSALES]_x000D_
[LOCID].[].[0001004692]_x000D_
[PRDID].[].[20000530]_x000D_
[KEY_FIGURES].[].[ZCONSENSUSDEMAND]_x000D_
[LOCID].[].[0001004692]_x000D_
[PRDID].[].[20000530]_x000D_
[KEY_FIGURES].[].[INDEPENDENTDEMAND]_x000D_
[LOCID].[].[0001004692]_x000D_
[PRDID].[].[20000531]_x000D_
[KEY_FIGURES].[].[ZCONSENSUSDEMANDQTY]_x000D_
[LOCID].[].[0001004692]_x000D_
[PRDID].[].[20000531]_x000D_
[KEY_FIGURES].[].[ZINPUTSOFC]_x000D_
[LOCID].[].[0001004692]_x000D_
[PRDID].[].[20000531]_x000D_
[KEY_FIGURES].[].[ZFORECASTOPENOUTPUT]_x000D_
[LOCID].[].[0001004692]_x000D_
[PRDID].[].[20000531]_x000D_
[KEY_FIGURES].[].[ZACTUALSALES]_x000D_
[LOCID].[].[0001004692]_x000D_
[PRDID].[].[20000531]_x000D_
[KEY_FIGURES].[].[ZCONSENSUSDEMAND]_x000D_
[LOCID].[].[0001004692]_x000D_
[PRDID].[].[20000531]_x000D_
[KEY_FIGURES].[].[INDEPENDENTDEMAND]_x000D_
[LOCID].[].[0001004692]_x000D_
[PRDID].[].[20000532]_x000D_
[KEY_FIGURES].[].[ZCONSENSUSDEMANDQTY]_x000D_
[LOCID].[].[0001004692]_x000D_
[PRDID].[].[20000532]_x000D_
[KEY_FIGURES].[].[ZINPUTSOFC]_x000D_
[LOCID].[].[0001004692]_x000D_
[PRDID].[].[20000532]_x000D_
[KEY_FIGURES].[].[ZFORECASTOPENOUTPUT]_x000D_
[LOCID].[].[0001004692]_x000D_
[PRDID].[].[20000532]_x000D_
[KEY_FIGURES].[].[ZACTUALSALES]_x000D_
[LOCID].[].[0001004692]_x000D_
[PRDID].[].[20000532]_x000D_
[KEY_FIGURES].[].[ZCONSENSUSDEMAND]_x000D_
[LOCID].[].[0001004692]_x000D_
[PRDID].[].[20000532]_x000D_
[KEY_FIGURES].[].[INDEPENDENTDEMAND]_x000D_
[LOCID].[].[0001004692]_x000D_
[PRDID].[].[20000533]_x000D_
[KEY_FIGURES].[].[ZCONSENSUSDEMANDQTY]_x000D_
[LOCID].[].[0001004692]_x000D_
[PRDID].[].[20000533]_x000D_
[KEY_FIGURES].[].[ZINPUTSOFC]_x000D_
[LOCID].[].[0001004692]_x000D_
[PRDID].[].[20000533]_x000D_
[KEY_FIGURES].[].[ZFORECASTOPENOUTPUT]_x000D_
[LOCID].[].[0001004692]</t>
  </si>
  <si>
    <t>[PRDID].[].[20000533]_x000D_
[KEY_FIGURES].[].[ZACTUALSALES]_x000D_
[LOCID].[].[0001004692]_x000D_
[PRDID].[].[20000533]_x000D_
[KEY_FIGURES].[].[ZCONSENSUSDEMAND]_x000D_
[LOCID].[].[0001004692]_x000D_
[PRDID].[].[20000533]_x000D_
[KEY_FIGURES].[].[INDEPENDENTDEMAND]_x000D_
[LOCID].[].[0001004692]_x000D_
[PRDID].[].[20000534]_x000D_
[KEY_FIGURES].[].[ZCONSENSUSDEMANDQTY]_x000D_
[LOCID].[].[0001004692]_x000D_
[PRDID].[].[20000534]_x000D_
[KEY_FIGURES].[].[ZINPUTSOFC]_x000D_
[LOCID].[].[0001004692]_x000D_
[PRDID].[].[20000534]_x000D_
[KEY_FIGURES].[].[ZFORECASTOPENOUTPUT]_x000D_
[LOCID].[].[0001004692]_x000D_
[PRDID].[].[20000534]_x000D_
[KEY_FIGURES].[].[ZACTUALSALES]_x000D_
[LOCID].[].[0001004692]_x000D_
[PRDID].[].[20000534]_x000D_
[KEY_FIGURES].[].[ZCONSENSUSDEMAND]_x000D_
[LOCID].[].[0001004692]_x000D_
[PRDID].[].[20000534]_x000D_
[KEY_FIGURES].[].[INDEPENDENTDEMAND]_x000D_
[LOCID].[].[0001004692]_x000D_
[PRDID].[].[20000535]_x000D_
[KEY_FIGURES].[].[ZCONSENSUSDEMANDQTY]_x000D_
[LOCID].[].[0001004692]_x000D_
[PRDID].[].[20000535]_x000D_
[KEY_FIGURES].[].[ZINPUTSOFC]_x000D_
[LOCID].[].[0001004692]_x000D_
[PRDID].[].[20000535]_x000D_
[KEY_FIGURES].[].[ZFORECASTOPENOUTPUT]_x000D_
[LOCID].[].[0001004692]_x000D_
[PRDID].[].[20000535]_x000D_
[KEY_FIGURES].[].[ZACTUALSALES]_x000D_
[LOCID].[].[0001004692]_x000D_
[PRDID].[].[20000535]_x000D_
[KEY_FIGURES].[].[ZCONSENSUSDEMAND]_x000D_
[LOCID].[].[0001004692]_x000D_
[PRDID].[].[20000535]_x000D_
[KEY_FIGURES].[].[INDEPENDENTDEMAND]_x000D_
[LOCID].[].[0001004692]_x000D_
[PRDID].[].[20000536]_x000D_
[KEY_FIGURES].[].[ZCONSENSUSDEMANDQTY]_x000D_
[LOCID].[].[0001004692]_x000D_
[PRDID].[].[20000536]_x000D_
[KEY_FIGURES].[].[ZINPUTSOFC]_x000D_
[LOCID].[].[0001004692]_x000D_
[PRDID].[].[20000536]_x000D_
[KEY_FIGURES].[].[ZFORECASTOPENOUTPUT]_x000D_
[LOCID].[].[0001004692]_x000D_
[PRDID].[].[20000536]_x000D_
[KEY_FIGURES].[].[ZACTUALSALES]_x000D_
[LOCID].[].[0001004692]_x000D_
[PRDID].[].[20000536]_x000D_
[KEY_FIGURES].[].[ZCONSENSUSDEMAND]_x000D_
[LOCID].[].[0001004692]_x000D_
[PRDID].[].[20000536]_x000D_
[KEY_FIGURES].[].[INDEPENDENTDEMAND]_x000D_
[LOCID].[].[0001004692]_x000D_
[PRDID].[].[20000537]_x000D_
[KEY_FIGURES].[].[ZCONSENSUSDEMANDQTY]_x000D_
[LOCID].[].[0001004692]_x000D_
[PRDID].[].[20000537]_x000D_
[KEY_FIGURES].[].[ZINPUTSOFC]_x000D_
[LOCID].[].[0001004692]_x000D_
[PRDID].[].[20000537]_x000D_
[KEY_FIGURES].[].[ZFORECASTOPENOUTPUT]_x000D_
[LOCID].[].[0001004692]_x000D_
[PRDID].[].[20000537]_x000D_
[KEY_FIGURES].[].[ZACTUALSALES]_x000D_
[LOCID].[].[0001004692]_x000D_
[PRDID].[].[20000537]_x000D_
[KEY_FIGURES].[].[ZCONSENSUSDEMAND]_x000D_
[LOCID].[].[0001004692]_x000D_
[PRDID].[].[20000537]_x000D_
[KEY_FIGURES].[].[INDEPENDENTDEMAND]_x000D_
[LOCID].[].[0001004692]_x000D_
[PRDID].[].[20000538]_x000D_
[KEY_FIGURES].[].[ZCONSENSUSDEMANDQTY]_x000D_
[LOCID].[].[0001004692]_x000D_
[PRDID].[].[20000538]_x000D_
[KEY_FIGURES].[].[ZINPUTSOFC]_x000D_
[LOCID].[].[0001004692]_x000D_
[PRDID].[].[20000538]_x000D_
[KEY_FIGURES].[].[ZFORECASTOPENOUTPUT]_x000D_
[LOCID].[].[0001004692]_x000D_
[PRDID].[].[20000538]_x000D_
[KEY_FIGURES].[].[ZACTUALSALES]_x000D_
[LOCID].[].[0001004692]_x000D_
[PRDID].[].[20000538]_x000D_
[KEY_FIGURES].[].[ZCONSENSUSDEMAND]_x000D_
[LOCID].[].[0001004692]_x000D_
[PRDID].[].[20000538]_x000D_
[KEY_FIGURES].[].[INDEPENDENTDEMAND]_x000D_
[LOCID].[].[0001004692]_x000D_
[PRDID].[].[20000539]_x000D_
[KEY_FIGURES].[].[ZCONSENSUSDEMANDQTY]_x000D_
[LOCID].[].[0001004692]_x000D_
[PRDID].[].[20000539]_x000D_
[KEY_FIGURES].[].[ZINPUTSOFC]_x000D_
[LOCID].[].[0001004692]_x000D_
[PRDID].[].[20000539]_x000D_
[KEY_FIGURES].[].[ZFORECASTOPENOUTPUT]_x000D_
[LOCID].[].[0001004692]_x000D_
[PRDID].[].[20000539]_x000D_
[KEY_FIGURES].[].[ZACTUALSALES]_x000D_
[LOCID].[].[0001004692]_x000D_
[PRDID].[].[20000539]_x000D_
[KEY_FIGURES].[].[ZCONSENSUSDEMAND]_x000D_
[LOCID].[].[0001004692]_x000D_
[PRDID].[].[20000539]_x000D_
[KEY_FIGURES].[].[INDEPENDENTDEMAND]_x000D_
[LOCID].[].[0001004692]_x000D_
[PRDID].[].[20000540]_x000D_
[KEY_FIGURES].[].[ZCONSENSUSDEMANDQTY]_x000D_
[LOCID].[].[0001004692]_x000D_
[PRDID].[].[20000540]_x000D_
[KEY_FIGURES].[].[ZINPUTSOFC]_x000D_
[LOCID].[].[0001004692]_x000D_
[PRDID].[].[20000540]_x000D_
[KEY_FIGURES].[].[ZFORECASTOPENOUTPUT]_x000D_
[LOCID].[].[0001004692]_x000D_
[PRDID].[].[20000540]_x000D_
[KEY_FIGURES].[].[ZACTUALSALES]_x000D_
[LOCID].[].[0001004692]_x000D_
[PRDID].[].[20000540]_x000D_
[KEY_FIGURES].[].[ZCONSENSUSDEMAND]_x000D_
[LOCID].[].[0001004692]_x000D_
[PRDID].[].[20000540]_x000D_
[KEY_FIGURES].[].[INDEPENDENTDEMAND]_x000D_
[LOCID].[].[0001004692]_x000D_
[PRDID].[].[20000541]_x000D_
[KEY_FIGURES].[].[ZCONSENSUSDEMANDQTY]_x000D_
[LOCID].[].[0001004692]_x000D_
[PRDID].[].[20000541]_x000D_
[KEY_FIGURES].[].[ZINPUTSOFC]_x000D_
[LOCID].[].[0001004692]_x000D_
[PRDID].[].[20000541]_x000D_
[KEY_FIGURES].[].[ZFORECASTOPENOUTPUT]_x000D_
[LOCID].[].[0001004692]_x000D_
[PRDID].[].[20000541]_x000D_
[KEY_FIGURES].[].[ZACTUALSALES]_x000D_
[LOCID].[].[0001004692]_x000D_
[PRDID].[].[20000541]_x000D_
[KEY_FIGURES].[].[ZCONSENSUSDEMAND]_x000D_
[LOCID].[].[0001004692]_x000D_
[PRDID].[].[20000541]_x000D_
[KEY_FIGURES].[].[INDEPENDENTDEMAND]_x000D_
[LOCID].[].[0001004692]_x000D_
[PRDID].[].[20000542]_x000D_
[KEY_FIGURES].[].[ZCONSENSUSDEMANDQTY]_x000D_
[LOCID].[].[0001004692]_x000D_
[PRDID].[].[20000542]_x000D_
[KEY_FIGURES].[].[ZINPUTSOFC]_x000D_
[LOCID].[].[0001004692]_x000D_
[PRDID].[].[20000542]_x000D_
[KEY_FIGURES].[].[ZFORECASTOPENOUTPUT]_x000D_
[LOCID].[].[0001004692]_x000D_
[PRDID].[].[20000542]_x000D_
[KEY_FIGURES].[].[ZACTUALSALES]_x000D_
[LOCID].[].[0001004692]_x000D_
[PRDID].[].[20000542]_x000D_
[KEY_FIGURES].[].[ZCONSENSUSDEMAND]_x000D_
[LOCID].[].[0001004692]_x000D_
[PRDID].[].[20000542]_x000D_
[KEY_FIGURES].[].[INDEPENDENTDEMAND]_x000D_
[LOCID].[].[0001004692]_x000D_
[PRDID].[].[20000543]_x000D_
[KEY_FIGURES].[].[ZCONSENSUSDEMANDQTY]_x000D_
[LOCID].[].[0001004692]_x000D_
[PRDID].[].[20000543]_x000D_
[KEY_FIGURES].[].[ZINPUTSOFC]_x000D_
[LOCID].[].[0001004692]_x000D_
[PRDID].[].[20000543]_x000D_
[KEY_FIGURES].[].[ZFORECASTOPENOUTPUT]_x000D_
[LOCID].[].[0001004692]_x000D_
[PRDID].[].[20000543]_x000D_
[KEY_FIGURES].[].[ZACTUALSALES]_x000D_
[LOCID].[].[0001004692]_x000D_
[PRDID].[].[20000543]_x000D_
[KEY_FIGURES].[].[ZCONSENSUSDEMAND]_x000D_
[LOCID].[].[0001004692]_x000D_
[PRDID].[].[20000543]_x000D_
[KEY_FIGURES].[].[INDEPENDENTDEMAND]_x000D_
[LOCID].[].[0001004692]_x000D_
[PRDID].[].[20000544]_x000D_
[KEY_FIGURES].[].[ZCONSENSUSDEMANDQTY]_x000D_
[LOCID].[].[0001004692]_x000D_
[PRDID].[].[20000544]_x000D_
[KEY_FIGURES].[].[ZINPUTSOFC]_x000D_
[LOCID].[].[0001004692]_x000D_
[PRDID].[].[20000544]_x000D_
[KEY_FIGURES].[].[ZFORECASTOPENOUTPUT]_x000D_
[LOCID].[].[0001004692]_x000D_
[PRDID].[].[20000544]_x000D_
[KEY_FIGURES].[].[ZACTUALSALES]</t>
  </si>
  <si>
    <t>[LOCID].[].[0001004692]_x000D_
[PRDID].[].[20000544]_x000D_
[KEY_FIGURES].[].[ZCONSENSUSDEMAND]_x000D_
[LOCID].[].[0001004692]_x000D_
[PRDID].[].[20000544]_x000D_
[KEY_FIGURES].[].[INDEPENDENTDEMAND]_x000D_
[LOCID].[].[0001004692]_x000D_
[PRDID].[].[20000545]_x000D_
[KEY_FIGURES].[].[ZCONSENSUSDEMANDQTY]_x000D_
[LOCID].[].[0001004692]_x000D_
[PRDID].[].[20000545]_x000D_
[KEY_FIGURES].[].[ZINPUTSOFC]_x000D_
[LOCID].[].[0001004692]_x000D_
[PRDID].[].[20000545]_x000D_
[KEY_FIGURES].[].[ZFORECASTOPENOUTPUT]_x000D_
[LOCID].[].[0001004692]_x000D_
[PRDID].[].[20000545]_x000D_
[KEY_FIGURES].[].[ZACTUALSALES]_x000D_
[LOCID].[].[0001004692]_x000D_
[PRDID].[].[20000545]_x000D_
[KEY_FIGURES].[].[ZCONSENSUSDEMAND]_x000D_
[LOCID].[].[0001004692]_x000D_
[PRDID].[].[20000545]_x000D_
[KEY_FIGURES].[].[INDEPENDENTDEMAND]_x000D_
[LOCID].[].[0001004692]_x000D_
[PRDID].[].[20000546]_x000D_
[KEY_FIGURES].[].[ZCONSENSUSDEMANDQTY]_x000D_
[LOCID].[].[0001004692]_x000D_
[PRDID].[].[20000546]_x000D_
[KEY_FIGURES].[].[ZINPUTSOFC]_x000D_
[LOCID].[].[0001004692]_x000D_
[PRDID].[].[20000546]_x000D_
[KEY_FIGURES].[].[ZFORECASTOPENOUTPUT]_x000D_
[LOCID].[].[0001004692]_x000D_
[PRDID].[].[20000546]_x000D_
[KEY_FIGURES].[].[ZACTUALSALES]_x000D_
[LOCID].[].[0001004692]_x000D_
[PRDID].[].[20000546]_x000D_
[KEY_FIGURES].[].[ZCONSENSUSDEMAND]_x000D_
[LOCID].[].[0001004692]_x000D_
[PRDID].[].[20000546]_x000D_
[KEY_FIGURES].[].[INDEPENDENTDEMAND]_x000D_
[LOCID].[].[0001004692]_x000D_
[PRDID].[].[20000547]_x000D_
[KEY_FIGURES].[].[ZCONSENSUSDEMANDQTY]_x000D_
[LOCID].[].[0001004692]_x000D_
[PRDID].[].[20000547]_x000D_
[KEY_FIGURES].[].[ZINPUTSOFC]_x000D_
[LOCID].[].[0001004692]_x000D_
[PRDID].[].[20000547]_x000D_
[KEY_FIGURES].[].[ZFORECASTOPENOUTPUT]_x000D_
[LOCID].[].[0001004692]_x000D_
[PRDID].[].[20000547]_x000D_
[KEY_FIGURES].[].[ZACTUALSALES]_x000D_
[LOCID].[].[0001004692]_x000D_
[PRDID].[].[20000547]_x000D_
[KEY_FIGURES].[].[ZCONSENSUSDEMAND]_x000D_
[LOCID].[].[0001004692]_x000D_
[PRDID].[].[20000547]_x000D_
[KEY_FIGURES].[].[INDEPENDENTDEMAND]_x000D_
[LOCID].[].[0001004692]_x000D_
[PRDID].[].[20000548]_x000D_
[KEY_FIGURES].[].[ZCONSENSUSDEMANDQTY]_x000D_
[LOCID].[].[0001004692]_x000D_
[PRDID].[].[20000548]_x000D_
[KEY_FIGURES].[].[ZINPUTSOFC]_x000D_
[LOCID].[].[0001004692]_x000D_
[PRDID].[].[20000548]_x000D_
[KEY_FIGURES].[].[ZFORECASTOPENOUTPUT]_x000D_
[LOCID].[].[0001004692]_x000D_
[PRDID].[].[20000548]_x000D_
[KEY_FIGURES].[].[ZACTUALSALES]_x000D_
[LOCID].[].[0001004692]_x000D_
[PRDID].[].[20000548]_x000D_
[KEY_FIGURES].[].[ZCONSENSUSDEMAND]_x000D_
[LOCID].[].[0001004692]_x000D_
[PRDID].[].[20000548]_x000D_
[KEY_FIGURES].[].[INDEPENDENTDEMAND]_x000D_
[LOCID].[].[0001004692]_x000D_
[PRDID].[].[20000549]_x000D_
[KEY_FIGURES].[].[ZCONSENSUSDEMANDQTY]_x000D_
[LOCID].[].[0001004692]_x000D_
[PRDID].[].[20000549]_x000D_
[KEY_FIGURES].[].[ZINPUTSOFC]_x000D_
[LOCID].[].[0001004692]_x000D_
[PRDID].[].[20000549]_x000D_
[KEY_FIGURES].[].[ZFORECASTOPENOUTPUT]_x000D_
[LOCID].[].[0001004692]_x000D_
[PRDID].[].[20000549]_x000D_
[KEY_FIGURES].[].[ZACTUALSALES]_x000D_
[LOCID].[].[0001004692]_x000D_
[PRDID].[].[20000549]_x000D_
[KEY_FIGURES].[].[ZCONSENSUSDEMAND]_x000D_
[LOCID].[].[0001004692]_x000D_
[PRDID].[].[20000549]_x000D_
[KEY_FIGURES].[].[INDEPENDENTDEMAND]_x000D_
[LOCID].[].[0001004692]_x000D_
[PRDID].[].[20000550]_x000D_
[KEY_FIGURES].[].[ZCONSENSUSDEMANDQTY]_x000D_
[LOCID].[].[0001004692]_x000D_
[PRDID].[].[20000550]_x000D_
[KEY_FIGURES].[].[ZINPUTSOFC]_x000D_
[LOCID].[].[0001004692]_x000D_
[PRDID].[].[20000550]_x000D_
[KEY_FIGURES].[].[ZFORECASTOPENOUTPUT]_x000D_
[LOCID].[].[0001004692]_x000D_
[PRDID].[].[20000550]_x000D_
[KEY_FIGURES].[].[ZACTUALSALES]_x000D_
[LOCID].[].[0001004692]_x000D_
[PRDID].[].[20000550]_x000D_
[KEY_FIGURES].[].[ZCONSENSUSDEMAND]_x000D_
[LOCID].[].[0001004692]_x000D_
[PRDID].[].[20000550]_x000D_
[KEY_FIGURES].[].[INDEPENDENTDEMAND]_x000D_
[LOCID].[].[0001004692]_x000D_
[PRDID].[].[20000551]_x000D_
[KEY_FIGURES].[].[ZCONSENSUSDEMANDQTY]_x000D_
[LOCID].[].[0001004692]_x000D_
[PRDID].[].[20000551]_x000D_
[KEY_FIGURES].[].[ZINPUTSOFC]_x000D_
[LOCID].[].[0001004692]_x000D_
[PRDID].[].[20000551]_x000D_
[KEY_FIGURES].[].[ZFORECASTOPENOUTPUT]_x000D_
[LOCID].[].[0001004692]_x000D_
[PRDID].[].[20000551]_x000D_
[KEY_FIGURES].[].[ZACTUALSALES]_x000D_
[LOCID].[].[0001004692]_x000D_
[PRDID].[].[20000551]_x000D_
[KEY_FIGURES].[].[ZCONSENSUSDEMAND]_x000D_
[LOCID].[].[0001004692]_x000D_
[PRDID].[].[20000551]_x000D_
[KEY_FIGURES].[].[INDEPENDENTDEMAND]_x000D_
[LOCID].[].[0001004692]_x000D_
[PRDID].[].[20000552]_x000D_
[KEY_FIGURES].[].[ZCONSENSUSDEMANDQTY]_x000D_
[LOCID].[].[0001004692]_x000D_
[PRDID].[].[20000552]_x000D_
[KEY_FIGURES].[].[ZINPUTSOFC]_x000D_
[LOCID].[].[0001004692]_x000D_
[PRDID].[].[20000552]_x000D_
[KEY_FIGURES].[].[ZFORECASTOPENOUTPUT]_x000D_
[LOCID].[].[0001004692]_x000D_
[PRDID].[].[20000552]_x000D_
[KEY_FIGURES].[].[ZACTUALSALES]_x000D_
[LOCID].[].[0001004692]_x000D_
[PRDID].[].[20000552]_x000D_
[KEY_FIGURES].[].[ZCONSENSUSDEMAND]_x000D_
[LOCID].[].[0001004692]_x000D_
[PRDID].[].[20000552]_x000D_
[KEY_FIGURES].[].[INDEPENDENTDEMAND]_x000D_
[LOCID].[].[0001004692]_x000D_
[PRDID].[].[20000553]_x000D_
[KEY_FIGURES].[].[ZCONSENSUSDEMANDQTY]_x000D_
[LOCID].[].[0001004692]_x000D_
[PRDID].[].[20000553]_x000D_
[KEY_FIGURES].[].[ZINPUTSOFC]_x000D_
[LOCID].[].[0001004692]_x000D_
[PRDID].[].[20000553]_x000D_
[KEY_FIGURES].[].[ZFORECASTOPENOUTPUT]_x000D_
[LOCID].[].[0001004692]_x000D_
[PRDID].[].[20000553]_x000D_
[KEY_FIGURES].[].[ZACTUALSALES]_x000D_
[LOCID].[].[0001004692]_x000D_
[PRDID].[].[20000553]_x000D_
[KEY_FIGURES].[].[ZCONSENSUSDEMAND]_x000D_
[LOCID].[].[0001004692]_x000D_
[PRDID].[].[20000553]_x000D_
[KEY_FIGURES].[].[INDEPENDENTDEMAND]_x000D_
[LOCID].[].[0001004692]_x000D_
[PRDID].[].[20000554]_x000D_
[KEY_FIGURES].[].[ZCONSENSUSDEMANDQTY]_x000D_
[LOCID].[].[0001004692]_x000D_
[PRDID].[].[20000554]_x000D_
[KEY_FIGURES].[].[ZINPUTSOFC]_x000D_
[LOCID].[].[0001004692]_x000D_
[PRDID].[].[20000554]_x000D_
[KEY_FIGURES].[].[ZFORECASTOPENOUTPUT]_x000D_
[LOCID].[].[0001004692]_x000D_
[PRDID].[].[20000554]_x000D_
[KEY_FIGURES].[].[ZACTUALSALES]_x000D_
[LOCID].[].[0001004692]_x000D_
[PRDID].[].[20000554]_x000D_
[KEY_FIGURES].[].[ZCONSENSUSDEMAND]_x000D_
[LOCID].[].[0001004692]_x000D_
[PRDID].[].[20000554]_x000D_
[KEY_FIGURES].[].[INDEPENDENTDEMAND]_x000D_
[LOCID].[].[0001004692]_x000D_
[PRDID].[].[20000555]_x000D_
[KEY_FIGURES].[].[ZCONSENSUSDEMANDQTY]_x000D_
[LOCID].[].[0001004692]_x000D_
[PRDID].[].[20000555]_x000D_
[KEY_FIGURES].[].[ZINPUTSOFC]_x000D_
[LOCID].[].[0001004692]_x000D_
[PRDID].[].[20000555]_x000D_
[KEY_FIGURES].[].[ZFORECASTOPENOUTPUT]_x000D_
[LOCID].[].[0001004692]_x000D_
[PRDID].[].[20000555]_x000D_
[KEY_FIGURES].[].[ZACTUALSALES]_x000D_
[LOCID].[].[0001004692]_x000D_
[PRDID].[].[20000555]</t>
  </si>
  <si>
    <t>[KEY_FIGURES].[].[ZCONSENSUSDEMAND]_x000D_
[LOCID].[].[0001004692]_x000D_
[PRDID].[].[20000555]_x000D_
[KEY_FIGURES].[].[INDEPENDENTDEMAND]_x000D_
[LOCID].[].[0001004692]_x000D_
[PRDID].[].[20000556]_x000D_
[KEY_FIGURES].[].[ZCONSENSUSDEMANDQTY]_x000D_
[LOCID].[].[0001004692]_x000D_
[PRDID].[].[20000556]_x000D_
[KEY_FIGURES].[].[ZINPUTSOFC]_x000D_
[LOCID].[].[0001004692]_x000D_
[PRDID].[].[20000556]_x000D_
[KEY_FIGURES].[].[ZFORECASTOPENOUTPUT]_x000D_
[LOCID].[].[0001004692]_x000D_
[PRDID].[].[20000556]_x000D_
[KEY_FIGURES].[].[ZACTUALSALES]_x000D_
[LOCID].[].[0001004692]_x000D_
[PRDID].[].[20000556]_x000D_
[KEY_FIGURES].[].[ZCONSENSUSDEMAND]_x000D_
[LOCID].[].[0001004692]_x000D_
[PRDID].[].[20000556]_x000D_
[KEY_FIGURES].[].[INDEPENDENTDEMAND]_x000D_
[LOCID].[].[0001004692]_x000D_
[PRDID].[].[20000557]_x000D_
[KEY_FIGURES].[].[ZCONSENSUSDEMANDQTY]_x000D_
[LOCID].[].[0001004692]_x000D_
[PRDID].[].[20000557]_x000D_
[KEY_FIGURES].[].[ZINPUTSOFC]_x000D_
[LOCID].[].[0001004692]_x000D_
[PRDID].[].[20000557]_x000D_
[KEY_FIGURES].[].[ZFORECASTOPENOUTPUT]_x000D_
[LOCID].[].[0001004692]_x000D_
[PRDID].[].[20000557]_x000D_
[KEY_FIGURES].[].[ZACTUALSALES]_x000D_
[LOCID].[].[0001004692]_x000D_
[PRDID].[].[20000557]_x000D_
[KEY_FIGURES].[].[ZCONSENSUSDEMAND]_x000D_
[LOCID].[].[0001004692]_x000D_
[PRDID].[].[20000557]_x000D_
[KEY_FIGURES].[].[INDEPENDENTDEMAND]_x000D_
[LOCID].[].[0001004692]_x000D_
[PRDID].[].[20000558]_x000D_
[KEY_FIGURES].[].[ZCONSENSUSDEMANDQTY]_x000D_
[LOCID].[].[0001004692]_x000D_
[PRDID].[].[20000558]_x000D_
[KEY_FIGURES].[].[ZINPUTSOFC]_x000D_
[LOCID].[].[0001004692]_x000D_
[PRDID].[].[20000558]_x000D_
[KEY_FIGURES].[].[ZFORECASTOPENOUTPUT]_x000D_
[LOCID].[].[0001004692]_x000D_
[PRDID].[].[20000558]_x000D_
[KEY_FIGURES].[].[ZACTUALSALES]_x000D_
[LOCID].[].[0001004692]_x000D_
[PRDID].[].[20000558]_x000D_
[KEY_FIGURES].[].[ZCONSENSUSDEMAND]_x000D_
[LOCID].[].[0001004692]_x000D_
[PRDID].[].[20000558]_x000D_
[KEY_FIGURES].[].[INDEPENDENTDEMAND]_x000D_
[LOCID].[].[0001004692]_x000D_
[PRDID].[].[20000559]_x000D_
[KEY_FIGURES].[].[ZCONSENSUSDEMANDQTY]_x000D_
[LOCID].[].[0001004692]_x000D_
[PRDID].[].[20000559]_x000D_
[KEY_FIGURES].[].[ZINPUTSOFC]_x000D_
[LOCID].[].[0001004692]_x000D_
[PRDID].[].[20000559]_x000D_
[KEY_FIGURES].[].[ZFORECASTOPENOUTPUT]_x000D_
[LOCID].[].[0001004692]_x000D_
[PRDID].[].[20000559]_x000D_
[KEY_FIGURES].[].[ZACTUALSALES]_x000D_
[LOCID].[].[0001004692]_x000D_
[PRDID].[].[20000559]_x000D_
[KEY_FIGURES].[].[ZCONSENSUSDEMAND]_x000D_
[LOCID].[].[0001004692]_x000D_
[PRDID].[].[20000559]_x000D_
[KEY_FIGURES].[].[INDEPENDENTDEMAND]_x000D_
[LOCID].[].[0001004692]_x000D_
[PRDID].[].[20000573]_x000D_
[KEY_FIGURES].[].[ZCONSENSUSDEMANDQTY]_x000D_
[LOCID].[].[0001004692]_x000D_
[PRDID].[].[20000573]_x000D_
[KEY_FIGURES].[].[ZINPUTSOFC]_x000D_
[LOCID].[].[0001004692]_x000D_
[PRDID].[].[20000573]_x000D_
[KEY_FIGURES].[].[ZFORECASTOPENOUTPUT]_x000D_
[LOCID].[].[0001004692]_x000D_
[PRDID].[].[20000573]_x000D_
[KEY_FIGURES].[].[ZACTUALSALES]_x000D_
[LOCID].[].[0001004692]_x000D_
[PRDID].[].[20000573]_x000D_
[KEY_FIGURES].[].[ZCONSENSUSDEMAND]_x000D_
[LOCID].[].[0001004692]_x000D_
[PRDID].[].[20000573]_x000D_
[KEY_FIGURES].[].[INDEPENDENTDEMAND]_x000D_
[LOCID].[].[0001004692]_x000D_
[PRDID].[].[20000579]_x000D_
[KEY_FIGURES].[].[ZCONSENSUSDEMANDQTY]_x000D_
[LOCID].[].[0001004692]_x000D_
[PRDID].[].[20000579]_x000D_
[KEY_FIGURES].[].[ZINPUTSOFC]_x000D_
[LOCID].[].[0001004692]_x000D_
[PRDID].[].[20000579]_x000D_
[KEY_FIGURES].[].[ZFORECASTOPENOUTPUT]_x000D_
[LOCID].[].[0001004692]_x000D_
[PRDID].[].[20000579]_x000D_
[KEY_FIGURES].[].[ZACTUALSALES]_x000D_
[LOCID].[].[0001004692]_x000D_
[PRDID].[].[20000579]_x000D_
[KEY_FIGURES].[].[ZCONSENSUSDEMAND]_x000D_
[LOCID].[].[0001004692]_x000D_
[PRDID].[].[20000579]_x000D_
[KEY_FIGURES].[].[INDEPENDENTDEMAND]_x000D_
[LOCID].[].[0001004692]_x000D_
[PRDID].[].[20000604]_x000D_
[KEY_FIGURES].[].[ZCONSENSUSDEMANDQTY]_x000D_
[LOCID].[].[0001004692]_x000D_
[PRDID].[].[20000604]_x000D_
[KEY_FIGURES].[].[ZINPUTSOFC]_x000D_
[LOCID].[].[0001004692]_x000D_
[PRDID].[].[20000604]_x000D_
[KEY_FIGURES].[].[ZFORECASTOPENOUTPUT]_x000D_
[LOCID].[].[0001004692]_x000D_
[PRDID].[].[20000604]_x000D_
[KEY_FIGURES].[].[ZACTUALSALES]_x000D_
[LOCID].[].[0001004692]_x000D_
[PRDID].[].[20000604]_x000D_
[KEY_FIGURES].[].[ZCONSENSUSDEMAND]_x000D_
[LOCID].[].[0001004692]_x000D_
[PRDID].[].[20000604]_x000D_
[KEY_FIGURES].[].[INDEPENDENTDEMAND]_x000D_
[LOCID].[].[0001004692]_x000D_
[PRDID].[].[20000605]_x000D_
[KEY_FIGURES].[].[ZCONSENSUSDEMANDQTY]_x000D_
[LOCID].[].[0001004692]_x000D_
[PRDID].[].[20000605]_x000D_
[KEY_FIGURES].[].[ZINPUTSOFC]_x000D_
[LOCID].[].[0001004692]_x000D_
[PRDID].[].[20000605]_x000D_
[KEY_FIGURES].[].[ZFORECASTOPENOUTPUT]_x000D_
[LOCID].[].[0001004692]_x000D_
[PRDID].[].[20000605]_x000D_
[KEY_FIGURES].[].[ZACTUALSALES]_x000D_
[LOCID].[].[0001004692]_x000D_
[PRDID].[].[20000605]_x000D_
[KEY_FIGURES].[].[ZCONSENSUSDEMAND]_x000D_
[LOCID].[].[0001004692]_x000D_
[PRDID].[].[20000605]_x000D_
[KEY_FIGURES].[].[INDEPENDENTDEMAND]_x000D_
[LOCID].[].[0001004692]_x000D_
[PRDID].[].[20000606]_x000D_
[KEY_FIGURES].[].[ZCONSENSUSDEMANDQTY]_x000D_
[LOCID].[].[0001004692]_x000D_
[PRDID].[].[20000606]_x000D_
[KEY_FIGURES].[].[ZINPUTSOFC]_x000D_
[LOCID].[].[0001004692]_x000D_
[PRDID].[].[20000606]_x000D_
[KEY_FIGURES].[].[ZFORECASTOPENOUTPUT]_x000D_
[LOCID].[].[0001004692]_x000D_
[PRDID].[].[20000606]_x000D_
[KEY_FIGURES].[].[ZACTUALSALES]_x000D_
[LOCID].[].[0001004692]_x000D_
[PRDID].[].[20000606]_x000D_
[KEY_FIGURES].[].[ZCONSENSUSDEMAND]_x000D_
[LOCID].[].[0001004692]_x000D_
[PRDID].[].[20000606]_x000D_
[KEY_FIGURES].[].[INDEPENDENTDEMAND]_x000D_
[LOCID].[].[0001004692]_x000D_
[PRDID].[].[20000611]_x000D_
[KEY_FIGURES].[].[ZCONSENSUSDEMANDQTY]_x000D_
[LOCID].[].[0001004692]_x000D_
[PRDID].[].[20000611]_x000D_
[KEY_FIGURES].[].[ZINPUTSOFC]_x000D_
[LOCID].[].[0001004692]_x000D_
[PRDID].[].[20000611]_x000D_
[KEY_FIGURES].[].[ZFORECASTOPENOUTPUT]_x000D_
[LOCID].[].[0001004692]_x000D_
[PRDID].[].[20000611]_x000D_
[KEY_FIGURES].[].[ZACTUALSALES]_x000D_
[LOCID].[].[0001004692]_x000D_
[PRDID].[].[20000611]_x000D_
[KEY_FIGURES].[].[ZCONSENSUSDEMAND]_x000D_
[LOCID].[].[0001004692]_x000D_
[PRDID].[].[20000611]_x000D_
[KEY_FIGURES].[].[INDEPENDENTDEMAND]_x000D_
[LOCID].[].[0001004692]_x000D_
[PRDID].[].[20000620]_x000D_
[KEY_FIGURES].[].[ZCONSENSUSDEMANDQTY]_x000D_
[LOCID].[].[0001004692]_x000D_
[PRDID].[].[20000620]_x000D_
[KEY_FIGURES].[].[ZINPUTSOFC]_x000D_
[LOCID].[].[0001004692]_x000D_
[PRDID].[].[20000620]_x000D_
[KEY_FIGURES].[].[ZFORECASTOPENOUTPUT]_x000D_
[LOCID].[].[0001004692]_x000D_
[PRDID].[].[20000620]_x000D_
[KEY_FIGURES].[].[ZACTUALSALES]_x000D_
[LOCID].[].[0001004692]_x000D_
[PRDID].[].[20000620]_x000D_
[KEY_FIGURES].[].[ZCONSENSUSDEMAND]_x000D_
[LOCID].[].[0001004692]</t>
  </si>
  <si>
    <t>[PRDID].[].[20000620]_x000D_
[KEY_FIGURES].[].[INDEPENDENTDEMAND]_x000D_
[LOCID].[].[0001004692]_x000D_
[PRDID].[].[20000882]_x000D_
[KEY_FIGURES].[].[ZCONSENSUSDEMANDQTY]_x000D_
[LOCID].[].[0001004692]_x000D_
[PRDID].[].[20000882]_x000D_
[KEY_FIGURES].[].[ZINPUTSOFC]_x000D_
[LOCID].[].[0001004692]_x000D_
[PRDID].[].[20000882]_x000D_
[KEY_FIGURES].[].[ZFORECASTOPENOUTPUT]_x000D_
[LOCID].[].[0001004692]_x000D_
[PRDID].[].[20000882]_x000D_
[KEY_FIGURES].[].[ZACTUALSALES]_x000D_
[LOCID].[].[0001004692]_x000D_
[PRDID].[].[20000882]_x000D_
[KEY_FIGURES].[].[ZCONSENSUSDEMAND]_x000D_
[LOCID].[].[0001004692]_x000D_
[PRDID].[].[20000882]_x000D_
[KEY_FIGURES].[].[INDEPENDENTDEMAND]_x000D_
[LOCID].[].[0001004692]_x000D_
[PRDID].[].[20000888]_x000D_
[KEY_FIGURES].[].[ZCONSENSUSDEMANDQTY]_x000D_
[LOCID].[].[0001004692]_x000D_
[PRDID].[].[20000888]_x000D_
[KEY_FIGURES].[].[ZINPUTSOFC]_x000D_
[LOCID].[].[0001004692]_x000D_
[PRDID].[].[20000888]_x000D_
[KEY_FIGURES].[].[ZFORECASTOPENOUTPUT]_x000D_
[LOCID].[].[0001004692]_x000D_
[PRDID].[].[20000888]_x000D_
[KEY_FIGURES].[].[ZACTUALSALES]_x000D_
[LOCID].[].[0001004692]_x000D_
[PRDID].[].[20000888]_x000D_
[KEY_FIGURES].[].[ZCONSENSUSDEMAND]_x000D_
[LOCID].[].[0001004692]_x000D_
[PRDID].[].[20000888]_x000D_
[KEY_FIGURES].[].[INDEPENDENTDEMAND]_x000D_
[LOCID].[].[0001004692]_x000D_
[PRDID].[].[20000891]_x000D_
[KEY_FIGURES].[].[ZCONSENSUSDEMANDQTY]_x000D_
[LOCID].[].[0001004692]_x000D_
[PRDID].[].[20000891]_x000D_
[KEY_FIGURES].[].[ZINPUTSOFC]_x000D_
[LOCID].[].[0001004692]_x000D_
[PRDID].[].[20000891]_x000D_
[KEY_FIGURES].[].[ZFORECASTOPENOUTPUT]_x000D_
[LOCID].[].[0001004692]_x000D_
[PRDID].[].[20000891]_x000D_
[KEY_FIGURES].[].[ZACTUALSALES]_x000D_
[LOCID].[].[0001004692]_x000D_
[PRDID].[].[20000891]_x000D_
[KEY_FIGURES].[].[ZCONSENSUSDEMAND]_x000D_
[LOCID].[].[0001004692]_x000D_
[PRDID].[].[20000891]_x000D_
[KEY_FIGURES].[].[INDEPENDENTDEMAND]_x000D_
[LOCID].[].[0001004692]_x000D_
[PRDID].[].[20000894]_x000D_
[KEY_FIGURES].[].[ZCONSENSUSDEMANDQTY]_x000D_
[LOCID].[].[0001004692]_x000D_
[PRDID].[].[20000894]_x000D_
[KEY_FIGURES].[].[ZINPUTSOFC]_x000D_
[LOCID].[].[0001004692]_x000D_
[PRDID].[].[20000894]_x000D_
[KEY_FIGURES].[].[ZFORECASTOPENOUTPUT]_x000D_
[LOCID].[].[0001004692]_x000D_
[PRDID].[].[20000894]_x000D_
[KEY_FIGURES].[].[ZACTUALSALES]_x000D_
[LOCID].[].[0001004692]_x000D_
[PRDID].[].[20000894]_x000D_
[KEY_FIGURES].[].[ZCONSENSUSDEMAND]_x000D_
[LOCID].[].[0001004692]_x000D_
[PRDID].[].[20000894]_x000D_
[KEY_FIGURES].[].[INDEPENDENTDEMAND]_x000D_
[LOCID].[].[0001004692]_x000D_
[PRDID].[].[20000899]_x000D_
[KEY_FIGURES].[].[ZCONSENSUSDEMANDQTY]_x000D_
[LOCID].[].[0001004692]_x000D_
[PRDID].[].[20000899]_x000D_
[KEY_FIGURES].[].[ZINPUTSOFC]_x000D_
[LOCID].[].[0001004692]_x000D_
[PRDID].[].[20000899]_x000D_
[KEY_FIGURES].[].[ZFORECASTOPENOUTPUT]_x000D_
[LOCID].[].[0001004692]_x000D_
[PRDID].[].[20000899]_x000D_
[KEY_FIGURES].[].[ZACTUALSALES]_x000D_
[LOCID].[].[0001004692]_x000D_
[PRDID].[].[20000899]_x000D_
[KEY_FIGURES].[].[ZCONSENSUSDEMAND]_x000D_
[LOCID].[].[0001004692]_x000D_
[PRDID].[].[20000899]_x000D_
[KEY_FIGURES].[].[INDEPENDENTDEMAND]_x000D_
[LOCID].[].[0001004692]_x000D_
[PRDID].[].[20000904]_x000D_
[KEY_FIGURES].[].[ZCONSENSUSDEMANDQTY]_x000D_
[LOCID].[].[0001004692]_x000D_
[PRDID].[].[20000904]_x000D_
[KEY_FIGURES].[].[ZINPUTSOFC]_x000D_
[LOCID].[].[0001004692]_x000D_
[PRDID].[].[20000904]_x000D_
[KEY_FIGURES].[].[ZFORECASTOPENOUTPUT]_x000D_
[LOCID].[].[0001004692]_x000D_
[PRDID].[].[20000904]_x000D_
[KEY_FIGURES].[].[ZACTUALSALES]_x000D_
[LOCID].[].[0001004692]_x000D_
[PRDID].[].[20000904]_x000D_
[KEY_FIGURES].[].[ZCONSENSUSDEMAND]_x000D_
[LOCID].[].[0001004692]_x000D_
[PRDID].[].[20000904]_x000D_
[KEY_FIGURES].[].[INDEPENDENTDEMAND]_x000D_
[LOCID].[].[0001004692]_x000D_
[PRDID].[].[20000905]_x000D_
[KEY_FIGURES].[].[ZCONSENSUSDEMANDQTY]_x000D_
[LOCID].[].[0001004692]_x000D_
[PRDID].[].[20000905]_x000D_
[KEY_FIGURES].[].[ZINPUTSOFC]_x000D_
[LOCID].[].[0001004692]_x000D_
[PRDID].[].[20000905]_x000D_
[KEY_FIGURES].[].[ZFORECASTOPENOUTPUT]_x000D_
[LOCID].[].[0001004692]_x000D_
[PRDID].[].[20000905]_x000D_
[KEY_FIGURES].[].[ZACTUALSALES]_x000D_
[LOCID].[].[0001004692]_x000D_
[PRDID].[].[20000905]_x000D_
[KEY_FIGURES].[].[ZCONSENSUSDEMAND]_x000D_
[LOCID].[].[0001004692]_x000D_
[PRDID].[].[20000905]_x000D_
[KEY_FIGURES].[].[INDEPENDENTDEMAND]_x000D_
[LOCID].[].[0001004692]_x000D_
[PRDID].[].[20000907]_x000D_
[KEY_FIGURES].[].[ZCONSENSUSDEMANDQTY]_x000D_
[LOCID].[].[0001004692]_x000D_
[PRDID].[].[20000907]_x000D_
[KEY_FIGURES].[].[ZINPUTSOFC]_x000D_
[LOCID].[].[0001004692]_x000D_
[PRDID].[].[20000907]_x000D_
[KEY_FIGURES].[].[ZFORECASTOPENOUTPUT]_x000D_
[LOCID].[].[0001004692]_x000D_
[PRDID].[].[20000907]_x000D_
[KEY_FIGURES].[].[ZACTUALSALES]_x000D_
[LOCID].[].[0001004692]_x000D_
[PRDID].[].[20000907]_x000D_
[KEY_FIGURES].[].[ZCONSENSUSDEMAND]_x000D_
[LOCID].[].[0001004692]_x000D_
[PRDID].[].[20000907]_x000D_
[KEY_FIGURES].[].[INDEPENDENTDEMAND]_x000D_
[LOCID].[].[0001004692]_x000D_
[PRDID].[].[20000910]_x000D_
[KEY_FIGURES].[].[ZCONSENSUSDEMANDQTY]_x000D_
[LOCID].[].[0001004692]_x000D_
[PRDID].[].[20000910]_x000D_
[KEY_FIGURES].[].[ZINPUTSOFC]_x000D_
[LOCID].[].[0001004692]_x000D_
[PRDID].[].[20000910]_x000D_
[KEY_FIGURES].[].[ZFORECASTOPENOUTPUT]_x000D_
[LOCID].[].[0001004692]_x000D_
[PRDID].[].[20000910]_x000D_
[KEY_FIGURES].[].[ZACTUALSALES]_x000D_
[LOCID].[].[0001004692]_x000D_
[PRDID].[].[20000910]_x000D_
[KEY_FIGURES].[].[ZCONSENSUSDEMAND]_x000D_
[LOCID].[].[0001004692]_x000D_
[PRDID].[].[20000910]_x000D_
[KEY_FIGURES].[].[INDEPENDENTDEMAND]_x000D_
[LOCID].[].[0001004692]_x000D_
[PRDID].[].[20000911]_x000D_
[KEY_FIGURES].[].[ZCONSENSUSDEMANDQTY]_x000D_
[LOCID].[].[0001004692]_x000D_
[PRDID].[].[20000911]_x000D_
[KEY_FIGURES].[].[ZINPUTSOFC]_x000D_
[LOCID].[].[0001004692]_x000D_
[PRDID].[].[20000911]_x000D_
[KEY_FIGURES].[].[ZFORECASTOPENOUTPUT]_x000D_
[LOCID].[].[0001004692]_x000D_
[PRDID].[].[20000911]_x000D_
[KEY_FIGURES].[].[ZACTUALSALES]_x000D_
[LOCID].[].[0001004692]_x000D_
[PRDID].[].[20000911]_x000D_
[KEY_FIGURES].[].[ZCONSENSUSDEMAND]_x000D_
[LOCID].[].[0001004692]_x000D_
[PRDID].[].[20000911]_x000D_
[KEY_FIGURES].[].[INDEPENDENTDEMAND]_x000D_
[LOCID].[].[0001004692]_x000D_
[PRDID].[].[20000919]_x000D_
[KEY_FIGURES].[].[ZCONSENSUSDEMANDQTY]_x000D_
[LOCID].[].[0001004692]_x000D_
[PRDID].[].[20000919]_x000D_
[KEY_FIGURES].[].[ZINPUTSOFC]_x000D_
[LOCID].[].[0001004692]_x000D_
[PRDID].[].[20000919]_x000D_
[KEY_FIGURES].[].[ZFORECASTOPENOUTPUT]_x000D_
[LOCID].[].[0001004692]_x000D_
[PRDID].[].[20000919]_x000D_
[KEY_FIGURES].[].[ZACTUALSALES]_x000D_
[LOCID].[].[0001004692]_x000D_
[PRDID].[].[20000919]_x000D_
[KEY_FIGURES].[].[ZCONSENSUSDEMAND]_x000D_
[LOCID].[].[0001004692]_x000D_
[PRDID].[].[20000919]_x000D_
[KEY_FIGURES].[].[INDEPENDENTDEMAND]</t>
  </si>
  <si>
    <t>[LOCID].[].[0001004692]_x000D_
[PRDID].[].[20000920]_x000D_
[KEY_FIGURES].[].[ZCONSENSUSDEMANDQTY]_x000D_
[LOCID].[].[0001004692]_x000D_
[PRDID].[].[20000920]_x000D_
[KEY_FIGURES].[].[ZINPUTSOFC]_x000D_
[LOCID].[].[0001004692]_x000D_
[PRDID].[].[20000920]_x000D_
[KEY_FIGURES].[].[ZFORECASTOPENOUTPUT]_x000D_
[LOCID].[].[0001004692]_x000D_
[PRDID].[].[20000920]_x000D_
[KEY_FIGURES].[].[ZACTUALSALES]_x000D_
[LOCID].[].[0001004692]_x000D_
[PRDID].[].[20000920]_x000D_
[KEY_FIGURES].[].[ZCONSENSUSDEMAND]_x000D_
[LOCID].[].[0001004692]_x000D_
[PRDID].[].[20000920]_x000D_
[KEY_FIGURES].[].[INDEPENDENTDEMAND]_x000D_
[LOCID].[].[0001004692]_x000D_
[PRDID].[].[20000929]_x000D_
[KEY_FIGURES].[].[ZCONSENSUSDEMANDQTY]_x000D_
[LOCID].[].[0001004692]_x000D_
[PRDID].[].[20000929]_x000D_
[KEY_FIGURES].[].[ZINPUTSOFC]_x000D_
[LOCID].[].[0001004692]_x000D_
[PRDID].[].[20000929]_x000D_
[KEY_FIGURES].[].[ZFORECASTOPENOUTPUT]_x000D_
[LOCID].[].[0001004692]_x000D_
[PRDID].[].[20000929]_x000D_
[KEY_FIGURES].[].[ZACTUALSALES]_x000D_
[LOCID].[].[0001004692]_x000D_
[PRDID].[].[20000929]_x000D_
[KEY_FIGURES].[].[ZCONSENSUSDEMAND]_x000D_
[LOCID].[].[0001004692]_x000D_
[PRDID].[].[20000929]_x000D_
[KEY_FIGURES].[].[INDEPENDENTDEMAND]_x000D_
[LOCID].[].[0001004692]_x000D_
[PRDID].[].[20000930]_x000D_
[KEY_FIGURES].[].[ZCONSENSUSDEMANDQTY]_x000D_
[LOCID].[].[0001004692]_x000D_
[PRDID].[].[20000930]_x000D_
[KEY_FIGURES].[].[ZINPUTSOFC]_x000D_
[LOCID].[].[0001004692]_x000D_
[PRDID].[].[20000930]_x000D_
[KEY_FIGURES].[].[ZFORECASTOPENOUTPUT]_x000D_
[LOCID].[].[0001004692]_x000D_
[PRDID].[].[20000930]_x000D_
[KEY_FIGURES].[].[ZACTUALSALES]_x000D_
[LOCID].[].[0001004692]_x000D_
[PRDID].[].[20000930]_x000D_
[KEY_FIGURES].[].[ZCONSENSUSDEMAND]_x000D_
[LOCID].[].[0001004692]_x000D_
[PRDID].[].[20000930]_x000D_
[KEY_FIGURES].[].[INDEPENDENTDEMAND]_x000D_
[LOCID].[].[0001004692]_x000D_
[PRDID].[].[20000942]_x000D_
[KEY_FIGURES].[].[ZCONSENSUSDEMANDQTY]_x000D_
[LOCID].[].[0001004692]_x000D_
[PRDID].[].[20000942]_x000D_
[KEY_FIGURES].[].[ZINPUTSOFC]_x000D_
[LOCID].[].[0001004692]_x000D_
[PRDID].[].[20000942]_x000D_
[KEY_FIGURES].[].[ZFORECASTOPENOUTPUT]_x000D_
[LOCID].[].[0001004692]_x000D_
[PRDID].[].[20000942]_x000D_
[KEY_FIGURES].[].[ZACTUALSALES]_x000D_
[LOCID].[].[0001004692]_x000D_
[PRDID].[].[20000942]_x000D_
[KEY_FIGURES].[].[ZCONSENSUSDEMAND]_x000D_
[LOCID].[].[0001004692]_x000D_
[PRDID].[].[20000942]_x000D_
[KEY_FIGURES].[].[INDEPENDENTDEMAND]_x000D_
[LOCID].[].[0001004705]_x000D_
[PRDID].[].[20000068]_x000D_
[KEY_FIGURES].[].[ZCONSENSUSDEMANDQTY]_x000D_
[LOCID].[].[0001004705]_x000D_
[PRDID].[].[20000068]_x000D_
[KEY_FIGURES].[].[ZINPUTSOFC]_x000D_
[LOCID].[].[0001004705]_x000D_
[PRDID].[].[20000068]_x000D_
[KEY_FIGURES].[].[ZFORECASTOPENOUTPUT]_x000D_
[LOCID].[].[0001004705]_x000D_
[PRDID].[].[20000068]_x000D_
[KEY_FIGURES].[].[ZACTUALSALES]_x000D_
[LOCID].[].[0001004705]_x000D_
[PRDID].[].[20000068]_x000D_
[KEY_FIGURES].[].[ZCONSENSUSDEMAND]_x000D_
[LOCID].[].[0001004705]_x000D_
[PRDID].[].[20000068]_x000D_
[KEY_FIGURES].[].[INDEPENDENTDEMAND]_x000D_
[LOCID].[].[0001004705]_x000D_
[PRDID].[].[20000069]_x000D_
[KEY_FIGURES].[].[ZCONSENSUSDEMANDQTY]_x000D_
[LOCID].[].[0001004705]_x000D_
[PRDID].[].[20000069]_x000D_
[KEY_FIGURES].[].[ZINPUTSOFC]_x000D_
[LOCID].[].[0001004705]_x000D_
[PRDID].[].[20000069]_x000D_
[KEY_FIGURES].[].[ZFORECASTOPENOUTPUT]_x000D_
[LOCID].[].[0001004705]_x000D_
[PRDID].[].[20000069]_x000D_
[KEY_FIGURES].[].[ZACTUALSALES]_x000D_
[LOCID].[].[0001004705]_x000D_
[PRDID].[].[20000069]_x000D_
[KEY_FIGURES].[].[ZCONSENSUSDEMAND]_x000D_
[LOCID].[].[0001004705]_x000D_
[PRDID].[].[20000069]_x000D_
[KEY_FIGURES].[].[INDEPENDENTDEMAND]_x000D_
[LOCID].[].[0001004705]_x000D_
[PRDID].[].[20000070]_x000D_
[KEY_FIGURES].[].[ZCONSENSUSDEMANDQTY]_x000D_
[LOCID].[].[0001004705]_x000D_
[PRDID].[].[20000070]_x000D_
[KEY_FIGURES].[].[ZINPUTSOFC]_x000D_
[LOCID].[].[0001004705]_x000D_
[PRDID].[].[20000070]_x000D_
[KEY_FIGURES].[].[ZFORECASTOPENOUTPUT]_x000D_
[LOCID].[].[0001004705]_x000D_
[PRDID].[].[20000070]_x000D_
[KEY_FIGURES].[].[ZACTUALSALES]_x000D_
[LOCID].[].[0001004705]_x000D_
[PRDID].[].[20000070]_x000D_
[KEY_FIGURES].[].[ZCONSENSUSDEMAND]_x000D_
[LOCID].[].[0001004705]_x000D_
[PRDID].[].[20000070]_x000D_
[KEY_FIGURES].[].[INDEPENDENTDEMAND]_x000D_
[LOCID].[].[0001004705]_x000D_
[PRDID].[].[20000071]_x000D_
[KEY_FIGURES].[].[ZCONSENSUSDEMANDQTY]_x000D_
[LOCID].[].[0001004705]_x000D_
[PRDID].[].[20000071]_x000D_
[KEY_FIGURES].[].[ZINPUTSOFC]_x000D_
[LOCID].[].[0001004705]_x000D_
[PRDID].[].[20000071]_x000D_
[KEY_FIGURES].[].[ZFORECASTOPENOUTPUT]_x000D_
[LOCID].[].[0001004705]_x000D_
[PRDID].[].[20000071]_x000D_
[KEY_FIGURES].[].[ZACTUALSALES]_x000D_
[LOCID].[].[0001004705]_x000D_
[PRDID].[].[20000071]_x000D_
[KEY_FIGURES].[].[ZCONSENSUSDEMAND]_x000D_
[LOCID].[].[0001004705]_x000D_
[PRDID].[].[20000071]_x000D_
[KEY_FIGURES].[].[INDEPENDENTDEMAND]_x000D_
[LOCID].[].[0001004705]_x000D_
[PRDID].[].[20000072]_x000D_
[KEY_FIGURES].[].[ZCONSENSUSDEMANDQTY]_x000D_
[LOCID].[].[0001004705]_x000D_
[PRDID].[].[20000072]_x000D_
[KEY_FIGURES].[].[ZINPUTSOFC]_x000D_
[LOCID].[].[0001004705]_x000D_
[PRDID].[].[20000072]_x000D_
[KEY_FIGURES].[].[ZFORECASTOPENOUTPUT]_x000D_
[LOCID].[].[0001004705]_x000D_
[PRDID].[].[20000072]_x000D_
[KEY_FIGURES].[].[ZACTUALSALES]_x000D_
[LOCID].[].[0001004705]_x000D_
[PRDID].[].[20000072]_x000D_
[KEY_FIGURES].[].[ZCONSENSUSDEMAND]_x000D_
[LOCID].[].[0001004705]_x000D_
[PRDID].[].[20000072]_x000D_
[KEY_FIGURES].[].[INDEPENDENTDEMAND]_x000D_
[LOCID].[].[0001004705]_x000D_
[PRDID].[].[20000073]_x000D_
[KEY_FIGURES].[].[ZCONSENSUSDEMANDQTY]_x000D_
[LOCID].[].[0001004705]_x000D_
[PRDID].[].[20000073]_x000D_
[KEY_FIGURES].[].[ZINPUTSOFC]_x000D_
[LOCID].[].[0001004705]_x000D_
[PRDID].[].[20000073]_x000D_
[KEY_FIGURES].[].[ZFORECASTOPENOUTPUT]_x000D_
[LOCID].[].[0001004705]_x000D_
[PRDID].[].[20000073]_x000D_
[KEY_FIGURES].[].[ZACTUALSALES]_x000D_
[LOCID].[].[0001004705]_x000D_
[PRDID].[].[20000073]_x000D_
[KEY_FIGURES].[].[ZCONSENSUSDEMAND]_x000D_
[LOCID].[].[0001004705]_x000D_
[PRDID].[].[20000073]_x000D_
[KEY_FIGURES].[].[INDEPENDENTDEMAND]_x000D_
[LOCID].[].[0001004705]_x000D_
[PRDID].[].[20000074]_x000D_
[KEY_FIGURES].[].[ZCONSENSUSDEMANDQTY]_x000D_
[LOCID].[].[0001004705]_x000D_
[PRDID].[].[20000074]_x000D_
[KEY_FIGURES].[].[ZINPUTSOFC]_x000D_
[LOCID].[].[0001004705]_x000D_
[PRDID].[].[20000074]_x000D_
[KEY_FIGURES].[].[ZFORECASTOPENOUTPUT]_x000D_
[LOCID].[].[0001004705]_x000D_
[PRDID].[].[20000074]_x000D_
[KEY_FIGURES].[].[ZACTUALSALES]_x000D_
[LOCID].[].[0001004705]_x000D_
[PRDID].[].[20000074]_x000D_
[KEY_FIGURES].[].[ZCONSENSUSDEMAND]_x000D_
[LOCID].[].[0001004705]_x000D_
[PRDID].[].[20000074]_x000D_
[KEY_FIGURES].[].[INDEPENDENTDEMAND]_x000D_
[LOCID].[].[0001004705]_x000D_
[PRDID].[].[20000078]</t>
  </si>
  <si>
    <t>[KEY_FIGURES].[].[ZCONSENSUSDEMANDQTY]_x000D_
[LOCID].[].[0001004705]_x000D_
[PRDID].[].[20000078]_x000D_
[KEY_FIGURES].[].[ZINPUTSOFC]_x000D_
[LOCID].[].[0001004705]_x000D_
[PRDID].[].[20000078]_x000D_
[KEY_FIGURES].[].[ZFORECASTOPENOUTPUT]_x000D_
[LOCID].[].[0001004705]_x000D_
[PRDID].[].[20000078]_x000D_
[KEY_FIGURES].[].[ZACTUALSALES]_x000D_
[LOCID].[].[0001004705]_x000D_
[PRDID].[].[20000078]_x000D_
[KEY_FIGURES].[].[ZCONSENSUSDEMAND]_x000D_
[LOCID].[].[0001004705]_x000D_
[PRDID].[].[20000078]_x000D_
[KEY_FIGURES].[].[INDEPENDENTDEMAND]_x000D_
[LOCID].[].[0001004705]_x000D_
[PRDID].[].[20000086]_x000D_
[KEY_FIGURES].[].[ZCONSENSUSDEMANDQTY]_x000D_
[LOCID].[].[0001004705]_x000D_
[PRDID].[].[20000086]_x000D_
[KEY_FIGURES].[].[ZINPUTSOFC]_x000D_
[LOCID].[].[0001004705]_x000D_
[PRDID].[].[20000086]_x000D_
[KEY_FIGURES].[].[ZFORECASTOPENOUTPUT]_x000D_
[LOCID].[].[0001004705]_x000D_
[PRDID].[].[20000086]_x000D_
[KEY_FIGURES].[].[ZACTUALSALES]_x000D_
[LOCID].[].[0001004705]_x000D_
[PRDID].[].[20000086]_x000D_
[KEY_FIGURES].[].[ZCONSENSUSDEMAND]_x000D_
[LOCID].[].[0001004705]_x000D_
[PRDID].[].[20000086]_x000D_
[KEY_FIGURES].[].[INDEPENDENTDEMAND]_x000D_
[LOCID].[].[0001004705]_x000D_
[PRDID].[].[20000131]_x000D_
[KEY_FIGURES].[].[ZCONSENSUSDEMANDQTY]_x000D_
[LOCID].[].[0001004705]_x000D_
[PRDID].[].[20000131]_x000D_
[KEY_FIGURES].[].[ZINPUTSOFC]_x000D_
[LOCID].[].[0001004705]_x000D_
[PRDID].[].[20000131]_x000D_
[KEY_FIGURES].[].[ZFORECASTOPENOUTPUT]_x000D_
[LOCID].[].[0001004705]_x000D_
[PRDID].[].[20000131]_x000D_
[KEY_FIGURES].[].[ZACTUALSALES]_x000D_
[LOCID].[].[0001004705]_x000D_
[PRDID].[].[20000131]_x000D_
[KEY_FIGURES].[].[ZCONSENSUSDEMAND]_x000D_
[LOCID].[].[0001004705]_x000D_
[PRDID].[].[20000131]_x000D_
[KEY_FIGURES].[].[INDEPENDENTDEMAND]_x000D_
[LOCID].[].[0001004705]_x000D_
[PRDID].[].[20000132]_x000D_
[KEY_FIGURES].[].[ZCONSENSUSDEMANDQTY]_x000D_
[LOCID].[].[0001004705]_x000D_
[PRDID].[].[20000132]_x000D_
[KEY_FIGURES].[].[ZINPUTSOFC]_x000D_
[LOCID].[].[0001004705]_x000D_
[PRDID].[].[20000132]_x000D_
[KEY_FIGURES].[].[ZFORECASTOPENOUTPUT]_x000D_
[LOCID].[].[0001004705]_x000D_
[PRDID].[].[20000132]_x000D_
[KEY_FIGURES].[].[ZACTUALSALES]_x000D_
[LOCID].[].[0001004705]_x000D_
[PRDID].[].[20000132]_x000D_
[KEY_FIGURES].[].[ZCONSENSUSDEMAND]_x000D_
[LOCID].[].[0001004705]_x000D_
[PRDID].[].[20000132]_x000D_
[KEY_FIGURES].[].[INDEPENDENTDEMAND]_x000D_
[LOCID].[].[0001004705]_x000D_
[PRDID].[].[20000133]_x000D_
[KEY_FIGURES].[].[ZCONSENSUSDEMANDQTY]_x000D_
[LOCID].[].[0001004705]_x000D_
[PRDID].[].[20000133]_x000D_
[KEY_FIGURES].[].[ZINPUTSOFC]_x000D_
[LOCID].[].[0001004705]_x000D_
[PRDID].[].[20000133]_x000D_
[KEY_FIGURES].[].[ZFORECASTOPENOUTPUT]_x000D_
[LOCID].[].[0001004705]_x000D_
[PRDID].[].[20000133]_x000D_
[KEY_FIGURES].[].[ZACTUALSALES]_x000D_
[LOCID].[].[0001004705]_x000D_
[PRDID].[].[20000133]_x000D_
[KEY_FIGURES].[].[ZCONSENSUSDEMAND]_x000D_
[LOCID].[].[0001004705]_x000D_
[PRDID].[].[20000133]_x000D_
[KEY_FIGURES].[].[INDEPENDENTDEMAND]_x000D_
[LOCID].[].[0001004705]_x000D_
[PRDID].[].[20000136]_x000D_
[KEY_FIGURES].[].[ZCONSENSUSDEMANDQTY]_x000D_
[LOCID].[].[0001004705]_x000D_
[PRDID].[].[20000136]_x000D_
[KEY_FIGURES].[].[ZINPUTSOFC]_x000D_
[LOCID].[].[0001004705]_x000D_
[PRDID].[].[20000136]_x000D_
[KEY_FIGURES].[].[ZFORECASTOPENOUTPUT]_x000D_
[LOCID].[].[0001004705]_x000D_
[PRDID].[].[20000136]_x000D_
[KEY_FIGURES].[].[ZACTUALSALES]_x000D_
[LOCID].[].[0001004705]_x000D_
[PRDID].[].[20000136]_x000D_
[KEY_FIGURES].[].[ZCONSENSUSDEMAND]_x000D_
[LOCID].[].[0001004705]_x000D_
[PRDID].[].[20000136]_x000D_
[KEY_FIGURES].[].[INDEPENDENTDEMAND]_x000D_
[LOCID].[].[0001004705]_x000D_
[PRDID].[].[20000137]_x000D_
[KEY_FIGURES].[].[ZCONSENSUSDEMANDQTY]_x000D_
[LOCID].[].[0001004705]_x000D_
[PRDID].[].[20000137]_x000D_
[KEY_FIGURES].[].[ZINPUTSOFC]_x000D_
[LOCID].[].[0001004705]_x000D_
[PRDID].[].[20000137]_x000D_
[KEY_FIGURES].[].[ZFORECASTOPENOUTPUT]_x000D_
[LOCID].[].[0001004705]_x000D_
[PRDID].[].[20000137]_x000D_
[KEY_FIGURES].[].[ZACTUALSALES]_x000D_
[LOCID].[].[0001004705]_x000D_
[PRDID].[].[20000137]_x000D_
[KEY_FIGURES].[].[ZCONSENSUSDEMAND]_x000D_
[LOCID].[].[0001004705]_x000D_
[PRDID].[].[20000137]_x000D_
[KEY_FIGURES].[].[INDEPENDENTDEMAND]_x000D_
[LOCID].[].[0001004705]_x000D_
[PRDID].[].[20000142]_x000D_
[KEY_FIGURES].[].[ZCONSENSUSDEMANDQTY]_x000D_
[LOCID].[].[0001004705]_x000D_
[PRDID].[].[20000142]_x000D_
[KEY_FIGURES].[].[ZINPUTSOFC]_x000D_
[LOCID].[].[0001004705]_x000D_
[PRDID].[].[20000142]_x000D_
[KEY_FIGURES].[].[ZFORECASTOPENOUTPUT]_x000D_
[LOCID].[].[0001004705]_x000D_
[PRDID].[].[20000142]_x000D_
[KEY_FIGURES].[].[ZACTUALSALES]_x000D_
[LOCID].[].[0001004705]_x000D_
[PRDID].[].[20000142]_x000D_
[KEY_FIGURES].[].[ZCONSENSUSDEMAND]_x000D_
[LOCID].[].[0001004705]_x000D_
[PRDID].[].[20000142]_x000D_
[KEY_FIGURES].[].[INDEPENDENTDEMAND]_x000D_
[LOCID].[].[0001004705]_x000D_
[PRDID].[].[20000143]_x000D_
[KEY_FIGURES].[].[ZCONSENSUSDEMANDQTY]_x000D_
[LOCID].[].[0001004705]_x000D_
[PRDID].[].[20000143]_x000D_
[KEY_FIGURES].[].[ZINPUTSOFC]_x000D_
[LOCID].[].[0001004705]_x000D_
[PRDID].[].[20000143]_x000D_
[KEY_FIGURES].[].[ZFORECASTOPENOUTPUT]_x000D_
[LOCID].[].[0001004705]_x000D_
[PRDID].[].[20000143]_x000D_
[KEY_FIGURES].[].[ZACTUALSALES]_x000D_
[LOCID].[].[0001004705]_x000D_
[PRDID].[].[20000143]_x000D_
[KEY_FIGURES].[].[ZCONSENSUSDEMAND]_x000D_
[LOCID].[].[0001004705]_x000D_
[PRDID].[].[20000143]_x000D_
[KEY_FIGURES].[].[INDEPENDENTDEMAND]_x000D_
[LOCID].[].[0001004705]_x000D_
[PRDID].[].[20000153]_x000D_
[KEY_FIGURES].[].[ZCONSENSUSDEMANDQTY]_x000D_
[LOCID].[].[0001004705]_x000D_
[PRDID].[].[20000153]_x000D_
[KEY_FIGURES].[].[ZINPUTSOFC]_x000D_
[LOCID].[].[0001004705]_x000D_
[PRDID].[].[20000153]_x000D_
[KEY_FIGURES].[].[ZFORECASTOPENOUTPUT]_x000D_
[LOCID].[].[0001004705]_x000D_
[PRDID].[].[20000153]_x000D_
[KEY_FIGURES].[].[ZACTUALSALES]_x000D_
[LOCID].[].[0001004705]_x000D_
[PRDID].[].[20000153]_x000D_
[KEY_FIGURES].[].[ZCONSENSUSDEMAND]_x000D_
[LOCID].[].[0001004705]_x000D_
[PRDID].[].[20000153]_x000D_
[KEY_FIGURES].[].[INDEPENDENTDEMAND]_x000D_
[LOCID].[].[0001004705]_x000D_
[PRDID].[].[20000213]_x000D_
[KEY_FIGURES].[].[ZCONSENSUSDEMANDQTY]_x000D_
[LOCID].[].[0001004705]_x000D_
[PRDID].[].[20000213]_x000D_
[KEY_FIGURES].[].[ZINPUTSOFC]_x000D_
[LOCID].[].[0001004705]_x000D_
[PRDID].[].[20000213]_x000D_
[KEY_FIGURES].[].[ZFORECASTOPENOUTPUT]_x000D_
[LOCID].[].[0001004705]_x000D_
[PRDID].[].[20000213]_x000D_
[KEY_FIGURES].[].[ZACTUALSALES]_x000D_
[LOCID].[].[0001004705]_x000D_
[PRDID].[].[20000213]_x000D_
[KEY_FIGURES].[].[ZCONSENSUSDEMAND]_x000D_
[LOCID].[].[0001004705]_x000D_
[PRDID].[].[20000213]_x000D_
[KEY_FIGURES].[].[INDEPENDENTDEMAND]_x000D_
[LOCID].[].[0001004705]_x000D_
[PRDID].[].[20000214]_x000D_
[KEY_FIGURES].[].[ZCONSENSUSDEMANDQTY]_x000D_
[LOCID].[].[0001004705]</t>
  </si>
  <si>
    <t>[PRDID].[].[20000214]_x000D_
[KEY_FIGURES].[].[ZINPUTSOFC]_x000D_
[LOCID].[].[0001004705]_x000D_
[PRDID].[].[20000214]_x000D_
[KEY_FIGURES].[].[ZFORECASTOPENOUTPUT]_x000D_
[LOCID].[].[0001004705]_x000D_
[PRDID].[].[20000214]_x000D_
[KEY_FIGURES].[].[ZACTUALSALES]_x000D_
[LOCID].[].[0001004705]_x000D_
[PRDID].[].[20000214]_x000D_
[KEY_FIGURES].[].[ZCONSENSUSDEMAND]_x000D_
[LOCID].[].[0001004705]_x000D_
[PRDID].[].[20000214]_x000D_
[KEY_FIGURES].[].[INDEPENDENTDEMAND]_x000D_
[LOCID].[].[0001004705]_x000D_
[PRDID].[].[20000215]_x000D_
[KEY_FIGURES].[].[ZCONSENSUSDEMANDQTY]_x000D_
[LOCID].[].[0001004705]_x000D_
[PRDID].[].[20000215]_x000D_
[KEY_FIGURES].[].[ZINPUTSOFC]_x000D_
[LOCID].[].[0001004705]_x000D_
[PRDID].[].[20000215]_x000D_
[KEY_FIGURES].[].[ZFORECASTOPENOUTPUT]_x000D_
[LOCID].[].[0001004705]_x000D_
[PRDID].[].[20000215]_x000D_
[KEY_FIGURES].[].[ZACTUALSALES]_x000D_
[LOCID].[].[0001004705]_x000D_
[PRDID].[].[20000215]_x000D_
[KEY_FIGURES].[].[ZCONSENSUSDEMAND]_x000D_
[LOCID].[].[0001004705]_x000D_
[PRDID].[].[20000215]_x000D_
[KEY_FIGURES].[].[INDEPENDENTDEMAND]_x000D_
[LOCID].[].[0001004705]_x000D_
[PRDID].[].[20000216]_x000D_
[KEY_FIGURES].[].[ZCONSENSUSDEMANDQTY]_x000D_
[LOCID].[].[0001004705]_x000D_
[PRDID].[].[20000216]_x000D_
[KEY_FIGURES].[].[ZINPUTSOFC]_x000D_
[LOCID].[].[0001004705]_x000D_
[PRDID].[].[20000216]_x000D_
[KEY_FIGURES].[].[ZFORECASTOPENOUTPUT]_x000D_
[LOCID].[].[0001004705]_x000D_
[PRDID].[].[20000216]_x000D_
[KEY_FIGURES].[].[ZACTUALSALES]_x000D_
[LOCID].[].[0001004705]_x000D_
[PRDID].[].[20000216]_x000D_
[KEY_FIGURES].[].[ZCONSENSUSDEMAND]_x000D_
[LOCID].[].[0001004705]_x000D_
[PRDID].[].[20000216]_x000D_
[KEY_FIGURES].[].[INDEPENDENTDEMAND]_x000D_
[LOCID].[].[0001004705]_x000D_
[PRDID].[].[20000238]_x000D_
[KEY_FIGURES].[].[ZCONSENSUSDEMANDQTY]_x000D_
[LOCID].[].[0001004705]_x000D_
[PRDID].[].[20000238]_x000D_
[KEY_FIGURES].[].[ZINPUTSOFC]_x000D_
[LOCID].[].[0001004705]_x000D_
[PRDID].[].[20000238]_x000D_
[KEY_FIGURES].[].[ZFORECASTOPENOUTPUT]_x000D_
[LOCID].[].[0001004705]_x000D_
[PRDID].[].[20000238]_x000D_
[KEY_FIGURES].[].[ZACTUALSALES]_x000D_
[LOCID].[].[0001004705]_x000D_
[PRDID].[].[20000238]_x000D_
[KEY_FIGURES].[].[ZCONSENSUSDEMAND]_x000D_
[LOCID].[].[0001004705]_x000D_
[PRDID].[].[20000238]_x000D_
[KEY_FIGURES].[].[INDEPENDENTDEMAND]_x000D_
[LOCID].[].[0001004705]_x000D_
[PRDID].[].[20000247]_x000D_
[KEY_FIGURES].[].[ZCONSENSUSDEMANDQTY]_x000D_
[LOCID].[].[0001004705]_x000D_
[PRDID].[].[20000247]_x000D_
[KEY_FIGURES].[].[ZINPUTSOFC]_x000D_
[LOCID].[].[0001004705]_x000D_
[PRDID].[].[20000247]_x000D_
[KEY_FIGURES].[].[ZFORECASTOPENOUTPUT]_x000D_
[LOCID].[].[0001004705]_x000D_
[PRDID].[].[20000247]_x000D_
[KEY_FIGURES].[].[ZACTUALSALES]_x000D_
[LOCID].[].[0001004705]_x000D_
[PRDID].[].[20000247]_x000D_
[KEY_FIGURES].[].[ZCONSENSUSDEMAND]_x000D_
[LOCID].[].[0001004705]_x000D_
[PRDID].[].[20000247]_x000D_
[KEY_FIGURES].[].[INDEPENDENTDEMAND]_x000D_
[LOCID].[].[0001004705]_x000D_
[PRDID].[].[20000248]_x000D_
[KEY_FIGURES].[].[ZCONSENSUSDEMANDQTY]_x000D_
[LOCID].[].[0001004705]_x000D_
[PRDID].[].[20000248]_x000D_
[KEY_FIGURES].[].[ZINPUTSOFC]_x000D_
[LOCID].[].[0001004705]_x000D_
[PRDID].[].[20000248]_x000D_
[KEY_FIGURES].[].[ZFORECASTOPENOUTPUT]_x000D_
[LOCID].[].[0001004705]_x000D_
[PRDID].[].[20000248]_x000D_
[KEY_FIGURES].[].[ZACTUALSALES]_x000D_
[LOCID].[].[0001004705]_x000D_
[PRDID].[].[20000248]_x000D_
[KEY_FIGURES].[].[ZCONSENSUSDEMAND]_x000D_
[LOCID].[].[0001004705]_x000D_
[PRDID].[].[20000248]_x000D_
[KEY_FIGURES].[].[INDEPENDENTDEMAND]_x000D_
[LOCID].[].[0001004705]_x000D_
[PRDID].[].[20000251]_x000D_
[KEY_FIGURES].[].[ZCONSENSUSDEMANDQTY]_x000D_
[LOCID].[].[0001004705]_x000D_
[PRDID].[].[20000251]_x000D_
[KEY_FIGURES].[].[ZINPUTSOFC]_x000D_
[LOCID].[].[0001004705]_x000D_
[PRDID].[].[20000251]_x000D_
[KEY_FIGURES].[].[ZFORECASTOPENOUTPUT]_x000D_
[LOCID].[].[0001004705]_x000D_
[PRDID].[].[20000251]_x000D_
[KEY_FIGURES].[].[ZACTUALSALES]_x000D_
[LOCID].[].[0001004705]_x000D_
[PRDID].[].[20000251]_x000D_
[KEY_FIGURES].[].[ZCONSENSUSDEMAND]_x000D_
[LOCID].[].[0001004705]_x000D_
[PRDID].[].[20000251]_x000D_
[KEY_FIGURES].[].[INDEPENDENTDEMAND]_x000D_
[LOCID].[].[0001004705]_x000D_
[PRDID].[].[20000262]_x000D_
[KEY_FIGURES].[].[ZCONSENSUSDEMANDQTY]_x000D_
[LOCID].[].[0001004705]_x000D_
[PRDID].[].[20000262]_x000D_
[KEY_FIGURES].[].[ZINPUTSOFC]_x000D_
[LOCID].[].[0001004705]_x000D_
[PRDID].[].[20000262]_x000D_
[KEY_FIGURES].[].[ZFORECASTOPENOUTPUT]_x000D_
[LOCID].[].[0001004705]_x000D_
[PRDID].[].[20000262]_x000D_
[KEY_FIGURES].[].[ZACTUALSALES]_x000D_
[LOCID].[].[0001004705]_x000D_
[PRDID].[].[20000262]_x000D_
[KEY_FIGURES].[].[ZCONSENSUSDEMAND]_x000D_
[LOCID].[].[0001004705]_x000D_
[PRDID].[].[20000262]_x000D_
[KEY_FIGURES].[].[INDEPENDENTDEMAND]_x000D_
[LOCID].[].[0001004705]_x000D_
[PRDID].[].[20000263]_x000D_
[KEY_FIGURES].[].[ZCONSENSUSDEMANDQTY]_x000D_
[LOCID].[].[0001004705]_x000D_
[PRDID].[].[20000263]_x000D_
[KEY_FIGURES].[].[ZINPUTSOFC]_x000D_
[LOCID].[].[0001004705]_x000D_
[PRDID].[].[20000263]_x000D_
[KEY_FIGURES].[].[ZFORECASTOPENOUTPUT]_x000D_
[LOCID].[].[0001004705]_x000D_
[PRDID].[].[20000263]_x000D_
[KEY_FIGURES].[].[ZACTUALSALES]_x000D_
[LOCID].[].[0001004705]_x000D_
[PRDID].[].[20000263]_x000D_
[KEY_FIGURES].[].[ZCONSENSUSDEMAND]_x000D_
[LOCID].[].[0001004705]_x000D_
[PRDID].[].[20000263]_x000D_
[KEY_FIGURES].[].[INDEPENDENTDEMAND]_x000D_
[LOCID].[].[0001004705]_x000D_
[PRDID].[].[20000348]_x000D_
[KEY_FIGURES].[].[ZCONSENSUSDEMANDQTY]_x000D_
[LOCID].[].[0001004705]_x000D_
[PRDID].[].[20000348]_x000D_
[KEY_FIGURES].[].[ZINPUTSOFC]_x000D_
[LOCID].[].[0001004705]_x000D_
[PRDID].[].[20000348]_x000D_
[KEY_FIGURES].[].[ZFORECASTOPENOUTPUT]_x000D_
[LOCID].[].[0001004705]_x000D_
[PRDID].[].[20000348]_x000D_
[KEY_FIGURES].[].[ZACTUALSALES]_x000D_
[LOCID].[].[0001004705]_x000D_
[PRDID].[].[20000348]_x000D_
[KEY_FIGURES].[].[ZCONSENSUSDEMAND]_x000D_
[LOCID].[].[0001004705]_x000D_
[PRDID].[].[20000348]_x000D_
[KEY_FIGURES].[].[INDEPENDENTDEMAND]_x000D_
[LOCID].[].[0001004705]_x000D_
[PRDID].[].[20000365]_x000D_
[KEY_FIGURES].[].[ZCONSENSUSDEMANDQTY]_x000D_
[LOCID].[].[0001004705]_x000D_
[PRDID].[].[20000365]_x000D_
[KEY_FIGURES].[].[ZINPUTSOFC]_x000D_
[LOCID].[].[0001004705]_x000D_
[PRDID].[].[20000365]_x000D_
[KEY_FIGURES].[].[ZFORECASTOPENOUTPUT]_x000D_
[LOCID].[].[0001004705]_x000D_
[PRDID].[].[20000365]_x000D_
[KEY_FIGURES].[].[ZACTUALSALES]_x000D_
[LOCID].[].[0001004705]_x000D_
[PRDID].[].[20000365]_x000D_
[KEY_FIGURES].[].[ZCONSENSUSDEMAND]_x000D_
[LOCID].[].[0001004705]_x000D_
[PRDID].[].[20000365]_x000D_
[KEY_FIGURES].[].[INDEPENDENTDEMAND]_x000D_
[LOCID].[].[0001004705]_x000D_
[PRDID].[].[20000366]_x000D_
[KEY_FIGURES].[].[ZCONSENSUSDEMANDQTY]_x000D_
[LOCID].[].[0001004705]_x000D_
[PRDID].[].[20000366]_x000D_
[KEY_FIGURES].[].[ZINPUTSOFC]</t>
  </si>
  <si>
    <t>[LOCID].[].[0001004705]_x000D_
[PRDID].[].[20000366]_x000D_
[KEY_FIGURES].[].[ZFORECASTOPENOUTPUT]_x000D_
[LOCID].[].[0001004705]_x000D_
[PRDID].[].[20000366]_x000D_
[KEY_FIGURES].[].[ZACTUALSALES]_x000D_
[LOCID].[].[0001004705]_x000D_
[PRDID].[].[20000366]_x000D_
[KEY_FIGURES].[].[ZCONSENSUSDEMAND]_x000D_
[LOCID].[].[0001004705]_x000D_
[PRDID].[].[20000366]_x000D_
[KEY_FIGURES].[].[INDEPENDENTDEMAND]_x000D_
[LOCID].[].[0001004705]_x000D_
[PRDID].[].[20000367]_x000D_
[KEY_FIGURES].[].[ZCONSENSUSDEMANDQTY]_x000D_
[LOCID].[].[0001004705]_x000D_
[PRDID].[].[20000367]_x000D_
[KEY_FIGURES].[].[ZINPUTSOFC]_x000D_
[LOCID].[].[0001004705]_x000D_
[PRDID].[].[20000367]_x000D_
[KEY_FIGURES].[].[ZFORECASTOPENOUTPUT]_x000D_
[LOCID].[].[0001004705]_x000D_
[PRDID].[].[20000367]_x000D_
[KEY_FIGURES].[].[ZACTUALSALES]_x000D_
[LOCID].[].[0001004705]_x000D_
[PRDID].[].[20000367]_x000D_
[KEY_FIGURES].[].[ZCONSENSUSDEMAND]_x000D_
[LOCID].[].[0001004705]_x000D_
[PRDID].[].[20000367]_x000D_
[KEY_FIGURES].[].[INDEPENDENTDEMAND]_x000D_
[LOCID].[].[0001004705]_x000D_
[PRDID].[].[20000368]_x000D_
[KEY_FIGURES].[].[ZCONSENSUSDEMANDQTY]_x000D_
[LOCID].[].[0001004705]_x000D_
[PRDID].[].[20000368]_x000D_
[KEY_FIGURES].[].[ZINPUTSOFC]_x000D_
[LOCID].[].[0001004705]_x000D_
[PRDID].[].[20000368]_x000D_
[KEY_FIGURES].[].[ZFORECASTOPENOUTPUT]_x000D_
[LOCID].[].[0001004705]_x000D_
[PRDID].[].[20000368]_x000D_
[KEY_FIGURES].[].[ZACTUALSALES]_x000D_
[LOCID].[].[0001004705]_x000D_
[PRDID].[].[20000368]_x000D_
[KEY_FIGURES].[].[ZCONSENSUSDEMAND]_x000D_
[LOCID].[].[0001004705]_x000D_
[PRDID].[].[20000368]_x000D_
[KEY_FIGURES].[].[INDEPENDENTDEMAND]_x000D_
[LOCID].[].[0001004705]_x000D_
[PRDID].[].[20000571]_x000D_
[KEY_FIGURES].[].[ZCONSENSUSDEMANDQTY]_x000D_
[LOCID].[].[0001004705]_x000D_
[PRDID].[].[20000571]_x000D_
[KEY_FIGURES].[].[ZINPUTSOFC]_x000D_
[LOCID].[].[0001004705]_x000D_
[PRDID].[].[20000571]_x000D_
[KEY_FIGURES].[].[ZFORECASTOPENOUTPUT]_x000D_
[LOCID].[].[0001004705]_x000D_
[PRDID].[].[20000571]_x000D_
[KEY_FIGURES].[].[ZACTUALSALES]_x000D_
[LOCID].[].[0001004705]_x000D_
[PRDID].[].[20000571]_x000D_
[KEY_FIGURES].[].[ZCONSENSUSDEMAND]_x000D_
[LOCID].[].[0001004705]_x000D_
[PRDID].[].[20000571]_x000D_
[KEY_FIGURES].[].[INDEPENDENTDEMAND]_x000D_
[LOCID].[].[0001004705]_x000D_
[PRDID].[].[20000573]_x000D_
[KEY_FIGURES].[].[ZCONSENSUSDEMANDQTY]_x000D_
[LOCID].[].[0001004705]_x000D_
[PRDID].[].[20000573]_x000D_
[KEY_FIGURES].[].[ZINPUTSOFC]_x000D_
[LOCID].[].[0001004705]_x000D_
[PRDID].[].[20000573]_x000D_
[KEY_FIGURES].[].[ZFORECASTOPENOUTPUT]_x000D_
[LOCID].[].[0001004705]_x000D_
[PRDID].[].[20000573]_x000D_
[KEY_FIGURES].[].[ZACTUALSALES]_x000D_
[LOCID].[].[0001004705]_x000D_
[PRDID].[].[20000573]_x000D_
[KEY_FIGURES].[].[ZCONSENSUSDEMAND]_x000D_
[LOCID].[].[0001004705]_x000D_
[PRDID].[].[20000573]_x000D_
[KEY_FIGURES].[].[INDEPENDENTDEMAND]_x000D_
[LOCID].[].[0001004705]_x000D_
[PRDID].[].[20000582]_x000D_
[KEY_FIGURES].[].[ZCONSENSUSDEMANDQTY]_x000D_
[LOCID].[].[0001004705]_x000D_
[PRDID].[].[20000582]_x000D_
[KEY_FIGURES].[].[ZINPUTSOFC]_x000D_
[LOCID].[].[0001004705]_x000D_
[PRDID].[].[20000582]_x000D_
[KEY_FIGURES].[].[ZFORECASTOPENOUTPUT]_x000D_
[LOCID].[].[0001004705]_x000D_
[PRDID].[].[20000582]_x000D_
[KEY_FIGURES].[].[ZACTUALSALES]_x000D_
[LOCID].[].[0001004705]_x000D_
[PRDID].[].[20000582]_x000D_
[KEY_FIGURES].[].[ZCONSENSUSDEMAND]_x000D_
[LOCID].[].[0001004705]_x000D_
[PRDID].[].[20000582]_x000D_
[KEY_FIGURES].[].[INDEPENDENTDEMAND]_x000D_
[LOCID].[].[0001004705]_x000D_
[PRDID].[].[20000583]_x000D_
[KEY_FIGURES].[].[ZCONSENSUSDEMANDQTY]_x000D_
[LOCID].[].[0001004705]_x000D_
[PRDID].[].[20000583]_x000D_
[KEY_FIGURES].[].[ZINPUTSOFC]_x000D_
[LOCID].[].[0001004705]_x000D_
[PRDID].[].[20000583]_x000D_
[KEY_FIGURES].[].[ZFORECASTOPENOUTPUT]_x000D_
[LOCID].[].[0001004705]_x000D_
[PRDID].[].[20000583]_x000D_
[KEY_FIGURES].[].[ZACTUALSALES]_x000D_
[LOCID].[].[0001004705]_x000D_
[PRDID].[].[20000583]_x000D_
[KEY_FIGURES].[].[ZCONSENSUSDEMAND]_x000D_
[LOCID].[].[0001004705]_x000D_
[PRDID].[].[20000583]_x000D_
[KEY_FIGURES].[].[INDEPENDENTDEMAND]_x000D_
[LOCID].[].[0001004705]_x000D_
[PRDID].[].[20000584]_x000D_
[KEY_FIGURES].[].[ZCONSENSUSDEMANDQTY]_x000D_
[LOCID].[].[0001004705]_x000D_
[PRDID].[].[20000584]_x000D_
[KEY_FIGURES].[].[ZINPUTSOFC]_x000D_
[LOCID].[].[0001004705]_x000D_
[PRDID].[].[20000584]_x000D_
[KEY_FIGURES].[].[ZFORECASTOPENOUTPUT]_x000D_
[LOCID].[].[0001004705]_x000D_
[PRDID].[].[20000584]_x000D_
[KEY_FIGURES].[].[ZACTUALSALES]_x000D_
[LOCID].[].[0001004705]_x000D_
[PRDID].[].[20000584]_x000D_
[KEY_FIGURES].[].[ZCONSENSUSDEMAND]_x000D_
[LOCID].[].[0001004705]_x000D_
[PRDID].[].[20000584]_x000D_
[KEY_FIGURES].[].[INDEPENDENTDEMAND]_x000D_
[LOCID].[].[0001004705]_x000D_
[PRDID].[].[20000585]_x000D_
[KEY_FIGURES].[].[ZCONSENSUSDEMANDQTY]_x000D_
[LOCID].[].[0001004705]_x000D_
[PRDID].[].[20000585]_x000D_
[KEY_FIGURES].[].[ZINPUTSOFC]_x000D_
[LOCID].[].[0001004705]_x000D_
[PRDID].[].[20000585]_x000D_
[KEY_FIGURES].[].[ZFORECASTOPENOUTPUT]_x000D_
[LOCID].[].[0001004705]_x000D_
[PRDID].[].[20000585]_x000D_
[KEY_FIGURES].[].[ZACTUALSALES]_x000D_
[LOCID].[].[0001004705]_x000D_
[PRDID].[].[20000585]_x000D_
[KEY_FIGURES].[].[ZCONSENSUSDEMAND]_x000D_
[LOCID].[].[0001004705]_x000D_
[PRDID].[].[20000585]_x000D_
[KEY_FIGURES].[].[INDEPENDENTDEMAND]_x000D_
[LOCID].[].[0001004705]_x000D_
[PRDID].[].[20000586]_x000D_
[KEY_FIGURES].[].[ZCONSENSUSDEMANDQTY]_x000D_
[LOCID].[].[0001004705]_x000D_
[PRDID].[].[20000586]_x000D_
[KEY_FIGURES].[].[ZINPUTSOFC]_x000D_
[LOCID].[].[0001004705]_x000D_
[PRDID].[].[20000586]_x000D_
[KEY_FIGURES].[].[ZFORECASTOPENOUTPUT]_x000D_
[LOCID].[].[0001004705]_x000D_
[PRDID].[].[20000586]_x000D_
[KEY_FIGURES].[].[ZACTUALSALES]_x000D_
[LOCID].[].[0001004705]_x000D_
[PRDID].[].[20000586]_x000D_
[KEY_FIGURES].[].[ZCONSENSUSDEMAND]_x000D_
[LOCID].[].[0001004705]_x000D_
[PRDID].[].[20000586]_x000D_
[KEY_FIGURES].[].[INDEPENDENTDEMAND]_x000D_
[LOCID].[].[0001004705]_x000D_
[PRDID].[].[20000622]_x000D_
[KEY_FIGURES].[].[ZCONSENSUSDEMANDQTY]_x000D_
[LOCID].[].[0001004705]_x000D_
[PRDID].[].[20000622]_x000D_
[KEY_FIGURES].[].[ZINPUTSOFC]_x000D_
[LOCID].[].[0001004705]_x000D_
[PRDID].[].[20000622]_x000D_
[KEY_FIGURES].[].[ZFORECASTOPENOUTPUT]_x000D_
[LOCID].[].[0001004705]_x000D_
[PRDID].[].[20000622]_x000D_
[KEY_FIGURES].[].[ZACTUALSALES]_x000D_
[LOCID].[].[0001004705]_x000D_
[PRDID].[].[20000622]_x000D_
[KEY_FIGURES].[].[ZCONSENSUSDEMAND]_x000D_
[LOCID].[].[0001004705]_x000D_
[PRDID].[].[20000622]_x000D_
[KEY_FIGURES].[].[INDEPENDENTDEMAND]_x000D_
[LOCID].[].[0001004705]_x000D_
[PRDID].[].[20000880]_x000D_
[KEY_FIGURES].[].[ZCONSENSUSDEMANDQTY]_x000D_
[LOCID].[].[0001004705]_x000D_
[PRDID].[].[20000880]_x000D_
[KEY_FIGURES].[].[ZINPUTSOFC]_x000D_
[LOCID].[].[0001004705]_x000D_
[PRDID].[].[20000880]</t>
  </si>
  <si>
    <t>[KEY_FIGURES].[].[ZFORECASTOPENOUTPUT]_x000D_
[LOCID].[].[0001004705]_x000D_
[PRDID].[].[20000880]_x000D_
[KEY_FIGURES].[].[ZACTUALSALES]_x000D_
[LOCID].[].[0001004705]_x000D_
[PRDID].[].[20000880]_x000D_
[KEY_FIGURES].[].[ZCONSENSUSDEMAND]_x000D_
[LOCID].[].[0001004705]_x000D_
[PRDID].[].[20000880]_x000D_
[KEY_FIGURES].[].[INDEPENDENTDEMAND]_x000D_
[LOCID].[].[0001004705]_x000D_
[PRDID].[].[20000882]_x000D_
[KEY_FIGURES].[].[ZCONSENSUSDEMANDQTY]_x000D_
[LOCID].[].[0001004705]_x000D_
[PRDID].[].[20000882]_x000D_
[KEY_FIGURES].[].[ZINPUTSOFC]_x000D_
[LOCID].[].[0001004705]_x000D_
[PRDID].[].[20000882]_x000D_
[KEY_FIGURES].[].[ZFORECASTOPENOUTPUT]_x000D_
[LOCID].[].[0001004705]_x000D_
[PRDID].[].[20000882]_x000D_
[KEY_FIGURES].[].[ZACTUALSALES]_x000D_
[LOCID].[].[0001004705]_x000D_
[PRDID].[].[20000882]_x000D_
[KEY_FIGURES].[].[ZCONSENSUSDEMAND]_x000D_
[LOCID].[].[0001004705]_x000D_
[PRDID].[].[20000882]_x000D_
[KEY_FIGURES].[].[INDEPENDENTDEMAND]_x000D_
[LOCID].[].[0001004705]_x000D_
[PRDID].[].[20000894]_x000D_
[KEY_FIGURES].[].[ZCONSENSUSDEMANDQTY]_x000D_
[LOCID].[].[0001004705]_x000D_
[PRDID].[].[20000894]_x000D_
[KEY_FIGURES].[].[ZINPUTSOFC]_x000D_
[LOCID].[].[0001004705]_x000D_
[PRDID].[].[20000894]_x000D_
[KEY_FIGURES].[].[ZFORECASTOPENOUTPUT]_x000D_
[LOCID].[].[0001004705]_x000D_
[PRDID].[].[20000894]_x000D_
[KEY_FIGURES].[].[ZACTUALSALES]_x000D_
[LOCID].[].[0001004705]_x000D_
[PRDID].[].[20000894]_x000D_
[KEY_FIGURES].[].[ZCONSENSUSDEMAND]_x000D_
[LOCID].[].[0001004705]_x000D_
[PRDID].[].[20000894]_x000D_
[KEY_FIGURES].[].[INDEPENDENTDEMAND]_x000D_
[LOCID].[].[0001004705]_x000D_
[PRDID].[].[20000910]_x000D_
[KEY_FIGURES].[].[ZCONSENSUSDEMANDQTY]_x000D_
[LOCID].[].[0001004705]_x000D_
[PRDID].[].[20000910]_x000D_
[KEY_FIGURES].[].[ZINPUTSOFC]_x000D_
[LOCID].[].[0001004705]_x000D_
[PRDID].[].[20000910]_x000D_
[KEY_FIGURES].[].[ZFORECASTOPENOUTPUT]_x000D_
[LOCID].[].[0001004705]_x000D_
[PRDID].[].[20000910]_x000D_
[KEY_FIGURES].[].[ZACTUALSALES]_x000D_
[LOCID].[].[0001004705]_x000D_
[PRDID].[].[20000910]_x000D_
[KEY_FIGURES].[].[ZCONSENSUSDEMAND]_x000D_
[LOCID].[].[0001004705]_x000D_
[PRDID].[].[20000910]_x000D_
[KEY_FIGURES].[].[INDEPENDENTDEMAND]_x000D_
[LOCID].[].[0001004705]_x000D_
[PRDID].[].[20000911]_x000D_
[KEY_FIGURES].[].[ZCONSENSUSDEMANDQTY]_x000D_
[LOCID].[].[0001004705]_x000D_
[PRDID].[].[20000911]_x000D_
[KEY_FIGURES].[].[ZINPUTSOFC]_x000D_
[LOCID].[].[0001004705]_x000D_
[PRDID].[].[20000911]_x000D_
[KEY_FIGURES].[].[ZFORECASTOPENOUTPUT]_x000D_
[LOCID].[].[0001004705]_x000D_
[PRDID].[].[20000911]_x000D_
[KEY_FIGURES].[].[ZACTUALSALES]_x000D_
[LOCID].[].[0001004705]_x000D_
[PRDID].[].[20000911]_x000D_
[KEY_FIGURES].[].[ZCONSENSUSDEMAND]_x000D_
[LOCID].[].[0001004705]_x000D_
[PRDID].[].[20000911]_x000D_
[KEY_FIGURES].[].[INDEPENDENTDEMAND]_x000D_
[LOCID].[].[0001004705]_x000D_
[PRDID].[].[20000932]_x000D_
[KEY_FIGURES].[].[ZCONSENSUSDEMANDQTY]_x000D_
[LOCID].[].[0001004705]_x000D_
[PRDID].[].[20000932]_x000D_
[KEY_FIGURES].[].[ZINPUTSOFC]_x000D_
[LOCID].[].[0001004705]_x000D_
[PRDID].[].[20000932]_x000D_
[KEY_FIGURES].[].[ZFORECASTOPENOUTPUT]_x000D_
[LOCID].[].[0001004705]_x000D_
[PRDID].[].[20000932]_x000D_
[KEY_FIGURES].[].[ZACTUALSALES]_x000D_
[LOCID].[].[0001004705]_x000D_
[PRDID].[].[20000932]_x000D_
[KEY_FIGURES].[].[ZCONSENSUSDEMAND]_x000D_
[LOCID].[].[0001004705]_x000D_
[PRDID].[].[20000932]_x000D_
[KEY_FIGURES].[].[INDEPENDENTDEMAND]_x000D_
[LOCID].[].[0001004709]_x000D_
[PRDID].[].[20000068]_x000D_
[KEY_FIGURES].[].[ZCONSENSUSDEMANDQTY]_x000D_
[LOCID].[].[0001004709]_x000D_
[PRDID].[].[20000068]_x000D_
[KEY_FIGURES].[].[ZINPUTSOFC]_x000D_
[LOCID].[].[0001004709]_x000D_
[PRDID].[].[20000068]_x000D_
[KEY_FIGURES].[].[ZFORECASTOPENOUTPUT]_x000D_
[LOCID].[].[0001004709]_x000D_
[PRDID].[].[20000068]_x000D_
[KEY_FIGURES].[].[ZACTUALSALES]_x000D_
[LOCID].[].[0001004709]_x000D_
[PRDID].[].[20000068]_x000D_
[KEY_FIGURES].[].[ZCONSENSUSDEMAND]_x000D_
[LOCID].[].[0001004709]_x000D_
[PRDID].[].[20000068]_x000D_
[KEY_FIGURES].[].[INDEPENDENTDEMAND]_x000D_
[LOCID].[].[0001004709]_x000D_
[PRDID].[].[20000069]_x000D_
[KEY_FIGURES].[].[ZCONSENSUSDEMANDQTY]_x000D_
[LOCID].[].[0001004709]_x000D_
[PRDID].[].[20000069]_x000D_
[KEY_FIGURES].[].[ZINPUTSOFC]_x000D_
[LOCID].[].[0001004709]_x000D_
[PRDID].[].[20000069]_x000D_
[KEY_FIGURES].[].[ZFORECASTOPENOUTPUT]_x000D_
[LOCID].[].[0001004709]_x000D_
[PRDID].[].[20000069]_x000D_
[KEY_FIGURES].[].[ZACTUALSALES]_x000D_
[LOCID].[].[0001004709]_x000D_
[PRDID].[].[20000069]_x000D_
[KEY_FIGURES].[].[ZCONSENSUSDEMAND]_x000D_
[LOCID].[].[0001004709]_x000D_
[PRDID].[].[20000069]_x000D_
[KEY_FIGURES].[].[INDEPENDENTDEMAND]_x000D_
[LOCID].[].[0001004709]_x000D_
[PRDID].[].[20000070]_x000D_
[KEY_FIGURES].[].[ZCONSENSUSDEMANDQTY]_x000D_
[LOCID].[].[0001004709]_x000D_
[PRDID].[].[20000070]_x000D_
[KEY_FIGURES].[].[ZINPUTSOFC]_x000D_
[LOCID].[].[0001004709]_x000D_
[PRDID].[].[20000070]_x000D_
[KEY_FIGURES].[].[ZFORECASTOPENOUTPUT]_x000D_
[LOCID].[].[0001004709]_x000D_
[PRDID].[].[20000070]_x000D_
[KEY_FIGURES].[].[ZACTUALSALES]_x000D_
[LOCID].[].[0001004709]_x000D_
[PRDID].[].[20000070]_x000D_
[KEY_FIGURES].[].[ZCONSENSUSDEMAND]_x000D_
[LOCID].[].[0001004709]_x000D_
[PRDID].[].[20000070]_x000D_
[KEY_FIGURES].[].[INDEPENDENTDEMAND]_x000D_
[LOCID].[].[0001004709]_x000D_
[PRDID].[].[20000071]_x000D_
[KEY_FIGURES].[].[ZCONSENSUSDEMANDQTY]_x000D_
[LOCID].[].[0001004709]_x000D_
[PRDID].[].[20000071]_x000D_
[KEY_FIGURES].[].[ZINPUTSOFC]_x000D_
[LOCID].[].[0001004709]_x000D_
[PRDID].[].[20000071]_x000D_
[KEY_FIGURES].[].[ZFORECASTOPENOUTPUT]_x000D_
[LOCID].[].[0001004709]_x000D_
[PRDID].[].[20000071]_x000D_
[KEY_FIGURES].[].[ZACTUALSALES]_x000D_
[LOCID].[].[0001004709]_x000D_
[PRDID].[].[20000071]_x000D_
[KEY_FIGURES].[].[ZCONSENSUSDEMAND]_x000D_
[LOCID].[].[0001004709]_x000D_
[PRDID].[].[20000071]_x000D_
[KEY_FIGURES].[].[INDEPENDENTDEMAND]_x000D_
[LOCID].[].[0001004709]_x000D_
[PRDID].[].[20000072]_x000D_
[KEY_FIGURES].[].[ZCONSENSUSDEMANDQTY]_x000D_
[LOCID].[].[0001004709]_x000D_
[PRDID].[].[20000072]_x000D_
[KEY_FIGURES].[].[ZINPUTSOFC]_x000D_
[LOCID].[].[0001004709]_x000D_
[PRDID].[].[20000072]_x000D_
[KEY_FIGURES].[].[ZFORECASTOPENOUTPUT]_x000D_
[LOCID].[].[0001004709]_x000D_
[PRDID].[].[20000072]_x000D_
[KEY_FIGURES].[].[ZACTUALSALES]_x000D_
[LOCID].[].[0001004709]_x000D_
[PRDID].[].[20000072]_x000D_
[KEY_FIGURES].[].[ZCONSENSUSDEMAND]_x000D_
[LOCID].[].[0001004709]_x000D_
[PRDID].[].[20000072]_x000D_
[KEY_FIGURES].[].[INDEPENDENTDEMAND]_x000D_
[LOCID].[].[0001004709]_x000D_
[PRDID].[].[20000073]_x000D_
[KEY_FIGURES].[].[ZCONSENSUSDEMANDQTY]_x000D_
[LOCID].[].[0001004709]_x000D_
[PRDID].[].[20000073]_x000D_
[KEY_FIGURES].[].[ZINPUTSOFC]_x000D_
[LOCID].[].[0001004709]_x000D_
[PRDID].[].[20000073]_x000D_
[KEY_FIGURES].[].[ZFORECASTOPENOUTPUT]_x000D_
[LOCID].[].[0001004709]</t>
  </si>
  <si>
    <t>[PRDID].[].[20000073]_x000D_
[KEY_FIGURES].[].[ZACTUALSALES]_x000D_
[LOCID].[].[0001004709]_x000D_
[PRDID].[].[20000073]_x000D_
[KEY_FIGURES].[].[ZCONSENSUSDEMAND]_x000D_
[LOCID].[].[0001004709]_x000D_
[PRDID].[].[20000073]_x000D_
[KEY_FIGURES].[].[INDEPENDENTDEMAND]_x000D_
[LOCID].[].[0001004709]_x000D_
[PRDID].[].[20000074]_x000D_
[KEY_FIGURES].[].[ZCONSENSUSDEMANDQTY]_x000D_
[LOCID].[].[0001004709]_x000D_
[PRDID].[].[20000074]_x000D_
[KEY_FIGURES].[].[ZINPUTSOFC]_x000D_
[LOCID].[].[0001004709]_x000D_
[PRDID].[].[20000074]_x000D_
[KEY_FIGURES].[].[ZFORECASTOPENOUTPUT]_x000D_
[LOCID].[].[0001004709]_x000D_
[PRDID].[].[20000074]_x000D_
[KEY_FIGURES].[].[ZACTUALSALES]_x000D_
[LOCID].[].[0001004709]_x000D_
[PRDID].[].[20000074]_x000D_
[KEY_FIGURES].[].[ZCONSENSUSDEMAND]_x000D_
[LOCID].[].[0001004709]_x000D_
[PRDID].[].[20000074]_x000D_
[KEY_FIGURES].[].[INDEPENDENTDEMAND]_x000D_
[LOCID].[].[0001004709]_x000D_
[PRDID].[].[20000078]_x000D_
[KEY_FIGURES].[].[ZCONSENSUSDEMANDQTY]_x000D_
[LOCID].[].[0001004709]_x000D_
[PRDID].[].[20000078]_x000D_
[KEY_FIGURES].[].[ZINPUTSOFC]_x000D_
[LOCID].[].[0001004709]_x000D_
[PRDID].[].[20000078]_x000D_
[KEY_FIGURES].[].[ZFORECASTOPENOUTPUT]_x000D_
[LOCID].[].[0001004709]_x000D_
[PRDID].[].[20000078]_x000D_
[KEY_FIGURES].[].[ZACTUALSALES]_x000D_
[LOCID].[].[0001004709]_x000D_
[PRDID].[].[20000078]_x000D_
[KEY_FIGURES].[].[ZCONSENSUSDEMAND]_x000D_
[LOCID].[].[0001004709]_x000D_
[PRDID].[].[20000078]_x000D_
[KEY_FIGURES].[].[INDEPENDENTDEMAND]_x000D_
[LOCID].[].[0001004709]_x000D_
[PRDID].[].[20000132]_x000D_
[KEY_FIGURES].[].[ZCONSENSUSDEMANDQTY]_x000D_
[LOCID].[].[0001004709]_x000D_
[PRDID].[].[20000132]_x000D_
[KEY_FIGURES].[].[ZINPUTSOFC]_x000D_
[LOCID].[].[0001004709]_x000D_
[PRDID].[].[20000132]_x000D_
[KEY_FIGURES].[].[ZFORECASTOPENOUTPUT]_x000D_
[LOCID].[].[0001004709]_x000D_
[PRDID].[].[20000132]_x000D_
[KEY_FIGURES].[].[ZACTUALSALES]_x000D_
[LOCID].[].[0001004709]_x000D_
[PRDID].[].[20000132]_x000D_
[KEY_FIGURES].[].[ZCONSENSUSDEMAND]_x000D_
[LOCID].[].[0001004709]_x000D_
[PRDID].[].[20000132]_x000D_
[KEY_FIGURES].[].[INDEPENDENTDEMAND]_x000D_
[LOCID].[].[0001004709]_x000D_
[PRDID].[].[20000133]_x000D_
[KEY_FIGURES].[].[ZCONSENSUSDEMANDQTY]_x000D_
[LOCID].[].[0001004709]_x000D_
[PRDID].[].[20000133]_x000D_
[KEY_FIGURES].[].[ZINPUTSOFC]_x000D_
[LOCID].[].[0001004709]_x000D_
[PRDID].[].[20000133]_x000D_
[KEY_FIGURES].[].[ZFORECASTOPENOUTPUT]_x000D_
[LOCID].[].[0001004709]_x000D_
[PRDID].[].[20000133]_x000D_
[KEY_FIGURES].[].[ZACTUALSALES]_x000D_
[LOCID].[].[0001004709]_x000D_
[PRDID].[].[20000133]_x000D_
[KEY_FIGURES].[].[ZCONSENSUSDEMAND]_x000D_
[LOCID].[].[0001004709]_x000D_
[PRDID].[].[20000133]_x000D_
[KEY_FIGURES].[].[INDEPENDENTDEMAND]_x000D_
[LOCID].[].[0001004709]_x000D_
[PRDID].[].[20000134]_x000D_
[KEY_FIGURES].[].[ZCONSENSUSDEMANDQTY]_x000D_
[LOCID].[].[0001004709]_x000D_
[PRDID].[].[20000134]_x000D_
[KEY_FIGURES].[].[ZINPUTSOFC]_x000D_
[LOCID].[].[0001004709]_x000D_
[PRDID].[].[20000134]_x000D_
[KEY_FIGURES].[].[ZFORECASTOPENOUTPUT]_x000D_
[LOCID].[].[0001004709]_x000D_
[PRDID].[].[20000134]_x000D_
[KEY_FIGURES].[].[ZACTUALSALES]_x000D_
[LOCID].[].[0001004709]_x000D_
[PRDID].[].[20000134]_x000D_
[KEY_FIGURES].[].[ZCONSENSUSDEMAND]_x000D_
[LOCID].[].[0001004709]_x000D_
[PRDID].[].[20000134]_x000D_
[KEY_FIGURES].[].[INDEPENDENTDEMAND]_x000D_
[LOCID].[].[0001004709]_x000D_
[PRDID].[].[20000137]_x000D_
[KEY_FIGURES].[].[ZCONSENSUSDEMANDQTY]_x000D_
[LOCID].[].[0001004709]_x000D_
[PRDID].[].[20000137]_x000D_
[KEY_FIGURES].[].[ZINPUTSOFC]_x000D_
[LOCID].[].[0001004709]_x000D_
[PRDID].[].[20000137]_x000D_
[KEY_FIGURES].[].[ZFORECASTOPENOUTPUT]_x000D_
[LOCID].[].[0001004709]_x000D_
[PRDID].[].[20000137]_x000D_
[KEY_FIGURES].[].[ZACTUALSALES]_x000D_
[LOCID].[].[0001004709]_x000D_
[PRDID].[].[20000137]_x000D_
[KEY_FIGURES].[].[ZCONSENSUSDEMAND]_x000D_
[LOCID].[].[0001004709]_x000D_
[PRDID].[].[20000137]_x000D_
[KEY_FIGURES].[].[INDEPENDENTDEMAND]_x000D_
[LOCID].[].[0001004709]_x000D_
[PRDID].[].[20000142]_x000D_
[KEY_FIGURES].[].[ZCONSENSUSDEMANDQTY]_x000D_
[LOCID].[].[0001004709]_x000D_
[PRDID].[].[20000142]_x000D_
[KEY_FIGURES].[].[ZINPUTSOFC]_x000D_
[LOCID].[].[0001004709]_x000D_
[PRDID].[].[20000142]_x000D_
[KEY_FIGURES].[].[ZFORECASTOPENOUTPUT]_x000D_
[LOCID].[].[0001004709]_x000D_
[PRDID].[].[20000142]_x000D_
[KEY_FIGURES].[].[ZACTUALSALES]_x000D_
[LOCID].[].[0001004709]_x000D_
[PRDID].[].[20000142]_x000D_
[KEY_FIGURES].[].[ZCONSENSUSDEMAND]_x000D_
[LOCID].[].[0001004709]_x000D_
[PRDID].[].[20000142]_x000D_
[KEY_FIGURES].[].[INDEPENDENTDEMAND]_x000D_
[LOCID].[].[0001004709]_x000D_
[PRDID].[].[20000153]_x000D_
[KEY_FIGURES].[].[ZCONSENSUSDEMANDQTY]_x000D_
[LOCID].[].[0001004709]_x000D_
[PRDID].[].[20000153]_x000D_
[KEY_FIGURES].[].[ZINPUTSOFC]_x000D_
[LOCID].[].[0001004709]_x000D_
[PRDID].[].[20000153]_x000D_
[KEY_FIGURES].[].[ZFORECASTOPENOUTPUT]_x000D_
[LOCID].[].[0001004709]_x000D_
[PRDID].[].[20000153]_x000D_
[KEY_FIGURES].[].[ZACTUALSALES]_x000D_
[LOCID].[].[0001004709]_x000D_
[PRDID].[].[20000153]_x000D_
[KEY_FIGURES].[].[ZCONSENSUSDEMAND]_x000D_
[LOCID].[].[0001004709]_x000D_
[PRDID].[].[20000153]_x000D_
[KEY_FIGURES].[].[INDEPENDENTDEMAND]_x000D_
[LOCID].[].[0001004709]_x000D_
[PRDID].[].[20000181]_x000D_
[KEY_FIGURES].[].[ZCONSENSUSDEMANDQTY]_x000D_
[LOCID].[].[0001004709]_x000D_
[PRDID].[].[20000181]_x000D_
[KEY_FIGURES].[].[ZINPUTSOFC]_x000D_
[LOCID].[].[0001004709]_x000D_
[PRDID].[].[20000181]_x000D_
[KEY_FIGURES].[].[ZFORECASTOPENOUTPUT]_x000D_
[LOCID].[].[0001004709]_x000D_
[PRDID].[].[20000181]_x000D_
[KEY_FIGURES].[].[ZACTUALSALES]_x000D_
[LOCID].[].[0001004709]_x000D_
[PRDID].[].[20000181]_x000D_
[KEY_FIGURES].[].[ZCONSENSUSDEMAND]_x000D_
[LOCID].[].[0001004709]_x000D_
[PRDID].[].[20000181]_x000D_
[KEY_FIGURES].[].[INDEPENDENTDEMAND]_x000D_
[LOCID].[].[0001004709]_x000D_
[PRDID].[].[20000213]_x000D_
[KEY_FIGURES].[].[ZCONSENSUSDEMANDQTY]_x000D_
[LOCID].[].[0001004709]_x000D_
[PRDID].[].[20000213]_x000D_
[KEY_FIGURES].[].[ZINPUTSOFC]_x000D_
[LOCID].[].[0001004709]_x000D_
[PRDID].[].[20000213]_x000D_
[KEY_FIGURES].[].[ZFORECASTOPENOUTPUT]_x000D_
[LOCID].[].[0001004709]_x000D_
[PRDID].[].[20000213]_x000D_
[KEY_FIGURES].[].[ZACTUALSALES]_x000D_
[LOCID].[].[0001004709]_x000D_
[PRDID].[].[20000213]_x000D_
[KEY_FIGURES].[].[ZCONSENSUSDEMAND]_x000D_
[LOCID].[].[0001004709]_x000D_
[PRDID].[].[20000213]_x000D_
[KEY_FIGURES].[].[INDEPENDENTDEMAND]_x000D_
[LOCID].[].[0001004709]_x000D_
[PRDID].[].[20000214]_x000D_
[KEY_FIGURES].[].[ZCONSENSUSDEMANDQTY]_x000D_
[LOCID].[].[0001004709]_x000D_
[PRDID].[].[20000214]_x000D_
[KEY_FIGURES].[].[ZINPUTSOFC]_x000D_
[LOCID].[].[0001004709]_x000D_
[PRDID].[].[20000214]_x000D_
[KEY_FIGURES].[].[ZFORECASTOPENOUTPUT]_x000D_
[LOCID].[].[0001004709]_x000D_
[PRDID].[].[20000214]_x000D_
[KEY_FIGURES].[].[ZACTUALSALES]</t>
  </si>
  <si>
    <t>[LOCID].[].[0001004709]_x000D_
[PRDID].[].[20000214]_x000D_
[KEY_FIGURES].[].[ZCONSENSUSDEMAND]_x000D_
[LOCID].[].[0001004709]_x000D_
[PRDID].[].[20000214]_x000D_
[KEY_FIGURES].[].[INDEPENDENTDEMAND]_x000D_
[LOCID].[].[0001004709]_x000D_
[PRDID].[].[20000215]_x000D_
[KEY_FIGURES].[].[ZCONSENSUSDEMANDQTY]_x000D_
[LOCID].[].[0001004709]_x000D_
[PRDID].[].[20000215]_x000D_
[KEY_FIGURES].[].[ZINPUTSOFC]_x000D_
[LOCID].[].[0001004709]_x000D_
[PRDID].[].[20000215]_x000D_
[KEY_FIGURES].[].[ZFORECASTOPENOUTPUT]_x000D_
[LOCID].[].[0001004709]_x000D_
[PRDID].[].[20000215]_x000D_
[KEY_FIGURES].[].[ZACTUALSALES]_x000D_
[LOCID].[].[0001004709]_x000D_
[PRDID].[].[20000215]_x000D_
[KEY_FIGURES].[].[ZCONSENSUSDEMAND]_x000D_
[LOCID].[].[0001004709]_x000D_
[PRDID].[].[20000215]_x000D_
[KEY_FIGURES].[].[INDEPENDENTDEMAND]_x000D_
[LOCID].[].[0001004709]_x000D_
[PRDID].[].[20000216]_x000D_
[KEY_FIGURES].[].[ZCONSENSUSDEMANDQTY]_x000D_
[LOCID].[].[0001004709]_x000D_
[PRDID].[].[20000216]_x000D_
[KEY_FIGURES].[].[ZINPUTSOFC]_x000D_
[LOCID].[].[0001004709]_x000D_
[PRDID].[].[20000216]_x000D_
[KEY_FIGURES].[].[ZFORECASTOPENOUTPUT]_x000D_
[LOCID].[].[0001004709]_x000D_
[PRDID].[].[20000216]_x000D_
[KEY_FIGURES].[].[ZACTUALSALES]_x000D_
[LOCID].[].[0001004709]_x000D_
[PRDID].[].[20000216]_x000D_
[KEY_FIGURES].[].[ZCONSENSUSDEMAND]_x000D_
[LOCID].[].[0001004709]_x000D_
[PRDID].[].[20000216]_x000D_
[KEY_FIGURES].[].[INDEPENDENTDEMAND]_x000D_
[LOCID].[].[0001004709]_x000D_
[PRDID].[].[20000238]_x000D_
[KEY_FIGURES].[].[ZCONSENSUSDEMANDQTY]_x000D_
[LOCID].[].[0001004709]_x000D_
[PRDID].[].[20000238]_x000D_
[KEY_FIGURES].[].[ZINPUTSOFC]_x000D_
[LOCID].[].[0001004709]_x000D_
[PRDID].[].[20000238]_x000D_
[KEY_FIGURES].[].[ZFORECASTOPENOUTPUT]_x000D_
[LOCID].[].[0001004709]_x000D_
[PRDID].[].[20000238]_x000D_
[KEY_FIGURES].[].[ZACTUALSALES]_x000D_
[LOCID].[].[0001004709]_x000D_
[PRDID].[].[20000238]_x000D_
[KEY_FIGURES].[].[ZCONSENSUSDEMAND]_x000D_
[LOCID].[].[0001004709]_x000D_
[PRDID].[].[20000238]_x000D_
[KEY_FIGURES].[].[INDEPENDENTDEMAND]_x000D_
[LOCID].[].[0001004709]_x000D_
[PRDID].[].[20000247]_x000D_
[KEY_FIGURES].[].[ZCONSENSUSDEMANDQTY]_x000D_
[LOCID].[].[0001004709]_x000D_
[PRDID].[].[20000247]_x000D_
[KEY_FIGURES].[].[ZINPUTSOFC]_x000D_
[LOCID].[].[0001004709]_x000D_
[PRDID].[].[20000247]_x000D_
[KEY_FIGURES].[].[ZFORECASTOPENOUTPUT]_x000D_
[LOCID].[].[0001004709]_x000D_
[PRDID].[].[20000247]_x000D_
[KEY_FIGURES].[].[ZACTUALSALES]_x000D_
[LOCID].[].[0001004709]_x000D_
[PRDID].[].[20000247]_x000D_
[KEY_FIGURES].[].[ZCONSENSUSDEMAND]_x000D_
[LOCID].[].[0001004709]_x000D_
[PRDID].[].[20000247]_x000D_
[KEY_FIGURES].[].[INDEPENDENTDEMAND]_x000D_
[LOCID].[].[0001004709]_x000D_
[PRDID].[].[20000251]_x000D_
[KEY_FIGURES].[].[ZCONSENSUSDEMANDQTY]_x000D_
[LOCID].[].[0001004709]_x000D_
[PRDID].[].[20000251]_x000D_
[KEY_FIGURES].[].[ZINPUTSOFC]_x000D_
[LOCID].[].[0001004709]_x000D_
[PRDID].[].[20000251]_x000D_
[KEY_FIGURES].[].[ZFORECASTOPENOUTPUT]_x000D_
[LOCID].[].[0001004709]_x000D_
[PRDID].[].[20000251]_x000D_
[KEY_FIGURES].[].[ZACTUALSALES]_x000D_
[LOCID].[].[0001004709]_x000D_
[PRDID].[].[20000251]_x000D_
[KEY_FIGURES].[].[ZCONSENSUSDEMAND]_x000D_
[LOCID].[].[0001004709]_x000D_
[PRDID].[].[20000251]_x000D_
[KEY_FIGURES].[].[INDEPENDENTDEMAND]_x000D_
[LOCID].[].[0001004709]_x000D_
[PRDID].[].[20000257]_x000D_
[KEY_FIGURES].[].[ZCONSENSUSDEMANDQTY]_x000D_
[LOCID].[].[0001004709]_x000D_
[PRDID].[].[20000257]_x000D_
[KEY_FIGURES].[].[ZINPUTSOFC]_x000D_
[LOCID].[].[0001004709]_x000D_
[PRDID].[].[20000257]_x000D_
[KEY_FIGURES].[].[ZFORECASTOPENOUTPUT]_x000D_
[LOCID].[].[0001004709]_x000D_
[PRDID].[].[20000257]_x000D_
[KEY_FIGURES].[].[ZACTUALSALES]_x000D_
[LOCID].[].[0001004709]_x000D_
[PRDID].[].[20000257]_x000D_
[KEY_FIGURES].[].[ZCONSENSUSDEMAND]_x000D_
[LOCID].[].[0001004709]_x000D_
[PRDID].[].[20000257]_x000D_
[KEY_FIGURES].[].[INDEPENDENTDEMAND]_x000D_
[LOCID].[].[0001004709]_x000D_
[PRDID].[].[20000260]_x000D_
[KEY_FIGURES].[].[ZCONSENSUSDEMANDQTY]_x000D_
[LOCID].[].[0001004709]_x000D_
[PRDID].[].[20000260]_x000D_
[KEY_FIGURES].[].[ZINPUTSOFC]_x000D_
[LOCID].[].[0001004709]_x000D_
[PRDID].[].[20000260]_x000D_
[KEY_FIGURES].[].[ZFORECASTOPENOUTPUT]_x000D_
[LOCID].[].[0001004709]_x000D_
[PRDID].[].[20000260]_x000D_
[KEY_FIGURES].[].[ZACTUALSALES]_x000D_
[LOCID].[].[0001004709]_x000D_
[PRDID].[].[20000260]_x000D_
[KEY_FIGURES].[].[ZCONSENSUSDEMAND]_x000D_
[LOCID].[].[0001004709]_x000D_
[PRDID].[].[20000260]_x000D_
[KEY_FIGURES].[].[INDEPENDENTDEMAND]_x000D_
[LOCID].[].[0001004709]_x000D_
[PRDID].[].[20000263]_x000D_
[KEY_FIGURES].[].[ZCONSENSUSDEMANDQTY]_x000D_
[LOCID].[].[0001004709]_x000D_
[PRDID].[].[20000263]_x000D_
[KEY_FIGURES].[].[ZINPUTSOFC]_x000D_
[LOCID].[].[0001004709]_x000D_
[PRDID].[].[20000263]_x000D_
[KEY_FIGURES].[].[ZFORECASTOPENOUTPUT]_x000D_
[LOCID].[].[0001004709]_x000D_
[PRDID].[].[20000263]_x000D_
[KEY_FIGURES].[].[ZACTUALSALES]_x000D_
[LOCID].[].[0001004709]_x000D_
[PRDID].[].[20000263]_x000D_
[KEY_FIGURES].[].[ZCONSENSUSDEMAND]_x000D_
[LOCID].[].[0001004709]_x000D_
[PRDID].[].[20000263]_x000D_
[KEY_FIGURES].[].[INDEPENDENTDEMAND]_x000D_
[LOCID].[].[0001004709]_x000D_
[PRDID].[].[20000318]_x000D_
[KEY_FIGURES].[].[ZCONSENSUSDEMANDQTY]_x000D_
[LOCID].[].[0001004709]_x000D_
[PRDID].[].[20000318]_x000D_
[KEY_FIGURES].[].[ZINPUTSOFC]_x000D_
[LOCID].[].[0001004709]_x000D_
[PRDID].[].[20000318]_x000D_
[KEY_FIGURES].[].[ZFORECASTOPENOUTPUT]_x000D_
[LOCID].[].[0001004709]_x000D_
[PRDID].[].[20000318]_x000D_
[KEY_FIGURES].[].[ZACTUALSALES]_x000D_
[LOCID].[].[0001004709]_x000D_
[PRDID].[].[20000318]_x000D_
[KEY_FIGURES].[].[ZCONSENSUSDEMAND]_x000D_
[LOCID].[].[0001004709]_x000D_
[PRDID].[].[20000318]_x000D_
[KEY_FIGURES].[].[INDEPENDENTDEMAND]_x000D_
[LOCID].[].[0001004709]_x000D_
[PRDID].[].[20000347]_x000D_
[KEY_FIGURES].[].[ZCONSENSUSDEMANDQTY]_x000D_
[LOCID].[].[0001004709]_x000D_
[PRDID].[].[20000347]_x000D_
[KEY_FIGURES].[].[ZINPUTSOFC]_x000D_
[LOCID].[].[0001004709]_x000D_
[PRDID].[].[20000347]_x000D_
[KEY_FIGURES].[].[ZFORECASTOPENOUTPUT]_x000D_
[LOCID].[].[0001004709]_x000D_
[PRDID].[].[20000347]_x000D_
[KEY_FIGURES].[].[ZACTUALSALES]_x000D_
[LOCID].[].[0001004709]_x000D_
[PRDID].[].[20000347]_x000D_
[KEY_FIGURES].[].[ZCONSENSUSDEMAND]_x000D_
[LOCID].[].[0001004709]_x000D_
[PRDID].[].[20000347]_x000D_
[KEY_FIGURES].[].[INDEPENDENTDEMAND]_x000D_
[LOCID].[].[0001004709]_x000D_
[PRDID].[].[20000348]_x000D_
[KEY_FIGURES].[].[ZCONSENSUSDEMANDQTY]_x000D_
[LOCID].[].[0001004709]_x000D_
[PRDID].[].[20000348]_x000D_
[KEY_FIGURES].[].[ZINPUTSOFC]_x000D_
[LOCID].[].[0001004709]_x000D_
[PRDID].[].[20000348]_x000D_
[KEY_FIGURES].[].[ZFORECASTOPENOUTPUT]_x000D_
[LOCID].[].[0001004709]_x000D_
[PRDID].[].[20000348]_x000D_
[KEY_FIGURES].[].[ZACTUALSALES]_x000D_
[LOCID].[].[0001004709]_x000D_
[PRDID].[].[20000348]</t>
  </si>
  <si>
    <t>[KEY_FIGURES].[].[ZCONSENSUSDEMAND]_x000D_
[LOCID].[].[0001004709]_x000D_
[PRDID].[].[20000348]_x000D_
[KEY_FIGURES].[].[INDEPENDENTDEMAND]_x000D_
[LOCID].[].[0001004709]_x000D_
[PRDID].[].[20000365]_x000D_
[KEY_FIGURES].[].[ZCONSENSUSDEMANDQTY]_x000D_
[LOCID].[].[0001004709]_x000D_
[PRDID].[].[20000365]_x000D_
[KEY_FIGURES].[].[ZINPUTSOFC]_x000D_
[LOCID].[].[0001004709]_x000D_
[PRDID].[].[20000365]_x000D_
[KEY_FIGURES].[].[ZFORECASTOPENOUTPUT]_x000D_
[LOCID].[].[0001004709]_x000D_
[PRDID].[].[20000365]_x000D_
[KEY_FIGURES].[].[ZACTUALSALES]_x000D_
[LOCID].[].[0001004709]_x000D_
[PRDID].[].[20000365]_x000D_
[KEY_FIGURES].[].[ZCONSENSUSDEMAND]_x000D_
[LOCID].[].[0001004709]_x000D_
[PRDID].[].[20000365]_x000D_
[KEY_FIGURES].[].[INDEPENDENTDEMAND]_x000D_
[LOCID].[].[0001004709]_x000D_
[PRDID].[].[20000366]_x000D_
[KEY_FIGURES].[].[ZCONSENSUSDEMANDQTY]_x000D_
[LOCID].[].[0001004709]_x000D_
[PRDID].[].[20000366]_x000D_
[KEY_FIGURES].[].[ZINPUTSOFC]_x000D_
[LOCID].[].[0001004709]_x000D_
[PRDID].[].[20000366]_x000D_
[KEY_FIGURES].[].[ZFORECASTOPENOUTPUT]_x000D_
[LOCID].[].[0001004709]_x000D_
[PRDID].[].[20000366]_x000D_
[KEY_FIGURES].[].[ZACTUALSALES]_x000D_
[LOCID].[].[0001004709]_x000D_
[PRDID].[].[20000366]_x000D_
[KEY_FIGURES].[].[ZCONSENSUSDEMAND]_x000D_
[LOCID].[].[0001004709]_x000D_
[PRDID].[].[20000366]_x000D_
[KEY_FIGURES].[].[INDEPENDENTDEMAND]_x000D_
[LOCID].[].[0001004709]_x000D_
[PRDID].[].[20000367]_x000D_
[KEY_FIGURES].[].[ZCONSENSUSDEMANDQTY]_x000D_
[LOCID].[].[0001004709]_x000D_
[PRDID].[].[20000367]_x000D_
[KEY_FIGURES].[].[ZINPUTSOFC]_x000D_
[LOCID].[].[0001004709]_x000D_
[PRDID].[].[20000367]_x000D_
[KEY_FIGURES].[].[ZFORECASTOPENOUTPUT]_x000D_
[LOCID].[].[0001004709]_x000D_
[PRDID].[].[20000367]_x000D_
[KEY_FIGURES].[].[ZACTUALSALES]_x000D_
[LOCID].[].[0001004709]_x000D_
[PRDID].[].[20000367]_x000D_
[KEY_FIGURES].[].[ZCONSENSUSDEMAND]_x000D_
[LOCID].[].[0001004709]_x000D_
[PRDID].[].[20000367]_x000D_
[KEY_FIGURES].[].[INDEPENDENTDEMAND]_x000D_
[LOCID].[].[0001004709]_x000D_
[PRDID].[].[20000368]_x000D_
[KEY_FIGURES].[].[ZCONSENSUSDEMANDQTY]_x000D_
[LOCID].[].[0001004709]_x000D_
[PRDID].[].[20000368]_x000D_
[KEY_FIGURES].[].[ZINPUTSOFC]_x000D_
[LOCID].[].[0001004709]_x000D_
[PRDID].[].[20000368]_x000D_
[KEY_FIGURES].[].[ZFORECASTOPENOUTPUT]_x000D_
[LOCID].[].[0001004709]_x000D_
[PRDID].[].[20000368]_x000D_
[KEY_FIGURES].[].[ZACTUALSALES]_x000D_
[LOCID].[].[0001004709]_x000D_
[PRDID].[].[20000368]_x000D_
[KEY_FIGURES].[].[ZCONSENSUSDEMAND]_x000D_
[LOCID].[].[0001004709]_x000D_
[PRDID].[].[20000368]_x000D_
[KEY_FIGURES].[].[INDEPENDENTDEMAND]_x000D_
[LOCID].[].[0001004709]_x000D_
[PRDID].[].[20000582]_x000D_
[KEY_FIGURES].[].[ZCONSENSUSDEMANDQTY]_x000D_
[LOCID].[].[0001004709]_x000D_
[PRDID].[].[20000582]_x000D_
[KEY_FIGURES].[].[ZINPUTSOFC]_x000D_
[LOCID].[].[0001004709]_x000D_
[PRDID].[].[20000582]_x000D_
[KEY_FIGURES].[].[ZFORECASTOPENOUTPUT]_x000D_
[LOCID].[].[0001004709]_x000D_
[PRDID].[].[20000582]_x000D_
[KEY_FIGURES].[].[ZACTUALSALES]_x000D_
[LOCID].[].[0001004709]_x000D_
[PRDID].[].[20000582]_x000D_
[KEY_FIGURES].[].[ZCONSENSUSDEMAND]_x000D_
[LOCID].[].[0001004709]_x000D_
[PRDID].[].[20000582]_x000D_
[KEY_FIGURES].[].[INDEPENDENTDEMAND]_x000D_
[LOCID].[].[0001004709]_x000D_
[PRDID].[].[20000585]_x000D_
[KEY_FIGURES].[].[ZCONSENSUSDEMANDQTY]_x000D_
[LOCID].[].[0001004709]_x000D_
[PRDID].[].[20000585]_x000D_
[KEY_FIGURES].[].[ZINPUTSOFC]_x000D_
[LOCID].[].[0001004709]_x000D_
[PRDID].[].[20000585]_x000D_
[KEY_FIGURES].[].[ZFORECASTOPENOUTPUT]_x000D_
[LOCID].[].[0001004709]_x000D_
[PRDID].[].[20000585]_x000D_
[KEY_FIGURES].[].[ZACTUALSALES]_x000D_
[LOCID].[].[0001004709]_x000D_
[PRDID].[].[20000585]_x000D_
[KEY_FIGURES].[].[ZCONSENSUSDEMAND]_x000D_
[LOCID].[].[0001004709]_x000D_
[PRDID].[].[20000585]_x000D_
[KEY_FIGURES].[].[INDEPENDENTDEMAND]_x000D_
[LOCID].[].[0001004709]_x000D_
[PRDID].[].[20000586]_x000D_
[KEY_FIGURES].[].[ZCONSENSUSDEMANDQTY]_x000D_
[LOCID].[].[0001004709]_x000D_
[PRDID].[].[20000586]_x000D_
[KEY_FIGURES].[].[ZINPUTSOFC]_x000D_
[LOCID].[].[0001004709]_x000D_
[PRDID].[].[20000586]_x000D_
[KEY_FIGURES].[].[ZFORECASTOPENOUTPUT]_x000D_
[LOCID].[].[0001004709]_x000D_
[PRDID].[].[20000586]_x000D_
[KEY_FIGURES].[].[ZACTUALSALES]_x000D_
[LOCID].[].[0001004709]_x000D_
[PRDID].[].[20000586]_x000D_
[KEY_FIGURES].[].[ZCONSENSUSDEMAND]_x000D_
[LOCID].[].[0001004709]_x000D_
[PRDID].[].[20000586]_x000D_
[KEY_FIGURES].[].[INDEPENDENTDEMAND]_x000D_
[LOCID].[].[0001004709]_x000D_
[PRDID].[].[20000611]_x000D_
[KEY_FIGURES].[].[ZCONSENSUSDEMANDQTY]_x000D_
[LOCID].[].[0001004709]_x000D_
[PRDID].[].[20000611]_x000D_
[KEY_FIGURES].[].[ZINPUTSOFC]_x000D_
[LOCID].[].[0001004709]_x000D_
[PRDID].[].[20000611]_x000D_
[KEY_FIGURES].[].[ZFORECASTOPENOUTPUT]_x000D_
[LOCID].[].[0001004709]_x000D_
[PRDID].[].[20000611]_x000D_
[KEY_FIGURES].[].[ZACTUALSALES]_x000D_
[LOCID].[].[0001004709]_x000D_
[PRDID].[].[20000611]_x000D_
[KEY_FIGURES].[].[ZCONSENSUSDEMAND]_x000D_
[LOCID].[].[0001004709]_x000D_
[PRDID].[].[20000611]_x000D_
[KEY_FIGURES].[].[INDEPENDENTDEMAND]_x000D_
[LOCID].[].[0001004709]_x000D_
[PRDID].[].[20000831]_x000D_
[KEY_FIGURES].[].[ZCONSENSUSDEMANDQTY]_x000D_
[LOCID].[].[0001004709]_x000D_
[PRDID].[].[20000831]_x000D_
[KEY_FIGURES].[].[ZINPUTSOFC]_x000D_
[LOCID].[].[0001004709]_x000D_
[PRDID].[].[20000831]_x000D_
[KEY_FIGURES].[].[ZFORECASTOPENOUTPUT]_x000D_
[LOCID].[].[0001004709]_x000D_
[PRDID].[].[20000831]_x000D_
[KEY_FIGURES].[].[ZACTUALSALES]_x000D_
[LOCID].[].[0001004709]_x000D_
[PRDID].[].[20000831]_x000D_
[KEY_FIGURES].[].[ZCONSENSUSDEMAND]_x000D_
[LOCID].[].[0001004709]_x000D_
[PRDID].[].[20000831]_x000D_
[KEY_FIGURES].[].[INDEPENDENTDEMAND]_x000D_
[LOCID].[].[0001004709]_x000D_
[PRDID].[].[20000880]_x000D_
[KEY_FIGURES].[].[ZCONSENSUSDEMANDQTY]_x000D_
[LOCID].[].[0001004709]_x000D_
[PRDID].[].[20000880]_x000D_
[KEY_FIGURES].[].[ZINPUTSOFC]_x000D_
[LOCID].[].[0001004709]_x000D_
[PRDID].[].[20000880]_x000D_
[KEY_FIGURES].[].[ZFORECASTOPENOUTPUT]_x000D_
[LOCID].[].[0001004709]_x000D_
[PRDID].[].[20000880]_x000D_
[KEY_FIGURES].[].[ZACTUALSALES]_x000D_
[LOCID].[].[0001004709]_x000D_
[PRDID].[].[20000880]_x000D_
[KEY_FIGURES].[].[ZCONSENSUSDEMAND]_x000D_
[LOCID].[].[0001004709]_x000D_
[PRDID].[].[20000880]_x000D_
[KEY_FIGURES].[].[INDEPENDENTDEMAND]_x000D_
[LOCID].[].[0001004709]_x000D_
[PRDID].[].[20000894]_x000D_
[KEY_FIGURES].[].[ZCONSENSUSDEMANDQTY]_x000D_
[LOCID].[].[0001004709]_x000D_
[PRDID].[].[20000894]_x000D_
[KEY_FIGURES].[].[ZINPUTSOFC]_x000D_
[LOCID].[].[0001004709]_x000D_
[PRDID].[].[20000894]_x000D_
[KEY_FIGURES].[].[ZFORECASTOPENOUTPUT]_x000D_
[LOCID].[].[0001004709]_x000D_
[PRDID].[].[20000894]_x000D_
[KEY_FIGURES].[].[ZACTUALSALES]_x000D_
[LOCID].[].[0001004709]_x000D_
[PRDID].[].[20000894]_x000D_
[KEY_FIGURES].[].[ZCONSENSUSDEMAND]_x000D_
[LOCID].[].[0001004709]</t>
  </si>
  <si>
    <t>[PRDID].[].[20000894]_x000D_
[KEY_FIGURES].[].[INDEPENDENTDEMAND]_x000D_
[LOCID].[].[0001004709]_x000D_
[PRDID].[].[20000910]_x000D_
[KEY_FIGURES].[].[ZCONSENSUSDEMANDQTY]_x000D_
[LOCID].[].[0001004709]_x000D_
[PRDID].[].[20000910]_x000D_
[KEY_FIGURES].[].[ZINPUTSOFC]_x000D_
[LOCID].[].[0001004709]_x000D_
[PRDID].[].[20000910]_x000D_
[KEY_FIGURES].[].[ZFORECASTOPENOUTPUT]_x000D_
[LOCID].[].[0001004709]_x000D_
[PRDID].[].[20000910]_x000D_
[KEY_FIGURES].[].[ZACTUALSALES]_x000D_
[LOCID].[].[0001004709]_x000D_
[PRDID].[].[20000910]_x000D_
[KEY_FIGURES].[].[ZCONSENSUSDEMAND]_x000D_
[LOCID].[].[0001004709]_x000D_
[PRDID].[].[20000910]_x000D_
[KEY_FIGURES].[].[INDEPENDENTDEMAND]_x000D_
[LOCID].[].[0001004709]_x000D_
[PRDID].[].[20000911]_x000D_
[KEY_FIGURES].[].[ZCONSENSUSDEMANDQTY]_x000D_
[LOCID].[].[0001004709]_x000D_
[PRDID].[].[20000911]_x000D_
[KEY_FIGURES].[].[ZINPUTSOFC]_x000D_
[LOCID].[].[0001004709]_x000D_
[PRDID].[].[20000911]_x000D_
[KEY_FIGURES].[].[ZFORECASTOPENOUTPUT]_x000D_
[LOCID].[].[0001004709]_x000D_
[PRDID].[].[20000911]_x000D_
[KEY_FIGURES].[].[ZACTUALSALES]_x000D_
[LOCID].[].[0001004709]_x000D_
[PRDID].[].[20000911]_x000D_
[KEY_FIGURES].[].[ZCONSENSUSDEMAND]_x000D_
[LOCID].[].[0001004709]_x000D_
[PRDID].[].[20000911]_x000D_
[KEY_FIGURES].[].[INDEPENDENTDEMAND]_x000D_
[LOCID].[].[0001004709]_x000D_
[PRDID].[].[20000932]_x000D_
[KEY_FIGURES].[].[ZCONSENSUSDEMANDQTY]_x000D_
[LOCID].[].[0001004709]_x000D_
[PRDID].[].[20000932]_x000D_
[KEY_FIGURES].[].[ZINPUTSOFC]_x000D_
[LOCID].[].[0001004709]_x000D_
[PRDID].[].[20000932]_x000D_
[KEY_FIGURES].[].[ZFORECASTOPENOUTPUT]_x000D_
[LOCID].[].[0001004709]_x000D_
[PRDID].[].[20000932]_x000D_
[KEY_FIGURES].[].[ZACTUALSALES]_x000D_
[LOCID].[].[0001004709]_x000D_
[PRDID].[].[20000932]_x000D_
[KEY_FIGURES].[].[ZCONSENSUSDEMAND]_x000D_
[LOCID].[].[0001004709]_x000D_
[PRDID].[].[20000932]_x000D_
[KEY_FIGURES].[].[INDEPENDENTDEMAND]_x000D_
[LOCID].[].[0001004713]_x000D_
[PRDID].[].[20000149]_x000D_
[KEY_FIGURES].[].[ZCONSENSUSDEMANDQTY]_x000D_
[LOCID].[].[0001004713]_x000D_
[PRDID].[].[20000149]_x000D_
[KEY_FIGURES].[].[ZINPUTSOFC]_x000D_
[LOCID].[].[0001004713]_x000D_
[PRDID].[].[20000149]_x000D_
[KEY_FIGURES].[].[ZFORECASTOPENOUTPUT]_x000D_
[LOCID].[].[0001004713]_x000D_
[PRDID].[].[20000149]_x000D_
[KEY_FIGURES].[].[ZACTUALSALES]_x000D_
[LOCID].[].[0001004713]_x000D_
[PRDID].[].[20000149]_x000D_
[KEY_FIGURES].[].[ZCONSENSUSDEMAND]_x000D_
[LOCID].[].[0001004713]_x000D_
[PRDID].[].[20000149]_x000D_
[KEY_FIGURES].[].[INDEPENDENTDEMAND]_x000D_
[LOCID].[].[0001004715]_x000D_
[PRDID].[].[20000347]_x000D_
[KEY_FIGURES].[].[ZCONSENSUSDEMANDQTY]_x000D_
[LOCID].[].[0001004715]_x000D_
[PRDID].[].[20000347]_x000D_
[KEY_FIGURES].[].[ZINPUTSOFC]_x000D_
[LOCID].[].[0001004715]_x000D_
[PRDID].[].[20000347]_x000D_
[KEY_FIGURES].[].[ZFORECASTOPENOUTPUT]_x000D_
[LOCID].[].[0001004715]_x000D_
[PRDID].[].[20000347]_x000D_
[KEY_FIGURES].[].[ZACTUALSALES]_x000D_
[LOCID].[].[0001004715]_x000D_
[PRDID].[].[20000347]_x000D_
[KEY_FIGURES].[].[ZCONSENSUSDEMAND]_x000D_
[LOCID].[].[0001004715]_x000D_
[PRDID].[].[20000347]_x000D_
[KEY_FIGURES].[].[INDEPENDENTDEMAND]_x000D_
[LOCID].[].[0001004727]_x000D_
[PRDID].[].[20000184]_x000D_
[KEY_FIGURES].[].[ZCONSENSUSDEMANDQTY]_x000D_
[LOCID].[].[0001004727]_x000D_
[PRDID].[].[20000184]_x000D_
[KEY_FIGURES].[].[ZINPUTSOFC]_x000D_
[LOCID].[].[0001004727]_x000D_
[PRDID].[].[20000184]_x000D_
[KEY_FIGURES].[].[ZFORECASTOPENOUTPUT]_x000D_
[LOCID].[].[0001004727]_x000D_
[PRDID].[].[20000184]_x000D_
[KEY_FIGURES].[].[ZACTUALSALES]_x000D_
[LOCID].[].[0001004727]_x000D_
[PRDID].[].[20000184]_x000D_
[KEY_FIGURES].[].[ZCONSENSUSDEMAND]_x000D_
[LOCID].[].[0001004727]_x000D_
[PRDID].[].[20000184]_x000D_
[KEY_FIGURES].[].[INDEPENDENTDEMAND]_x000D_
[LOCID].[].[0001004727]_x000D_
[PRDID].[].[20000198]_x000D_
[KEY_FIGURES].[].[ZCONSENSUSDEMANDQTY]_x000D_
[LOCID].[].[0001004727]_x000D_
[PRDID].[].[20000198]_x000D_
[KEY_FIGURES].[].[ZINPUTSOFC]_x000D_
[LOCID].[].[0001004727]_x000D_
[PRDID].[].[20000198]_x000D_
[KEY_FIGURES].[].[ZFORECASTOPENOUTPUT]_x000D_
[LOCID].[].[0001004727]_x000D_
[PRDID].[].[20000198]_x000D_
[KEY_FIGURES].[].[ZACTUALSALES]_x000D_
[LOCID].[].[0001004727]_x000D_
[PRDID].[].[20000198]_x000D_
[KEY_FIGURES].[].[ZCONSENSUSDEMAND]_x000D_
[LOCID].[].[0001004727]_x000D_
[PRDID].[].[20000198]_x000D_
[KEY_FIGURES].[].[INDEPENDENTDEMAND]_x000D_
[LOCID].[].[0001004727]_x000D_
[PRDID].[].[20000235]_x000D_
[KEY_FIGURES].[].[ZCONSENSUSDEMANDQTY]_x000D_
[LOCID].[].[0001004727]_x000D_
[PRDID].[].[20000235]_x000D_
[KEY_FIGURES].[].[ZINPUTSOFC]_x000D_
[LOCID].[].[0001004727]_x000D_
[PRDID].[].[20000235]_x000D_
[KEY_FIGURES].[].[ZFORECASTOPENOUTPUT]_x000D_
[LOCID].[].[0001004727]_x000D_
[PRDID].[].[20000235]_x000D_
[KEY_FIGURES].[].[ZACTUALSALES]_x000D_
[LOCID].[].[0001004727]_x000D_
[PRDID].[].[20000235]_x000D_
[KEY_FIGURES].[].[ZCONSENSUSDEMAND]_x000D_
[LOCID].[].[0001004727]_x000D_
[PRDID].[].[20000235]_x000D_
[KEY_FIGURES].[].[INDEPENDENTDEMAND]_x000D_
[LOCID].[].[0001004727]_x000D_
[PRDID].[].[20000264]_x000D_
[KEY_FIGURES].[].[ZCONSENSUSDEMANDQTY]_x000D_
[LOCID].[].[0001004727]_x000D_
[PRDID].[].[20000264]_x000D_
[KEY_FIGURES].[].[ZINPUTSOFC]_x000D_
[LOCID].[].[0001004727]_x000D_
[PRDID].[].[20000264]_x000D_
[KEY_FIGURES].[].[ZFORECASTOPENOUTPUT]_x000D_
[LOCID].[].[0001004727]_x000D_
[PRDID].[].[20000264]_x000D_
[KEY_FIGURES].[].[ZACTUALSALES]_x000D_
[LOCID].[].[0001004727]_x000D_
[PRDID].[].[20000264]_x000D_
[KEY_FIGURES].[].[ZCONSENSUSDEMAND]_x000D_
[LOCID].[].[0001004727]_x000D_
[PRDID].[].[20000264]_x000D_
[KEY_FIGURES].[].[INDEPENDENTDEMAND]_x000D_
[LOCID].[].[0001004727]_x000D_
[PRDID].[].[20000265]_x000D_
[KEY_FIGURES].[].[ZCONSENSUSDEMANDQTY]_x000D_
[LOCID].[].[0001004727]_x000D_
[PRDID].[].[20000265]_x000D_
[KEY_FIGURES].[].[ZINPUTSOFC]_x000D_
[LOCID].[].[0001004727]_x000D_
[PRDID].[].[20000265]_x000D_
[KEY_FIGURES].[].[ZFORECASTOPENOUTPUT]_x000D_
[LOCID].[].[0001004727]_x000D_
[PRDID].[].[20000265]_x000D_
[KEY_FIGURES].[].[ZACTUALSALES]_x000D_
[LOCID].[].[0001004727]_x000D_
[PRDID].[].[20000265]_x000D_
[KEY_FIGURES].[].[ZCONSENSUSDEMAND]_x000D_
[LOCID].[].[0001004727]_x000D_
[PRDID].[].[20000265]_x000D_
[KEY_FIGURES].[].[INDEPENDENTDEMAND]_x000D_
[LOCID].[].[0001004727]_x000D_
[PRDID].[].[20000266]_x000D_
[KEY_FIGURES].[].[ZCONSENSUSDEMANDQTY]_x000D_
[LOCID].[].[0001004727]_x000D_
[PRDID].[].[20000266]_x000D_
[KEY_FIGURES].[].[ZINPUTSOFC]_x000D_
[LOCID].[].[0001004727]_x000D_
[PRDID].[].[20000266]_x000D_
[KEY_FIGURES].[].[ZFORECASTOPENOUTPUT]_x000D_
[LOCID].[].[0001004727]_x000D_
[PRDID].[].[20000266]_x000D_
[KEY_FIGURES].[].[ZACTUALSALES]_x000D_
[LOCID].[].[0001004727]_x000D_
[PRDID].[].[20000266]_x000D_
[KEY_FIGURES].[].[ZCONSENSUSDEMAND]_x000D_
[LOCID].[].[0001004727]_x000D_
[PRDID].[].[20000266]_x000D_
[KEY_FIGURES].[].[INDEPENDENTDEMAND]</t>
  </si>
  <si>
    <t>[LOCID].[].[0001004727]_x000D_
[PRDID].[].[20000267]_x000D_
[KEY_FIGURES].[].[ZCONSENSUSDEMANDQTY]_x000D_
[LOCID].[].[0001004727]_x000D_
[PRDID].[].[20000267]_x000D_
[KEY_FIGURES].[].[ZINPUTSOFC]_x000D_
[LOCID].[].[0001004727]_x000D_
[PRDID].[].[20000267]_x000D_
[KEY_FIGURES].[].[ZFORECASTOPENOUTPUT]_x000D_
[LOCID].[].[0001004727]_x000D_
[PRDID].[].[20000267]_x000D_
[KEY_FIGURES].[].[ZACTUALSALES]_x000D_
[LOCID].[].[0001004727]_x000D_
[PRDID].[].[20000267]_x000D_
[KEY_FIGURES].[].[ZCONSENSUSDEMAND]_x000D_
[LOCID].[].[0001004727]_x000D_
[PRDID].[].[20000267]_x000D_
[KEY_FIGURES].[].[INDEPENDENTDEMAND]_x000D_
[LOCID].[].[0001004727]_x000D_
[PRDID].[].[20000268]_x000D_
[KEY_FIGURES].[].[ZCONSENSUSDEMANDQTY]_x000D_
[LOCID].[].[0001004727]_x000D_
[PRDID].[].[20000268]_x000D_
[KEY_FIGURES].[].[ZINPUTSOFC]_x000D_
[LOCID].[].[0001004727]_x000D_
[PRDID].[].[20000268]_x000D_
[KEY_FIGURES].[].[ZFORECASTOPENOUTPUT]_x000D_
[LOCID].[].[0001004727]_x000D_
[PRDID].[].[20000268]_x000D_
[KEY_FIGURES].[].[ZACTUALSALES]_x000D_
[LOCID].[].[0001004727]_x000D_
[PRDID].[].[20000268]_x000D_
[KEY_FIGURES].[].[ZCONSENSUSDEMAND]_x000D_
[LOCID].[].[0001004727]_x000D_
[PRDID].[].[20000268]_x000D_
[KEY_FIGURES].[].[INDEPENDENTDEMAND]_x000D_
[LOCID].[].[0001004727]_x000D_
[PRDID].[].[20000269]_x000D_
[KEY_FIGURES].[].[ZCONSENSUSDEMANDQTY]_x000D_
[LOCID].[].[0001004727]_x000D_
[PRDID].[].[20000269]_x000D_
[KEY_FIGURES].[].[ZINPUTSOFC]_x000D_
[LOCID].[].[0001004727]_x000D_
[PRDID].[].[20000269]_x000D_
[KEY_FIGURES].[].[ZFORECASTOPENOUTPUT]_x000D_
[LOCID].[].[0001004727]_x000D_
[PRDID].[].[20000269]_x000D_
[KEY_FIGURES].[].[ZACTUALSALES]_x000D_
[LOCID].[].[0001004727]_x000D_
[PRDID].[].[20000269]_x000D_
[KEY_FIGURES].[].[ZCONSENSUSDEMAND]_x000D_
[LOCID].[].[0001004727]_x000D_
[PRDID].[].[20000269]_x000D_
[KEY_FIGURES].[].[INDEPENDENTDEMAND]_x000D_
[LOCID].[].[0001004727]_x000D_
[PRDID].[].[20000270]_x000D_
[KEY_FIGURES].[].[ZCONSENSUSDEMANDQTY]_x000D_
[LOCID].[].[0001004727]_x000D_
[PRDID].[].[20000270]_x000D_
[KEY_FIGURES].[].[ZINPUTSOFC]_x000D_
[LOCID].[].[0001004727]_x000D_
[PRDID].[].[20000270]_x000D_
[KEY_FIGURES].[].[ZFORECASTOPENOUTPUT]_x000D_
[LOCID].[].[0001004727]_x000D_
[PRDID].[].[20000270]_x000D_
[KEY_FIGURES].[].[ZACTUALSALES]_x000D_
[LOCID].[].[0001004727]_x000D_
[PRDID].[].[20000270]_x000D_
[KEY_FIGURES].[].[ZCONSENSUSDEMAND]_x000D_
[LOCID].[].[0001004727]_x000D_
[PRDID].[].[20000270]_x000D_
[KEY_FIGURES].[].[INDEPENDENTDEMAND]_x000D_
[LOCID].[].[0001004727]_x000D_
[PRDID].[].[20000271]_x000D_
[KEY_FIGURES].[].[ZCONSENSUSDEMANDQTY]_x000D_
[LOCID].[].[0001004727]_x000D_
[PRDID].[].[20000271]_x000D_
[KEY_FIGURES].[].[ZINPUTSOFC]_x000D_
[LOCID].[].[0001004727]_x000D_
[PRDID].[].[20000271]_x000D_
[KEY_FIGURES].[].[ZFORECASTOPENOUTPUT]_x000D_
[LOCID].[].[0001004727]_x000D_
[PRDID].[].[20000271]_x000D_
[KEY_FIGURES].[].[ZACTUALSALES]_x000D_
[LOCID].[].[0001004727]_x000D_
[PRDID].[].[20000271]_x000D_
[KEY_FIGURES].[].[ZCONSENSUSDEMAND]_x000D_
[LOCID].[].[0001004727]_x000D_
[PRDID].[].[20000271]_x000D_
[KEY_FIGURES].[].[INDEPENDENTDEMAND]_x000D_
[LOCID].[].[0001004727]_x000D_
[PRDID].[].[20000272]_x000D_
[KEY_FIGURES].[].[ZCONSENSUSDEMANDQTY]_x000D_
[LOCID].[].[0001004727]_x000D_
[PRDID].[].[20000272]_x000D_
[KEY_FIGURES].[].[ZINPUTSOFC]_x000D_
[LOCID].[].[0001004727]_x000D_
[PRDID].[].[20000272]_x000D_
[KEY_FIGURES].[].[ZFORECASTOPENOUTPUT]_x000D_
[LOCID].[].[0001004727]_x000D_
[PRDID].[].[20000272]_x000D_
[KEY_FIGURES].[].[ZACTUALSALES]_x000D_
[LOCID].[].[0001004727]_x000D_
[PRDID].[].[20000272]_x000D_
[KEY_FIGURES].[].[ZCONSENSUSDEMAND]_x000D_
[LOCID].[].[0001004727]_x000D_
[PRDID].[].[20000272]_x000D_
[KEY_FIGURES].[].[INDEPENDENTDEMAND]_x000D_
[LOCID].[].[0001004727]_x000D_
[PRDID].[].[20000273]_x000D_
[KEY_FIGURES].[].[ZCONSENSUSDEMANDQTY]_x000D_
[LOCID].[].[0001004727]_x000D_
[PRDID].[].[20000273]_x000D_
[KEY_FIGURES].[].[ZINPUTSOFC]_x000D_
[LOCID].[].[0001004727]_x000D_
[PRDID].[].[20000273]_x000D_
[KEY_FIGURES].[].[ZFORECASTOPENOUTPUT]_x000D_
[LOCID].[].[0001004727]_x000D_
[PRDID].[].[20000273]_x000D_
[KEY_FIGURES].[].[ZACTUALSALES]_x000D_
[LOCID].[].[0001004727]_x000D_
[PRDID].[].[20000273]_x000D_
[KEY_FIGURES].[].[ZCONSENSUSDEMAND]_x000D_
[LOCID].[].[0001004727]_x000D_
[PRDID].[].[20000273]_x000D_
[KEY_FIGURES].[].[INDEPENDENTDEMAND]_x000D_
[LOCID].[].[0001004727]_x000D_
[PRDID].[].[20000274]_x000D_
[KEY_FIGURES].[].[ZCONSENSUSDEMANDQTY]_x000D_
[LOCID].[].[0001004727]_x000D_
[PRDID].[].[20000274]_x000D_
[KEY_FIGURES].[].[ZINPUTSOFC]_x000D_
[LOCID].[].[0001004727]_x000D_
[PRDID].[].[20000274]_x000D_
[KEY_FIGURES].[].[ZFORECASTOPENOUTPUT]_x000D_
[LOCID].[].[0001004727]_x000D_
[PRDID].[].[20000274]_x000D_
[KEY_FIGURES].[].[ZACTUALSALES]_x000D_
[LOCID].[].[0001004727]_x000D_
[PRDID].[].[20000274]_x000D_
[KEY_FIGURES].[].[ZCONSENSUSDEMAND]_x000D_
[LOCID].[].[0001004727]_x000D_
[PRDID].[].[20000274]_x000D_
[KEY_FIGURES].[].[INDEPENDENTDEMAND]_x000D_
[LOCID].[].[0001004727]_x000D_
[PRDID].[].[20000275]_x000D_
[KEY_FIGURES].[].[ZCONSENSUSDEMANDQTY]_x000D_
[LOCID].[].[0001004727]_x000D_
[PRDID].[].[20000275]_x000D_
[KEY_FIGURES].[].[ZINPUTSOFC]_x000D_
[LOCID].[].[0001004727]_x000D_
[PRDID].[].[20000275]_x000D_
[KEY_FIGURES].[].[ZFORECASTOPENOUTPUT]_x000D_
[LOCID].[].[0001004727]_x000D_
[PRDID].[].[20000275]_x000D_
[KEY_FIGURES].[].[ZACTUALSALES]_x000D_
[LOCID].[].[0001004727]_x000D_
[PRDID].[].[20000275]_x000D_
[KEY_FIGURES].[].[ZCONSENSUSDEMAND]_x000D_
[LOCID].[].[0001004727]_x000D_
[PRDID].[].[20000275]_x000D_
[KEY_FIGURES].[].[INDEPENDENTDEMAND]_x000D_
[LOCID].[].[0001004727]_x000D_
[PRDID].[].[20000276]_x000D_
[KEY_FIGURES].[].[ZCONSENSUSDEMANDQTY]_x000D_
[LOCID].[].[0001004727]_x000D_
[PRDID].[].[20000276]_x000D_
[KEY_FIGURES].[].[ZINPUTSOFC]_x000D_
[LOCID].[].[0001004727]_x000D_
[PRDID].[].[20000276]_x000D_
[KEY_FIGURES].[].[ZFORECASTOPENOUTPUT]_x000D_
[LOCID].[].[0001004727]_x000D_
[PRDID].[].[20000276]_x000D_
[KEY_FIGURES].[].[ZACTUALSALES]_x000D_
[LOCID].[].[0001004727]_x000D_
[PRDID].[].[20000276]_x000D_
[KEY_FIGURES].[].[ZCONSENSUSDEMAND]_x000D_
[LOCID].[].[0001004727]_x000D_
[PRDID].[].[20000276]_x000D_
[KEY_FIGURES].[].[INDEPENDENTDEMAND]_x000D_
[LOCID].[].[0001004727]_x000D_
[PRDID].[].[20000277]_x000D_
[KEY_FIGURES].[].[ZCONSENSUSDEMANDQTY]_x000D_
[LOCID].[].[0001004727]_x000D_
[PRDID].[].[20000277]_x000D_
[KEY_FIGURES].[].[ZINPUTSOFC]_x000D_
[LOCID].[].[0001004727]_x000D_
[PRDID].[].[20000277]_x000D_
[KEY_FIGURES].[].[ZFORECASTOPENOUTPUT]_x000D_
[LOCID].[].[0001004727]_x000D_
[PRDID].[].[20000277]_x000D_
[KEY_FIGURES].[].[ZACTUALSALES]_x000D_
[LOCID].[].[0001004727]_x000D_
[PRDID].[].[20000277]_x000D_
[KEY_FIGURES].[].[ZCONSENSUSDEMAND]_x000D_
[LOCID].[].[0001004727]_x000D_
[PRDID].[].[20000277]_x000D_
[KEY_FIGURES].[].[INDEPENDENTDEMAND]_x000D_
[LOCID].[].[0001004727]_x000D_
[PRDID].[].[20000278]</t>
  </si>
  <si>
    <t>[KEY_FIGURES].[].[ZCONSENSUSDEMANDQTY]_x000D_
[LOCID].[].[0001004727]_x000D_
[PRDID].[].[20000278]_x000D_
[KEY_FIGURES].[].[ZINPUTSOFC]_x000D_
[LOCID].[].[0001004727]_x000D_
[PRDID].[].[20000278]_x000D_
[KEY_FIGURES].[].[ZFORECASTOPENOUTPUT]_x000D_
[LOCID].[].[0001004727]_x000D_
[PRDID].[].[20000278]_x000D_
[KEY_FIGURES].[].[ZACTUALSALES]_x000D_
[LOCID].[].[0001004727]_x000D_
[PRDID].[].[20000278]_x000D_
[KEY_FIGURES].[].[ZCONSENSUSDEMAND]_x000D_
[LOCID].[].[0001004727]_x000D_
[PRDID].[].[20000278]_x000D_
[KEY_FIGURES].[].[INDEPENDENTDEMAND]_x000D_
[LOCID].[].[0001004727]_x000D_
[PRDID].[].[20000279]_x000D_
[KEY_FIGURES].[].[ZCONSENSUSDEMANDQTY]_x000D_
[LOCID].[].[0001004727]_x000D_
[PRDID].[].[20000279]_x000D_
[KEY_FIGURES].[].[ZINPUTSOFC]_x000D_
[LOCID].[].[0001004727]_x000D_
[PRDID].[].[20000279]_x000D_
[KEY_FIGURES].[].[ZFORECASTOPENOUTPUT]_x000D_
[LOCID].[].[0001004727]_x000D_
[PRDID].[].[20000279]_x000D_
[KEY_FIGURES].[].[ZACTUALSALES]_x000D_
[LOCID].[].[0001004727]_x000D_
[PRDID].[].[20000279]_x000D_
[KEY_FIGURES].[].[ZCONSENSUSDEMAND]_x000D_
[LOCID].[].[0001004727]_x000D_
[PRDID].[].[20000279]_x000D_
[KEY_FIGURES].[].[INDEPENDENTDEMAND]_x000D_
[LOCID].[].[0001004727]_x000D_
[PRDID].[].[20000280]_x000D_
[KEY_FIGURES].[].[ZCONSENSUSDEMANDQTY]_x000D_
[LOCID].[].[0001004727]_x000D_
[PRDID].[].[20000280]_x000D_
[KEY_FIGURES].[].[ZINPUTSOFC]_x000D_
[LOCID].[].[0001004727]_x000D_
[PRDID].[].[20000280]_x000D_
[KEY_FIGURES].[].[ZFORECASTOPENOUTPUT]_x000D_
[LOCID].[].[0001004727]_x000D_
[PRDID].[].[20000280]_x000D_
[KEY_FIGURES].[].[ZACTUALSALES]_x000D_
[LOCID].[].[0001004727]_x000D_
[PRDID].[].[20000280]_x000D_
[KEY_FIGURES].[].[ZCONSENSUSDEMAND]_x000D_
[LOCID].[].[0001004727]_x000D_
[PRDID].[].[20000280]_x000D_
[KEY_FIGURES].[].[INDEPENDENTDEMAND]_x000D_
[LOCID].[].[0001004727]_x000D_
[PRDID].[].[20000281]_x000D_
[KEY_FIGURES].[].[ZCONSENSUSDEMANDQTY]_x000D_
[LOCID].[].[0001004727]_x000D_
[PRDID].[].[20000281]_x000D_
[KEY_FIGURES].[].[ZINPUTSOFC]_x000D_
[LOCID].[].[0001004727]_x000D_
[PRDID].[].[20000281]_x000D_
[KEY_FIGURES].[].[ZFORECASTOPENOUTPUT]_x000D_
[LOCID].[].[0001004727]_x000D_
[PRDID].[].[20000281]_x000D_
[KEY_FIGURES].[].[ZACTUALSALES]_x000D_
[LOCID].[].[0001004727]_x000D_
[PRDID].[].[20000281]_x000D_
[KEY_FIGURES].[].[ZCONSENSUSDEMAND]_x000D_
[LOCID].[].[0001004727]_x000D_
[PRDID].[].[20000281]_x000D_
[KEY_FIGURES].[].[INDEPENDENTDEMAND]_x000D_
[LOCID].[].[0001004727]_x000D_
[PRDID].[].[20000282]_x000D_
[KEY_FIGURES].[].[ZCONSENSUSDEMANDQTY]_x000D_
[LOCID].[].[0001004727]_x000D_
[PRDID].[].[20000282]_x000D_
[KEY_FIGURES].[].[ZINPUTSOFC]_x000D_
[LOCID].[].[0001004727]_x000D_
[PRDID].[].[20000282]_x000D_
[KEY_FIGURES].[].[ZFORECASTOPENOUTPUT]_x000D_
[LOCID].[].[0001004727]_x000D_
[PRDID].[].[20000282]_x000D_
[KEY_FIGURES].[].[ZACTUALSALES]_x000D_
[LOCID].[].[0001004727]_x000D_
[PRDID].[].[20000282]_x000D_
[KEY_FIGURES].[].[ZCONSENSUSDEMAND]_x000D_
[LOCID].[].[0001004727]_x000D_
[PRDID].[].[20000282]_x000D_
[KEY_FIGURES].[].[INDEPENDENTDEMAND]_x000D_
[LOCID].[].[0001004727]_x000D_
[PRDID].[].[20000283]_x000D_
[KEY_FIGURES].[].[ZCONSENSUSDEMANDQTY]_x000D_
[LOCID].[].[0001004727]_x000D_
[PRDID].[].[20000283]_x000D_
[KEY_FIGURES].[].[ZINPUTSOFC]_x000D_
[LOCID].[].[0001004727]_x000D_
[PRDID].[].[20000283]_x000D_
[KEY_FIGURES].[].[ZFORECASTOPENOUTPUT]_x000D_
[LOCID].[].[0001004727]_x000D_
[PRDID].[].[20000283]_x000D_
[KEY_FIGURES].[].[ZACTUALSALES]_x000D_
[LOCID].[].[0001004727]_x000D_
[PRDID].[].[20000283]_x000D_
[KEY_FIGURES].[].[ZCONSENSUSDEMAND]_x000D_
[LOCID].[].[0001004727]_x000D_
[PRDID].[].[20000283]_x000D_
[KEY_FIGURES].[].[INDEPENDENTDEMAND]_x000D_
[LOCID].[].[0001004727]_x000D_
[PRDID].[].[20000284]_x000D_
[KEY_FIGURES].[].[ZCONSENSUSDEMANDQTY]_x000D_
[LOCID].[].[0001004727]_x000D_
[PRDID].[].[20000284]_x000D_
[KEY_FIGURES].[].[ZINPUTSOFC]_x000D_
[LOCID].[].[0001004727]_x000D_
[PRDID].[].[20000284]_x000D_
[KEY_FIGURES].[].[ZFORECASTOPENOUTPUT]_x000D_
[LOCID].[].[0001004727]_x000D_
[PRDID].[].[20000284]_x000D_
[KEY_FIGURES].[].[ZACTUALSALES]_x000D_
[LOCID].[].[0001004727]_x000D_
[PRDID].[].[20000284]_x000D_
[KEY_FIGURES].[].[ZCONSENSUSDEMAND]_x000D_
[LOCID].[].[0001004727]_x000D_
[PRDID].[].[20000284]_x000D_
[KEY_FIGURES].[].[INDEPENDENTDEMAND]_x000D_
[LOCID].[].[0001004727]_x000D_
[PRDID].[].[20000285]_x000D_
[KEY_FIGURES].[].[ZCONSENSUSDEMANDQTY]_x000D_
[LOCID].[].[0001004727]_x000D_
[PRDID].[].[20000285]_x000D_
[KEY_FIGURES].[].[ZINPUTSOFC]_x000D_
[LOCID].[].[0001004727]_x000D_
[PRDID].[].[20000285]_x000D_
[KEY_FIGURES].[].[ZFORECASTOPENOUTPUT]_x000D_
[LOCID].[].[0001004727]_x000D_
[PRDID].[].[20000285]_x000D_
[KEY_FIGURES].[].[ZACTUALSALES]_x000D_
[LOCID].[].[0001004727]_x000D_
[PRDID].[].[20000285]_x000D_
[KEY_FIGURES].[].[ZCONSENSUSDEMAND]_x000D_
[LOCID].[].[0001004727]_x000D_
[PRDID].[].[20000285]_x000D_
[KEY_FIGURES].[].[INDEPENDENTDEMAND]_x000D_
[LOCID].[].[0001004727]_x000D_
[PRDID].[].[20000286]_x000D_
[KEY_FIGURES].[].[ZCONSENSUSDEMANDQTY]_x000D_
[LOCID].[].[0001004727]_x000D_
[PRDID].[].[20000286]_x000D_
[KEY_FIGURES].[].[ZINPUTSOFC]_x000D_
[LOCID].[].[0001004727]_x000D_
[PRDID].[].[20000286]_x000D_
[KEY_FIGURES].[].[ZFORECASTOPENOUTPUT]_x000D_
[LOCID].[].[0001004727]_x000D_
[PRDID].[].[20000286]_x000D_
[KEY_FIGURES].[].[ZACTUALSALES]_x000D_
[LOCID].[].[0001004727]_x000D_
[PRDID].[].[20000286]_x000D_
[KEY_FIGURES].[].[ZCONSENSUSDEMAND]_x000D_
[LOCID].[].[0001004727]_x000D_
[PRDID].[].[20000286]_x000D_
[KEY_FIGURES].[].[INDEPENDENTDEMAND]_x000D_
[LOCID].[].[0001004727]_x000D_
[PRDID].[].[20000287]_x000D_
[KEY_FIGURES].[].[ZCONSENSUSDEMANDQTY]_x000D_
[LOCID].[].[0001004727]_x000D_
[PRDID].[].[20000287]_x000D_
[KEY_FIGURES].[].[ZINPUTSOFC]_x000D_
[LOCID].[].[0001004727]_x000D_
[PRDID].[].[20000287]_x000D_
[KEY_FIGURES].[].[ZFORECASTOPENOUTPUT]_x000D_
[LOCID].[].[0001004727]_x000D_
[PRDID].[].[20000287]_x000D_
[KEY_FIGURES].[].[ZACTUALSALES]_x000D_
[LOCID].[].[0001004727]_x000D_
[PRDID].[].[20000287]_x000D_
[KEY_FIGURES].[].[ZCONSENSUSDEMAND]_x000D_
[LOCID].[].[0001004727]_x000D_
[PRDID].[].[20000287]_x000D_
[KEY_FIGURES].[].[INDEPENDENTDEMAND]_x000D_
[LOCID].[].[0001004727]_x000D_
[PRDID].[].[20000288]_x000D_
[KEY_FIGURES].[].[ZCONSENSUSDEMANDQTY]_x000D_
[LOCID].[].[0001004727]_x000D_
[PRDID].[].[20000288]_x000D_
[KEY_FIGURES].[].[ZINPUTSOFC]_x000D_
[LOCID].[].[0001004727]_x000D_
[PRDID].[].[20000288]_x000D_
[KEY_FIGURES].[].[ZFORECASTOPENOUTPUT]_x000D_
[LOCID].[].[0001004727]_x000D_
[PRDID].[].[20000288]_x000D_
[KEY_FIGURES].[].[ZACTUALSALES]_x000D_
[LOCID].[].[0001004727]_x000D_
[PRDID].[].[20000288]_x000D_
[KEY_FIGURES].[].[ZCONSENSUSDEMAND]_x000D_
[LOCID].[].[0001004727]_x000D_
[PRDID].[].[20000288]_x000D_
[KEY_FIGURES].[].[INDEPENDENTDEMAND]_x000D_
[LOCID].[].[0001004727]_x000D_
[PRDID].[].[20000289]_x000D_
[KEY_FIGURES].[].[ZCONSENSUSDEMANDQTY]_x000D_
[LOCID].[].[0001004727]</t>
  </si>
  <si>
    <t>[PRDID].[].[20000289]_x000D_
[KEY_FIGURES].[].[ZINPUTSOFC]_x000D_
[LOCID].[].[0001004727]_x000D_
[PRDID].[].[20000289]_x000D_
[KEY_FIGURES].[].[ZFORECASTOPENOUTPUT]_x000D_
[LOCID].[].[0001004727]_x000D_
[PRDID].[].[20000289]_x000D_
[KEY_FIGURES].[].[ZACTUALSALES]_x000D_
[LOCID].[].[0001004727]_x000D_
[PRDID].[].[20000289]_x000D_
[KEY_FIGURES].[].[ZCONSENSUSDEMAND]_x000D_
[LOCID].[].[0001004727]_x000D_
[PRDID].[].[20000289]_x000D_
[KEY_FIGURES].[].[INDEPENDENTDEMAND]_x000D_
[LOCID].[].[0001004727]_x000D_
[PRDID].[].[20000290]_x000D_
[KEY_FIGURES].[].[ZCONSENSUSDEMANDQTY]_x000D_
[LOCID].[].[0001004727]_x000D_
[PRDID].[].[20000290]_x000D_
[KEY_FIGURES].[].[ZINPUTSOFC]_x000D_
[LOCID].[].[0001004727]_x000D_
[PRDID].[].[20000290]_x000D_
[KEY_FIGURES].[].[ZFORECASTOPENOUTPUT]_x000D_
[LOCID].[].[0001004727]_x000D_
[PRDID].[].[20000290]_x000D_
[KEY_FIGURES].[].[ZACTUALSALES]_x000D_
[LOCID].[].[0001004727]_x000D_
[PRDID].[].[20000290]_x000D_
[KEY_FIGURES].[].[ZCONSENSUSDEMAND]_x000D_
[LOCID].[].[0001004727]_x000D_
[PRDID].[].[20000290]_x000D_
[KEY_FIGURES].[].[INDEPENDENTDEMAND]_x000D_
[LOCID].[].[0001004727]_x000D_
[PRDID].[].[20000291]_x000D_
[KEY_FIGURES].[].[ZCONSENSUSDEMANDQTY]_x000D_
[LOCID].[].[0001004727]_x000D_
[PRDID].[].[20000291]_x000D_
[KEY_FIGURES].[].[ZINPUTSOFC]_x000D_
[LOCID].[].[0001004727]_x000D_
[PRDID].[].[20000291]_x000D_
[KEY_FIGURES].[].[ZFORECASTOPENOUTPUT]_x000D_
[LOCID].[].[0001004727]_x000D_
[PRDID].[].[20000291]_x000D_
[KEY_FIGURES].[].[ZACTUALSALES]_x000D_
[LOCID].[].[0001004727]_x000D_
[PRDID].[].[20000291]_x000D_
[KEY_FIGURES].[].[ZCONSENSUSDEMAND]_x000D_
[LOCID].[].[0001004727]_x000D_
[PRDID].[].[20000291]_x000D_
[KEY_FIGURES].[].[INDEPENDENTDEMAND]_x000D_
[LOCID].[].[0001004727]_x000D_
[PRDID].[].[20000292]_x000D_
[KEY_FIGURES].[].[ZCONSENSUSDEMANDQTY]_x000D_
[LOCID].[].[0001004727]_x000D_
[PRDID].[].[20000292]_x000D_
[KEY_FIGURES].[].[ZINPUTSOFC]_x000D_
[LOCID].[].[0001004727]_x000D_
[PRDID].[].[20000292]_x000D_
[KEY_FIGURES].[].[ZFORECASTOPENOUTPUT]_x000D_
[LOCID].[].[0001004727]_x000D_
[PRDID].[].[20000292]_x000D_
[KEY_FIGURES].[].[ZACTUALSALES]_x000D_
[LOCID].[].[0001004727]_x000D_
[PRDID].[].[20000292]_x000D_
[KEY_FIGURES].[].[ZCONSENSUSDEMAND]_x000D_
[LOCID].[].[0001004727]_x000D_
[PRDID].[].[20000292]_x000D_
[KEY_FIGURES].[].[INDEPENDENTDEMAND]_x000D_
[LOCID].[].[0001004727]_x000D_
[PRDID].[].[20000293]_x000D_
[KEY_FIGURES].[].[ZCONSENSUSDEMANDQTY]_x000D_
[LOCID].[].[0001004727]_x000D_
[PRDID].[].[20000293]_x000D_
[KEY_FIGURES].[].[ZINPUTSOFC]_x000D_
[LOCID].[].[0001004727]_x000D_
[PRDID].[].[20000293]_x000D_
[KEY_FIGURES].[].[ZFORECASTOPENOUTPUT]_x000D_
[LOCID].[].[0001004727]_x000D_
[PRDID].[].[20000293]_x000D_
[KEY_FIGURES].[].[ZACTUALSALES]_x000D_
[LOCID].[].[0001004727]_x000D_
[PRDID].[].[20000293]_x000D_
[KEY_FIGURES].[].[ZCONSENSUSDEMAND]_x000D_
[LOCID].[].[0001004727]_x000D_
[PRDID].[].[20000293]_x000D_
[KEY_FIGURES].[].[INDEPENDENTDEMAND]_x000D_
[LOCID].[].[0001004727]_x000D_
[PRDID].[].[20000294]_x000D_
[KEY_FIGURES].[].[ZCONSENSUSDEMANDQTY]_x000D_
[LOCID].[].[0001004727]_x000D_
[PRDID].[].[20000294]_x000D_
[KEY_FIGURES].[].[ZINPUTSOFC]_x000D_
[LOCID].[].[0001004727]_x000D_
[PRDID].[].[20000294]_x000D_
[KEY_FIGURES].[].[ZFORECASTOPENOUTPUT]_x000D_
[LOCID].[].[0001004727]_x000D_
[PRDID].[].[20000294]_x000D_
[KEY_FIGURES].[].[ZACTUALSALES]_x000D_
[LOCID].[].[0001004727]_x000D_
[PRDID].[].[20000294]_x000D_
[KEY_FIGURES].[].[ZCONSENSUSDEMAND]_x000D_
[LOCID].[].[0001004727]_x000D_
[PRDID].[].[20000294]_x000D_
[KEY_FIGURES].[].[INDEPENDENTDEMAND]_x000D_
[LOCID].[].[0001004727]_x000D_
[PRDID].[].[20000295]_x000D_
[KEY_FIGURES].[].[ZCONSENSUSDEMANDQTY]_x000D_
[LOCID].[].[0001004727]_x000D_
[PRDID].[].[20000295]_x000D_
[KEY_FIGURES].[].[ZINPUTSOFC]_x000D_
[LOCID].[].[0001004727]_x000D_
[PRDID].[].[20000295]_x000D_
[KEY_FIGURES].[].[ZFORECASTOPENOUTPUT]_x000D_
[LOCID].[].[0001004727]_x000D_
[PRDID].[].[20000295]_x000D_
[KEY_FIGURES].[].[ZACTUALSALES]_x000D_
[LOCID].[].[0001004727]_x000D_
[PRDID].[].[20000295]_x000D_
[KEY_FIGURES].[].[ZCONSENSUSDEMAND]_x000D_
[LOCID].[].[0001004727]_x000D_
[PRDID].[].[20000295]_x000D_
[KEY_FIGURES].[].[INDEPENDENTDEMAND]_x000D_
[LOCID].[].[0001004727]_x000D_
[PRDID].[].[20000296]_x000D_
[KEY_FIGURES].[].[ZCONSENSUSDEMANDQTY]_x000D_
[LOCID].[].[0001004727]_x000D_
[PRDID].[].[20000296]_x000D_
[KEY_FIGURES].[].[ZINPUTSOFC]_x000D_
[LOCID].[].[0001004727]_x000D_
[PRDID].[].[20000296]_x000D_
[KEY_FIGURES].[].[ZFORECASTOPENOUTPUT]_x000D_
[LOCID].[].[0001004727]_x000D_
[PRDID].[].[20000296]_x000D_
[KEY_FIGURES].[].[ZACTUALSALES]_x000D_
[LOCID].[].[0001004727]_x000D_
[PRDID].[].[20000296]_x000D_
[KEY_FIGURES].[].[ZCONSENSUSDEMAND]_x000D_
[LOCID].[].[0001004727]_x000D_
[PRDID].[].[20000296]_x000D_
[KEY_FIGURES].[].[INDEPENDENTDEMAND]_x000D_
[LOCID].[].[0001004727]_x000D_
[PRDID].[].[20000297]_x000D_
[KEY_FIGURES].[].[ZCONSENSUSDEMANDQTY]_x000D_
[LOCID].[].[0001004727]_x000D_
[PRDID].[].[20000297]_x000D_
[KEY_FIGURES].[].[ZINPUTSOFC]_x000D_
[LOCID].[].[0001004727]_x000D_
[PRDID].[].[20000297]_x000D_
[KEY_FIGURES].[].[ZFORECASTOPENOUTPUT]_x000D_
[LOCID].[].[0001004727]_x000D_
[PRDID].[].[20000297]_x000D_
[KEY_FIGURES].[].[ZACTUALSALES]_x000D_
[LOCID].[].[0001004727]_x000D_
[PRDID].[].[20000297]_x000D_
[KEY_FIGURES].[].[ZCONSENSUSDEMAND]_x000D_
[LOCID].[].[0001004727]_x000D_
[PRDID].[].[20000297]_x000D_
[KEY_FIGURES].[].[INDEPENDENTDEMAND]_x000D_
[LOCID].[].[0001004727]_x000D_
[PRDID].[].[20000298]_x000D_
[KEY_FIGURES].[].[ZCONSENSUSDEMANDQTY]_x000D_
[LOCID].[].[0001004727]_x000D_
[PRDID].[].[20000298]_x000D_
[KEY_FIGURES].[].[ZINPUTSOFC]_x000D_
[LOCID].[].[0001004727]_x000D_
[PRDID].[].[20000298]_x000D_
[KEY_FIGURES].[].[ZFORECASTOPENOUTPUT]_x000D_
[LOCID].[].[0001004727]_x000D_
[PRDID].[].[20000298]_x000D_
[KEY_FIGURES].[].[ZACTUALSALES]_x000D_
[LOCID].[].[0001004727]_x000D_
[PRDID].[].[20000298]_x000D_
[KEY_FIGURES].[].[ZCONSENSUSDEMAND]_x000D_
[LOCID].[].[0001004727]_x000D_
[PRDID].[].[20000298]_x000D_
[KEY_FIGURES].[].[INDEPENDENTDEMAND]_x000D_
[LOCID].[].[0001004727]_x000D_
[PRDID].[].[20000299]_x000D_
[KEY_FIGURES].[].[ZCONSENSUSDEMANDQTY]_x000D_
[LOCID].[].[0001004727]_x000D_
[PRDID].[].[20000299]_x000D_
[KEY_FIGURES].[].[ZINPUTSOFC]_x000D_
[LOCID].[].[0001004727]_x000D_
[PRDID].[].[20000299]_x000D_
[KEY_FIGURES].[].[ZFORECASTOPENOUTPUT]_x000D_
[LOCID].[].[0001004727]_x000D_
[PRDID].[].[20000299]_x000D_
[KEY_FIGURES].[].[ZACTUALSALES]_x000D_
[LOCID].[].[0001004727]_x000D_
[PRDID].[].[20000299]_x000D_
[KEY_FIGURES].[].[ZCONSENSUSDEMAND]_x000D_
[LOCID].[].[0001004727]_x000D_
[PRDID].[].[20000299]_x000D_
[KEY_FIGURES].[].[INDEPENDENTDEMAND]_x000D_
[LOCID].[].[0001004727]_x000D_
[PRDID].[].[20000300]_x000D_
[KEY_FIGURES].[].[ZCONSENSUSDEMANDQTY]_x000D_
[LOCID].[].[0001004727]_x000D_
[PRDID].[].[20000300]_x000D_
[KEY_FIGURES].[].[ZINPUTSOFC]</t>
  </si>
  <si>
    <t>[LOCID].[].[0001004727]_x000D_
[PRDID].[].[20000300]_x000D_
[KEY_FIGURES].[].[ZFORECASTOPENOUTPUT]_x000D_
[LOCID].[].[0001004727]_x000D_
[PRDID].[].[20000300]_x000D_
[KEY_FIGURES].[].[ZACTUALSALES]_x000D_
[LOCID].[].[0001004727]_x000D_
[PRDID].[].[20000300]_x000D_
[KEY_FIGURES].[].[ZCONSENSUSDEMAND]_x000D_
[LOCID].[].[0001004727]_x000D_
[PRDID].[].[20000300]_x000D_
[KEY_FIGURES].[].[INDEPENDENTDEMAND]_x000D_
[LOCID].[].[0001004727]_x000D_
[PRDID].[].[20000301]_x000D_
[KEY_FIGURES].[].[ZCONSENSUSDEMANDQTY]_x000D_
[LOCID].[].[0001004727]_x000D_
[PRDID].[].[20000301]_x000D_
[KEY_FIGURES].[].[ZINPUTSOFC]_x000D_
[LOCID].[].[0001004727]_x000D_
[PRDID].[].[20000301]_x000D_
[KEY_FIGURES].[].[ZFORECASTOPENOUTPUT]_x000D_
[LOCID].[].[0001004727]_x000D_
[PRDID].[].[20000301]_x000D_
[KEY_FIGURES].[].[ZACTUALSALES]_x000D_
[LOCID].[].[0001004727]_x000D_
[PRDID].[].[20000301]_x000D_
[KEY_FIGURES].[].[ZCONSENSUSDEMAND]_x000D_
[LOCID].[].[0001004727]_x000D_
[PRDID].[].[20000301]_x000D_
[KEY_FIGURES].[].[INDEPENDENTDEMAND]_x000D_
[LOCID].[].[0001004727]_x000D_
[PRDID].[].[20000302]_x000D_
[KEY_FIGURES].[].[ZCONSENSUSDEMANDQTY]_x000D_
[LOCID].[].[0001004727]_x000D_
[PRDID].[].[20000302]_x000D_
[KEY_FIGURES].[].[ZINPUTSOFC]_x000D_
[LOCID].[].[0001004727]_x000D_
[PRDID].[].[20000302]_x000D_
[KEY_FIGURES].[].[ZFORECASTOPENOUTPUT]_x000D_
[LOCID].[].[0001004727]_x000D_
[PRDID].[].[20000302]_x000D_
[KEY_FIGURES].[].[ZACTUALSALES]_x000D_
[LOCID].[].[0001004727]_x000D_
[PRDID].[].[20000302]_x000D_
[KEY_FIGURES].[].[ZCONSENSUSDEMAND]_x000D_
[LOCID].[].[0001004727]_x000D_
[PRDID].[].[20000302]_x000D_
[KEY_FIGURES].[].[INDEPENDENTDEMAND]_x000D_
[LOCID].[].[0001004727]_x000D_
[PRDID].[].[20000303]_x000D_
[KEY_FIGURES].[].[ZCONSENSUSDEMANDQTY]_x000D_
[LOCID].[].[0001004727]_x000D_
[PRDID].[].[20000303]_x000D_
[KEY_FIGURES].[].[ZINPUTSOFC]_x000D_
[LOCID].[].[0001004727]_x000D_
[PRDID].[].[20000303]_x000D_
[KEY_FIGURES].[].[ZFORECASTOPENOUTPUT]_x000D_
[LOCID].[].[0001004727]_x000D_
[PRDID].[].[20000303]_x000D_
[KEY_FIGURES].[].[ZACTUALSALES]_x000D_
[LOCID].[].[0001004727]_x000D_
[PRDID].[].[20000303]_x000D_
[KEY_FIGURES].[].[ZCONSENSUSDEMAND]_x000D_
[LOCID].[].[0001004727]_x000D_
[PRDID].[].[20000303]_x000D_
[KEY_FIGURES].[].[INDEPENDENTDEMAND]_x000D_
[LOCID].[].[0001004727]_x000D_
[PRDID].[].[20000304]_x000D_
[KEY_FIGURES].[].[ZCONSENSUSDEMANDQTY]_x000D_
[LOCID].[].[0001004727]_x000D_
[PRDID].[].[20000304]_x000D_
[KEY_FIGURES].[].[ZINPUTSOFC]_x000D_
[LOCID].[].[0001004727]_x000D_
[PRDID].[].[20000304]_x000D_
[KEY_FIGURES].[].[ZFORECASTOPENOUTPUT]_x000D_
[LOCID].[].[0001004727]_x000D_
[PRDID].[].[20000304]_x000D_
[KEY_FIGURES].[].[ZACTUALSALES]_x000D_
[LOCID].[].[0001004727]_x000D_
[PRDID].[].[20000304]_x000D_
[KEY_FIGURES].[].[ZCONSENSUSDEMAND]_x000D_
[LOCID].[].[0001004727]_x000D_
[PRDID].[].[20000304]_x000D_
[KEY_FIGURES].[].[INDEPENDENTDEMAND]_x000D_
[LOCID].[].[0001004727]_x000D_
[PRDID].[].[20000305]_x000D_
[KEY_FIGURES].[].[ZCONSENSUSDEMANDQTY]_x000D_
[LOCID].[].[0001004727]_x000D_
[PRDID].[].[20000305]_x000D_
[KEY_FIGURES].[].[ZINPUTSOFC]_x000D_
[LOCID].[].[0001004727]_x000D_
[PRDID].[].[20000305]_x000D_
[KEY_FIGURES].[].[ZFORECASTOPENOUTPUT]_x000D_
[LOCID].[].[0001004727]_x000D_
[PRDID].[].[20000305]_x000D_
[KEY_FIGURES].[].[ZACTUALSALES]_x000D_
[LOCID].[].[0001004727]_x000D_
[PRDID].[].[20000305]_x000D_
[KEY_FIGURES].[].[ZCONSENSUSDEMAND]_x000D_
[LOCID].[].[0001004727]_x000D_
[PRDID].[].[20000305]_x000D_
[KEY_FIGURES].[].[INDEPENDENTDEMAND]_x000D_
[LOCID].[].[0001004727]_x000D_
[PRDID].[].[20000306]_x000D_
[KEY_FIGURES].[].[ZCONSENSUSDEMANDQTY]_x000D_
[LOCID].[].[0001004727]_x000D_
[PRDID].[].[20000306]_x000D_
[KEY_FIGURES].[].[ZINPUTSOFC]_x000D_
[LOCID].[].[0001004727]_x000D_
[PRDID].[].[20000306]_x000D_
[KEY_FIGURES].[].[ZFORECASTOPENOUTPUT]_x000D_
[LOCID].[].[0001004727]_x000D_
[PRDID].[].[20000306]_x000D_
[KEY_FIGURES].[].[ZACTUALSALES]_x000D_
[LOCID].[].[0001004727]_x000D_
[PRDID].[].[20000306]_x000D_
[KEY_FIGURES].[].[ZCONSENSUSDEMAND]_x000D_
[LOCID].[].[0001004727]_x000D_
[PRDID].[].[20000306]_x000D_
[KEY_FIGURES].[].[INDEPENDENTDEMAND]_x000D_
[LOCID].[].[0001004727]_x000D_
[PRDID].[].[20000307]_x000D_
[KEY_FIGURES].[].[ZCONSENSUSDEMANDQTY]_x000D_
[LOCID].[].[0001004727]_x000D_
[PRDID].[].[20000307]_x000D_
[KEY_FIGURES].[].[ZINPUTSOFC]_x000D_
[LOCID].[].[0001004727]_x000D_
[PRDID].[].[20000307]_x000D_
[KEY_FIGURES].[].[ZFORECASTOPENOUTPUT]_x000D_
[LOCID].[].[0001004727]_x000D_
[PRDID].[].[20000307]_x000D_
[KEY_FIGURES].[].[ZACTUALSALES]_x000D_
[LOCID].[].[0001004727]_x000D_
[PRDID].[].[20000307]_x000D_
[KEY_FIGURES].[].[ZCONSENSUSDEMAND]_x000D_
[LOCID].[].[0001004727]_x000D_
[PRDID].[].[20000307]_x000D_
[KEY_FIGURES].[].[INDEPENDENTDEMAND]_x000D_
[LOCID].[].[0001004727]_x000D_
[PRDID].[].[20000308]_x000D_
[KEY_FIGURES].[].[ZCONSENSUSDEMANDQTY]_x000D_
[LOCID].[].[0001004727]_x000D_
[PRDID].[].[20000308]_x000D_
[KEY_FIGURES].[].[ZINPUTSOFC]_x000D_
[LOCID].[].[0001004727]_x000D_
[PRDID].[].[20000308]_x000D_
[KEY_FIGURES].[].[ZFORECASTOPENOUTPUT]_x000D_
[LOCID].[].[0001004727]_x000D_
[PRDID].[].[20000308]_x000D_
[KEY_FIGURES].[].[ZACTUALSALES]_x000D_
[LOCID].[].[0001004727]_x000D_
[PRDID].[].[20000308]_x000D_
[KEY_FIGURES].[].[ZCONSENSUSDEMAND]_x000D_
[LOCID].[].[0001004727]_x000D_
[PRDID].[].[20000308]_x000D_
[KEY_FIGURES].[].[INDEPENDENTDEMAND]_x000D_
[LOCID].[].[0001004727]_x000D_
[PRDID].[].[20000309]_x000D_
[KEY_FIGURES].[].[ZCONSENSUSDEMANDQTY]_x000D_
[LOCID].[].[0001004727]_x000D_
[PRDID].[].[20000309]_x000D_
[KEY_FIGURES].[].[ZINPUTSOFC]_x000D_
[LOCID].[].[0001004727]_x000D_
[PRDID].[].[20000309]_x000D_
[KEY_FIGURES].[].[ZFORECASTOPENOUTPUT]_x000D_
[LOCID].[].[0001004727]_x000D_
[PRDID].[].[20000309]_x000D_
[KEY_FIGURES].[].[ZACTUALSALES]_x000D_
[LOCID].[].[0001004727]_x000D_
[PRDID].[].[20000309]_x000D_
[KEY_FIGURES].[].[ZCONSENSUSDEMAND]_x000D_
[LOCID].[].[0001004727]_x000D_
[PRDID].[].[20000309]_x000D_
[KEY_FIGURES].[].[INDEPENDENTDEMAND]_x000D_
[LOCID].[].[0001004727]_x000D_
[PRDID].[].[20000310]_x000D_
[KEY_FIGURES].[].[ZCONSENSUSDEMANDQTY]_x000D_
[LOCID].[].[0001004727]_x000D_
[PRDID].[].[20000310]_x000D_
[KEY_FIGURES].[].[ZINPUTSOFC]_x000D_
[LOCID].[].[0001004727]_x000D_
[PRDID].[].[20000310]_x000D_
[KEY_FIGURES].[].[ZFORECASTOPENOUTPUT]_x000D_
[LOCID].[].[0001004727]_x000D_
[PRDID].[].[20000310]_x000D_
[KEY_FIGURES].[].[ZACTUALSALES]_x000D_
[LOCID].[].[0001004727]_x000D_
[PRDID].[].[20000310]_x000D_
[KEY_FIGURES].[].[ZCONSENSUSDEMAND]_x000D_
[LOCID].[].[0001004727]_x000D_
[PRDID].[].[20000310]_x000D_
[KEY_FIGURES].[].[INDEPENDENTDEMAND]_x000D_
[LOCID].[].[0001004727]_x000D_
[PRDID].[].[20000311]_x000D_
[KEY_FIGURES].[].[ZCONSENSUSDEMANDQTY]_x000D_
[LOCID].[].[0001004727]_x000D_
[PRDID].[].[20000311]_x000D_
[KEY_FIGURES].[].[ZINPUTSOFC]_x000D_
[LOCID].[].[0001004727]_x000D_
[PRDID].[].[20000311]</t>
  </si>
  <si>
    <t>[KEY_FIGURES].[].[ZFORECASTOPENOUTPUT]_x000D_
[LOCID].[].[0001004727]_x000D_
[PRDID].[].[20000311]_x000D_
[KEY_FIGURES].[].[ZACTUALSALES]_x000D_
[LOCID].[].[0001004727]_x000D_
[PRDID].[].[20000311]_x000D_
[KEY_FIGURES].[].[ZCONSENSUSDEMAND]_x000D_
[LOCID].[].[0001004727]_x000D_
[PRDID].[].[20000311]_x000D_
[KEY_FIGURES].[].[INDEPENDENTDEMAND]_x000D_
[LOCID].[].[0001004727]_x000D_
[PRDID].[].[20000312]_x000D_
[KEY_FIGURES].[].[ZCONSENSUSDEMANDQTY]_x000D_
[LOCID].[].[0001004727]_x000D_
[PRDID].[].[20000312]_x000D_
[KEY_FIGURES].[].[ZINPUTSOFC]_x000D_
[LOCID].[].[0001004727]_x000D_
[PRDID].[].[20000312]_x000D_
[KEY_FIGURES].[].[ZFORECASTOPENOUTPUT]_x000D_
[LOCID].[].[0001004727]_x000D_
[PRDID].[].[20000312]_x000D_
[KEY_FIGURES].[].[ZACTUALSALES]_x000D_
[LOCID].[].[0001004727]_x000D_
[PRDID].[].[20000312]_x000D_
[KEY_FIGURES].[].[ZCONSENSUSDEMAND]_x000D_
[LOCID].[].[0001004727]_x000D_
[PRDID].[].[20000312]_x000D_
[KEY_FIGURES].[].[INDEPENDENTDEMAND]_x000D_
[LOCID].[].[0001004727]_x000D_
[PRDID].[].[20000313]_x000D_
[KEY_FIGURES].[].[ZCONSENSUSDEMANDQTY]_x000D_
[LOCID].[].[0001004727]_x000D_
[PRDID].[].[20000313]_x000D_
[KEY_FIGURES].[].[ZINPUTSOFC]_x000D_
[LOCID].[].[0001004727]_x000D_
[PRDID].[].[20000313]_x000D_
[KEY_FIGURES].[].[ZFORECASTOPENOUTPUT]_x000D_
[LOCID].[].[0001004727]_x000D_
[PRDID].[].[20000313]_x000D_
[KEY_FIGURES].[].[ZACTUALSALES]_x000D_
[LOCID].[].[0001004727]_x000D_
[PRDID].[].[20000313]_x000D_
[KEY_FIGURES].[].[ZCONSENSUSDEMAND]_x000D_
[LOCID].[].[0001004727]_x000D_
[PRDID].[].[20000313]_x000D_
[KEY_FIGURES].[].[INDEPENDENTDEMAND]_x000D_
[LOCID].[].[0001004727]_x000D_
[PRDID].[].[20000314]_x000D_
[KEY_FIGURES].[].[ZCONSENSUSDEMANDQTY]_x000D_
[LOCID].[].[0001004727]_x000D_
[PRDID].[].[20000314]_x000D_
[KEY_FIGURES].[].[ZINPUTSOFC]_x000D_
[LOCID].[].[0001004727]_x000D_
[PRDID].[].[20000314]_x000D_
[KEY_FIGURES].[].[ZFORECASTOPENOUTPUT]_x000D_
[LOCID].[].[0001004727]_x000D_
[PRDID].[].[20000314]_x000D_
[KEY_FIGURES].[].[ZACTUALSALES]_x000D_
[LOCID].[].[0001004727]_x000D_
[PRDID].[].[20000314]_x000D_
[KEY_FIGURES].[].[ZCONSENSUSDEMAND]_x000D_
[LOCID].[].[0001004727]_x000D_
[PRDID].[].[20000314]_x000D_
[KEY_FIGURES].[].[INDEPENDENTDEMAND]_x000D_
[LOCID].[].[0001004727]_x000D_
[PRDID].[].[20000315]_x000D_
[KEY_FIGURES].[].[ZCONSENSUSDEMANDQTY]_x000D_
[LOCID].[].[0001004727]_x000D_
[PRDID].[].[20000315]_x000D_
[KEY_FIGURES].[].[ZINPUTSOFC]_x000D_
[LOCID].[].[0001004727]_x000D_
[PRDID].[].[20000315]_x000D_
[KEY_FIGURES].[].[ZFORECASTOPENOUTPUT]_x000D_
[LOCID].[].[0001004727]_x000D_
[PRDID].[].[20000315]_x000D_
[KEY_FIGURES].[].[ZACTUALSALES]_x000D_
[LOCID].[].[0001004727]_x000D_
[PRDID].[].[20000315]_x000D_
[KEY_FIGURES].[].[ZCONSENSUSDEMAND]_x000D_
[LOCID].[].[0001004727]_x000D_
[PRDID].[].[20000315]_x000D_
[KEY_FIGURES].[].[INDEPENDENTDEMAND]_x000D_
[LOCID].[].[0001004727]_x000D_
[PRDID].[].[20000316]_x000D_
[KEY_FIGURES].[].[ZCONSENSUSDEMANDQTY]_x000D_
[LOCID].[].[0001004727]_x000D_
[PRDID].[].[20000316]_x000D_
[KEY_FIGURES].[].[ZINPUTSOFC]_x000D_
[LOCID].[].[0001004727]_x000D_
[PRDID].[].[20000316]_x000D_
[KEY_FIGURES].[].[ZFORECASTOPENOUTPUT]_x000D_
[LOCID].[].[0001004727]_x000D_
[PRDID].[].[20000316]_x000D_
[KEY_FIGURES].[].[ZACTUALSALES]_x000D_
[LOCID].[].[0001004727]_x000D_
[PRDID].[].[20000316]_x000D_
[KEY_FIGURES].[].[ZCONSENSUSDEMAND]_x000D_
[LOCID].[].[0001004727]_x000D_
[PRDID].[].[20000316]_x000D_
[KEY_FIGURES].[].[INDEPENDENTDEMAND]_x000D_
[LOCID].[].[0001004727]_x000D_
[PRDID].[].[20000317]_x000D_
[KEY_FIGURES].[].[ZCONSENSUSDEMANDQTY]_x000D_
[LOCID].[].[0001004727]_x000D_
[PRDID].[].[20000317]_x000D_
[KEY_FIGURES].[].[ZINPUTSOFC]_x000D_
[LOCID].[].[0001004727]_x000D_
[PRDID].[].[20000317]_x000D_
[KEY_FIGURES].[].[ZFORECASTOPENOUTPUT]_x000D_
[LOCID].[].[0001004727]_x000D_
[PRDID].[].[20000317]_x000D_
[KEY_FIGURES].[].[ZACTUALSALES]_x000D_
[LOCID].[].[0001004727]_x000D_
[PRDID].[].[20000317]_x000D_
[KEY_FIGURES].[].[ZCONSENSUSDEMAND]_x000D_
[LOCID].[].[0001004727]_x000D_
[PRDID].[].[20000317]_x000D_
[KEY_FIGURES].[].[INDEPENDENTDEMAND]_x000D_
[LOCID].[].[0001004727]_x000D_
[PRDID].[].[20000371]_x000D_
[KEY_FIGURES].[].[ZCONSENSUSDEMANDQTY]_x000D_
[LOCID].[].[0001004727]_x000D_
[PRDID].[].[20000371]_x000D_
[KEY_FIGURES].[].[ZINPUTSOFC]_x000D_
[LOCID].[].[0001004727]_x000D_
[PRDID].[].[20000371]_x000D_
[KEY_FIGURES].[].[ZFORECASTOPENOUTPUT]_x000D_
[LOCID].[].[0001004727]_x000D_
[PRDID].[].[20000371]_x000D_
[KEY_FIGURES].[].[ZACTUALSALES]_x000D_
[LOCID].[].[0001004727]_x000D_
[PRDID].[].[20000371]_x000D_
[KEY_FIGURES].[].[ZCONSENSUSDEMAND]_x000D_
[LOCID].[].[0001004727]_x000D_
[PRDID].[].[20000371]_x000D_
[KEY_FIGURES].[].[INDEPENDENTDEMAND]_x000D_
[LOCID].[].[0001004727]_x000D_
[PRDID].[].[20000372]_x000D_
[KEY_FIGURES].[].[ZCONSENSUSDEMANDQTY]_x000D_
[LOCID].[].[0001004727]_x000D_
[PRDID].[].[20000372]_x000D_
[KEY_FIGURES].[].[ZINPUTSOFC]_x000D_
[LOCID].[].[0001004727]_x000D_
[PRDID].[].[20000372]_x000D_
[KEY_FIGURES].[].[ZFORECASTOPENOUTPUT]_x000D_
[LOCID].[].[0001004727]_x000D_
[PRDID].[].[20000372]_x000D_
[KEY_FIGURES].[].[ZACTUALSALES]_x000D_
[LOCID].[].[0001004727]_x000D_
[PRDID].[].[20000372]_x000D_
[KEY_FIGURES].[].[ZCONSENSUSDEMAND]_x000D_
[LOCID].[].[0001004727]_x000D_
[PRDID].[].[20000372]_x000D_
[KEY_FIGURES].[].[INDEPENDENTDEMAND]_x000D_
[LOCID].[].[0001004727]_x000D_
[PRDID].[].[20000625]_x000D_
[KEY_FIGURES].[].[ZCONSENSUSDEMANDQTY]_x000D_
[LOCID].[].[0001004727]_x000D_
[PRDID].[].[20000625]_x000D_
[KEY_FIGURES].[].[ZINPUTSOFC]_x000D_
[LOCID].[].[0001004727]_x000D_
[PRDID].[].[20000625]_x000D_
[KEY_FIGURES].[].[ZFORECASTOPENOUTPUT]_x000D_
[LOCID].[].[0001004727]_x000D_
[PRDID].[].[20000625]_x000D_
[KEY_FIGURES].[].[ZACTUALSALES]_x000D_
[LOCID].[].[0001004727]_x000D_
[PRDID].[].[20000625]_x000D_
[KEY_FIGURES].[].[ZCONSENSUSDEMAND]_x000D_
[LOCID].[].[0001004727]_x000D_
[PRDID].[].[20000625]_x000D_
[KEY_FIGURES].[].[INDEPENDENTDEMAND]_x000D_
[LOCID].[].[0001004727]_x000D_
[PRDID].[].[20000626]_x000D_
[KEY_FIGURES].[].[ZCONSENSUSDEMANDQTY]_x000D_
[LOCID].[].[0001004727]_x000D_
[PRDID].[].[20000626]_x000D_
[KEY_FIGURES].[].[ZINPUTSOFC]_x000D_
[LOCID].[].[0001004727]_x000D_
[PRDID].[].[20000626]_x000D_
[KEY_FIGURES].[].[ZFORECASTOPENOUTPUT]_x000D_
[LOCID].[].[0001004727]_x000D_
[PRDID].[].[20000626]_x000D_
[KEY_FIGURES].[].[ZACTUALSALES]_x000D_
[LOCID].[].[0001004727]_x000D_
[PRDID].[].[20000626]_x000D_
[KEY_FIGURES].[].[ZCONSENSUSDEMAND]_x000D_
[LOCID].[].[0001004727]_x000D_
[PRDID].[].[20000626]_x000D_
[KEY_FIGURES].[].[INDEPENDENTDEMAND]_x000D_
[LOCID].[].[0001004727]_x000D_
[PRDID].[].[20000627]_x000D_
[KEY_FIGURES].[].[ZCONSENSUSDEMANDQTY]_x000D_
[LOCID].[].[0001004727]_x000D_
[PRDID].[].[20000627]_x000D_
[KEY_FIGURES].[].[ZINPUTSOFC]_x000D_
[LOCID].[].[0001004727]_x000D_
[PRDID].[].[20000627]_x000D_
[KEY_FIGURES].[].[ZFORECASTOPENOUTPUT]_x000D_
[LOCID].[].[0001004727]</t>
  </si>
  <si>
    <t>[PRDID].[].[20000627]_x000D_
[KEY_FIGURES].[].[ZACTUALSALES]_x000D_
[LOCID].[].[0001004727]_x000D_
[PRDID].[].[20000627]_x000D_
[KEY_FIGURES].[].[ZCONSENSUSDEMAND]_x000D_
[LOCID].[].[0001004727]_x000D_
[PRDID].[].[20000627]_x000D_
[KEY_FIGURES].[].[INDEPENDENTDEMAND]_x000D_
[LOCID].[].[0001004727]_x000D_
[PRDID].[].[20000628]_x000D_
[KEY_FIGURES].[].[ZCONSENSUSDEMANDQTY]_x000D_
[LOCID].[].[0001004727]_x000D_
[PRDID].[].[20000628]_x000D_
[KEY_FIGURES].[].[ZINPUTSOFC]_x000D_
[LOCID].[].[0001004727]_x000D_
[PRDID].[].[20000628]_x000D_
[KEY_FIGURES].[].[ZFORECASTOPENOUTPUT]_x000D_
[LOCID].[].[0001004727]_x000D_
[PRDID].[].[20000628]_x000D_
[KEY_FIGURES].[].[ZACTUALSALES]_x000D_
[LOCID].[].[0001004727]_x000D_
[PRDID].[].[20000628]_x000D_
[KEY_FIGURES].[].[ZCONSENSUSDEMAND]_x000D_
[LOCID].[].[0001004727]_x000D_
[PRDID].[].[20000628]_x000D_
[KEY_FIGURES].[].[INDEPENDENTDEMAND]_x000D_
[LOCID].[].[0001004727]_x000D_
[PRDID].[].[20000868]_x000D_
[KEY_FIGURES].[].[ZCONSENSUSDEMANDQTY]_x000D_
[LOCID].[].[0001004727]_x000D_
[PRDID].[].[20000868]_x000D_
[KEY_FIGURES].[].[ZINPUTSOFC]_x000D_
[LOCID].[].[0001004727]_x000D_
[PRDID].[].[20000868]_x000D_
[KEY_FIGURES].[].[ZFORECASTOPENOUTPUT]_x000D_
[LOCID].[].[0001004727]_x000D_
[PRDID].[].[20000868]_x000D_
[KEY_FIGURES].[].[ZACTUALSALES]_x000D_
[LOCID].[].[0001004727]_x000D_
[PRDID].[].[20000868]_x000D_
[KEY_FIGURES].[].[ZCONSENSUSDEMAND]_x000D_
[LOCID].[].[0001004727]_x000D_
[PRDID].[].[20000868]_x000D_
[KEY_FIGURES].[].[INDEPENDENTDEMAND]_x000D_
[LOCID].[].[0001004727]_x000D_
[PRDID].[].[20000883]_x000D_
[KEY_FIGURES].[].[ZCONSENSUSDEMANDQTY]_x000D_
[LOCID].[].[0001004727]_x000D_
[PRDID].[].[20000883]_x000D_
[KEY_FIGURES].[].[ZINPUTSOFC]_x000D_
[LOCID].[].[0001004727]_x000D_
[PRDID].[].[20000883]_x000D_
[KEY_FIGURES].[].[ZFORECASTOPENOUTPUT]_x000D_
[LOCID].[].[0001004727]_x000D_
[PRDID].[].[20000883]_x000D_
[KEY_FIGURES].[].[ZACTUALSALES]_x000D_
[LOCID].[].[0001004727]_x000D_
[PRDID].[].[20000883]_x000D_
[KEY_FIGURES].[].[ZCONSENSUSDEMAND]_x000D_
[LOCID].[].[0001004727]_x000D_
[PRDID].[].[20000883]_x000D_
[KEY_FIGURES].[].[INDEPENDENTDEMAND]_x000D_
[LOCID].[].[0001004727]_x000D_
[PRDID].[].[20000895]_x000D_
[KEY_FIGURES].[].[ZCONSENSUSDEMANDQTY]_x000D_
[LOCID].[].[0001004727]_x000D_
[PRDID].[].[20000895]_x000D_
[KEY_FIGURES].[].[ZINPUTSOFC]_x000D_
[LOCID].[].[0001004727]_x000D_
[PRDID].[].[20000895]_x000D_
[KEY_FIGURES].[].[ZFORECASTOPENOUTPUT]_x000D_
[LOCID].[].[0001004727]_x000D_
[PRDID].[].[20000895]_x000D_
[KEY_FIGURES].[].[ZACTUALSALES]_x000D_
[LOCID].[].[0001004727]_x000D_
[PRDID].[].[20000895]_x000D_
[KEY_FIGURES].[].[ZCONSENSUSDEMAND]_x000D_
[LOCID].[].[0001004727]_x000D_
[PRDID].[].[20000895]_x000D_
[KEY_FIGURES].[].[INDEPENDENTDEMAND]_x000D_
[LOCID].[].[0001004727]_x000D_
[PRDID].[].[20000896]_x000D_
[KEY_FIGURES].[].[ZCONSENSUSDEMANDQTY]_x000D_
[LOCID].[].[0001004727]_x000D_
[PRDID].[].[20000896]_x000D_
[KEY_FIGURES].[].[ZINPUTSOFC]_x000D_
[LOCID].[].[0001004727]_x000D_
[PRDID].[].[20000896]_x000D_
[KEY_FIGURES].[].[ZFORECASTOPENOUTPUT]_x000D_
[LOCID].[].[0001004727]_x000D_
[PRDID].[].[20000896]_x000D_
[KEY_FIGURES].[].[ZACTUALSALES]_x000D_
[LOCID].[].[0001004727]_x000D_
[PRDID].[].[20000896]_x000D_
[KEY_FIGURES].[].[ZCONSENSUSDEMAND]_x000D_
[LOCID].[].[0001004727]_x000D_
[PRDID].[].[20000896]_x000D_
[KEY_FIGURES].[].[INDEPENDENTDEMAND]_x000D_
[LOCID].[].[0001004727]_x000D_
[PRDID].[].[20000897]_x000D_
[KEY_FIGURES].[].[ZCONSENSUSDEMANDQTY]_x000D_
[LOCID].[].[0001004727]_x000D_
[PRDID].[].[20000897]_x000D_
[KEY_FIGURES].[].[ZINPUTSOFC]_x000D_
[LOCID].[].[0001004727]_x000D_
[PRDID].[].[20000897]_x000D_
[KEY_FIGURES].[].[ZFORECASTOPENOUTPUT]_x000D_
[LOCID].[].[0001004727]_x000D_
[PRDID].[].[20000897]_x000D_
[KEY_FIGURES].[].[ZACTUALSALES]_x000D_
[LOCID].[].[0001004727]_x000D_
[PRDID].[].[20000897]_x000D_
[KEY_FIGURES].[].[ZCONSENSUSDEMAND]_x000D_
[LOCID].[].[0001004727]_x000D_
[PRDID].[].[20000897]_x000D_
[KEY_FIGURES].[].[INDEPENDENTDEMAND]_x000D_
[LOCID].[].[0001004727]_x000D_
[PRDID].[].[20000912]_x000D_
[KEY_FIGURES].[].[ZCONSENSUSDEMANDQTY]_x000D_
[LOCID].[].[0001004727]_x000D_
[PRDID].[].[20000912]_x000D_
[KEY_FIGURES].[].[ZINPUTSOFC]_x000D_
[LOCID].[].[0001004727]_x000D_
[PRDID].[].[20000912]_x000D_
[KEY_FIGURES].[].[ZFORECASTOPENOUTPUT]_x000D_
[LOCID].[].[0001004727]_x000D_
[PRDID].[].[20000912]_x000D_
[KEY_FIGURES].[].[ZACTUALSALES]_x000D_
[LOCID].[].[0001004727]_x000D_
[PRDID].[].[20000912]_x000D_
[KEY_FIGURES].[].[ZCONSENSUSDEMAND]_x000D_
[LOCID].[].[0001004727]_x000D_
[PRDID].[].[20000912]_x000D_
[KEY_FIGURES].[].[INDEPENDENTDEMAND]_x000D_
[LOCID].[].[0001004727]_x000D_
[PRDID].[].[20000914]_x000D_
[KEY_FIGURES].[].[ZCONSENSUSDEMANDQTY]_x000D_
[LOCID].[].[0001004727]_x000D_
[PRDID].[].[20000914]_x000D_
[KEY_FIGURES].[].[ZINPUTSOFC]_x000D_
[LOCID].[].[0001004727]_x000D_
[PRDID].[].[20000914]_x000D_
[KEY_FIGURES].[].[ZFORECASTOPENOUTPUT]_x000D_
[LOCID].[].[0001004727]_x000D_
[PRDID].[].[20000914]_x000D_
[KEY_FIGURES].[].[ZACTUALSALES]_x000D_
[LOCID].[].[0001004727]_x000D_
[PRDID].[].[20000914]_x000D_
[KEY_FIGURES].[].[ZCONSENSUSDEMAND]_x000D_
[LOCID].[].[0001004727]_x000D_
[PRDID].[].[20000914]_x000D_
[KEY_FIGURES].[].[INDEPENDENTDEMAND]_x000D_
[LOCID].[].[0001004727]_x000D_
[PRDID].[].[20000916]_x000D_
[KEY_FIGURES].[].[ZCONSENSUSDEMANDQTY]_x000D_
[LOCID].[].[0001004727]_x000D_
[PRDID].[].[20000916]_x000D_
[KEY_FIGURES].[].[ZINPUTSOFC]_x000D_
[LOCID].[].[0001004727]_x000D_
[PRDID].[].[20000916]_x000D_
[KEY_FIGURES].[].[ZFORECASTOPENOUTPUT]_x000D_
[LOCID].[].[0001004727]_x000D_
[PRDID].[].[20000916]_x000D_
[KEY_FIGURES].[].[ZACTUALSALES]_x000D_
[LOCID].[].[0001004727]_x000D_
[PRDID].[].[20000916]_x000D_
[KEY_FIGURES].[].[ZCONSENSUSDEMAND]_x000D_
[LOCID].[].[0001004727]_x000D_
[PRDID].[].[20000916]_x000D_
[KEY_FIGURES].[].[INDEPENDENTDEMAND]_x000D_
[LOCID].[].[0001004727]_x000D_
[PRDID].[].[20000936]_x000D_
[KEY_FIGURES].[].[ZCONSENSUSDEMANDQTY]_x000D_
[LOCID].[].[0001004727]_x000D_
[PRDID].[].[20000936]_x000D_
[KEY_FIGURES].[].[ZINPUTSOFC]_x000D_
[LOCID].[].[0001004727]_x000D_
[PRDID].[].[20000936]_x000D_
[KEY_FIGURES].[].[ZFORECASTOPENOUTPUT]_x000D_
[LOCID].[].[0001004727]_x000D_
[PRDID].[].[20000936]_x000D_
[KEY_FIGURES].[].[ZACTUALSALES]_x000D_
[LOCID].[].[0001004727]_x000D_
[PRDID].[].[20000936]_x000D_
[KEY_FIGURES].[].[ZCONSENSUSDEMAND]_x000D_
[LOCID].[].[0001004727]_x000D_
[PRDID].[].[20000936]_x000D_
[KEY_FIGURES].[].[INDEPENDENTDEMAND]_x000D_
[LOCID].[].[0001004727]_x000D_
[PRDID].[].[20000938]_x000D_
[KEY_FIGURES].[].[ZCONSENSUSDEMANDQTY]_x000D_
[LOCID].[].[0001004727]_x000D_
[PRDID].[].[20000938]_x000D_
[KEY_FIGURES].[].[ZINPUTSOFC]_x000D_
[LOCID].[].[0001004727]_x000D_
[PRDID].[].[20000938]_x000D_
[KEY_FIGURES].[].[ZFORECASTOPENOUTPUT]_x000D_
[LOCID].[].[0001004727]_x000D_
[PRDID].[].[20000938]_x000D_
[KEY_FIGURES].[].[ZACTUALSALES]</t>
  </si>
  <si>
    <t>[LOCID].[].[0001004727]_x000D_
[PRDID].[].[20000938]_x000D_
[KEY_FIGURES].[].[ZCONSENSUSDEMAND]_x000D_
[LOCID].[].[0001004727]_x000D_
[PRDID].[].[20000938]_x000D_
[KEY_FIGURES].[].[INDEPENDENTDEMAND]_x000D_
[LOCID].[].[0001004727]_x000D_
[PRDID].[].[20000939]_x000D_
[KEY_FIGURES].[].[ZCONSENSUSDEMANDQTY]_x000D_
[LOCID].[].[0001004727]_x000D_
[PRDID].[].[20000939]_x000D_
[KEY_FIGURES].[].[ZINPUTSOFC]_x000D_
[LOCID].[].[0001004727]_x000D_
[PRDID].[].[20000939]_x000D_
[KEY_FIGURES].[].[ZFORECASTOPENOUTPUT]_x000D_
[LOCID].[].[0001004727]_x000D_
[PRDID].[].[20000939]_x000D_
[KEY_FIGURES].[].[ZACTUALSALES]_x000D_
[LOCID].[].[0001004727]_x000D_
[PRDID].[].[20000939]_x000D_
[KEY_FIGURES].[].[ZCONSENSUSDEMAND]_x000D_
[LOCID].[].[0001004727]_x000D_
[PRDID].[].[20000939]_x000D_
[KEY_FIGURES].[].[INDEPENDENTDEMAND]_x000D_
[LOCID].[].[0001004741]_x000D_
[PRDID].[].[20000024]_x000D_
[KEY_FIGURES].[].[ZCONSENSUSDEMANDQTY]_x000D_
[LOCID].[].[0001004741]_x000D_
[PRDID].[].[20000024]_x000D_
[KEY_FIGURES].[].[ZINPUTSOFC]_x000D_
[LOCID].[].[0001004741]_x000D_
[PRDID].[].[20000024]_x000D_
[KEY_FIGURES].[].[ZFORECASTOPENOUTPUT]_x000D_
[LOCID].[].[0001004741]_x000D_
[PRDID].[].[20000024]_x000D_
[KEY_FIGURES].[].[ZACTUALSALES]_x000D_
[LOCID].[].[0001004741]_x000D_
[PRDID].[].[20000024]_x000D_
[KEY_FIGURES].[].[ZCONSENSUSDEMAND]_x000D_
[LOCID].[].[0001004741]_x000D_
[PRDID].[].[20000024]_x000D_
[KEY_FIGURES].[].[INDEPENDENTDEMAND]_x000D_
[LOCID].[].[0001004741]_x000D_
[PRDID].[].[20000127]_x000D_
[KEY_FIGURES].[].[ZCONSENSUSDEMANDQTY]_x000D_
[LOCID].[].[0001004741]_x000D_
[PRDID].[].[20000127]_x000D_
[KEY_FIGURES].[].[ZINPUTSOFC]_x000D_
[LOCID].[].[0001004741]_x000D_
[PRDID].[].[20000127]_x000D_
[KEY_FIGURES].[].[ZFORECASTOPENOUTPUT]_x000D_
[LOCID].[].[0001004741]_x000D_
[PRDID].[].[20000127]_x000D_
[KEY_FIGURES].[].[ZACTUALSALES]_x000D_
[LOCID].[].[0001004741]_x000D_
[PRDID].[].[20000127]_x000D_
[KEY_FIGURES].[].[ZCONSENSUSDEMAND]_x000D_
[LOCID].[].[0001004741]_x000D_
[PRDID].[].[20000127]_x000D_
[KEY_FIGURES].[].[INDEPENDENTDEMAND]_x000D_
[LOCID].[].[0001004741]_x000D_
[PRDID].[].[20000129]_x000D_
[KEY_FIGURES].[].[ZCONSENSUSDEMANDQTY]_x000D_
[LOCID].[].[0001004741]_x000D_
[PRDID].[].[20000129]_x000D_
[KEY_FIGURES].[].[ZINPUTSOFC]_x000D_
[LOCID].[].[0001004741]_x000D_
[PRDID].[].[20000129]_x000D_
[KEY_FIGURES].[].[ZFORECASTOPENOUTPUT]_x000D_
[LOCID].[].[0001004741]_x000D_
[PRDID].[].[20000129]_x000D_
[KEY_FIGURES].[].[ZACTUALSALES]_x000D_
[LOCID].[].[0001004741]_x000D_
[PRDID].[].[20000129]_x000D_
[KEY_FIGURES].[].[ZCONSENSUSDEMAND]_x000D_
[LOCID].[].[0001004741]_x000D_
[PRDID].[].[20000129]_x000D_
[KEY_FIGURES].[].[INDEPENDENTDEMAND]_x000D_
[LOCID].[].[0001004741]_x000D_
[PRDID].[].[20000130]_x000D_
[KEY_FIGURES].[].[ZCONSENSUSDEMANDQTY]_x000D_
[LOCID].[].[0001004741]_x000D_
[PRDID].[].[20000130]_x000D_
[KEY_FIGURES].[].[ZINPUTSOFC]_x000D_
[LOCID].[].[0001004741]_x000D_
[PRDID].[].[20000130]_x000D_
[KEY_FIGURES].[].[ZFORECASTOPENOUTPUT]_x000D_
[LOCID].[].[0001004741]_x000D_
[PRDID].[].[20000130]_x000D_
[KEY_FIGURES].[].[ZACTUALSALES]_x000D_
[LOCID].[].[0001004741]_x000D_
[PRDID].[].[20000130]_x000D_
[KEY_FIGURES].[].[ZCONSENSUSDEMAND]_x000D_
[LOCID].[].[0001004741]_x000D_
[PRDID].[].[20000130]_x000D_
[KEY_FIGURES].[].[INDEPENDENTDEMAND]_x000D_
[LOCID].[].[0001004741]_x000D_
[PRDID].[].[20000352]_x000D_
[KEY_FIGURES].[].[ZCONSENSUSDEMANDQTY]_x000D_
[LOCID].[].[0001004741]_x000D_
[PRDID].[].[20000352]_x000D_
[KEY_FIGURES].[].[ZINPUTSOFC]_x000D_
[LOCID].[].[0001004741]_x000D_
[PRDID].[].[20000352]_x000D_
[KEY_FIGURES].[].[ZFORECASTOPENOUTPUT]_x000D_
[LOCID].[].[0001004741]_x000D_
[PRDID].[].[20000352]_x000D_
[KEY_FIGURES].[].[ZACTUALSALES]_x000D_
[LOCID].[].[0001004741]_x000D_
[PRDID].[].[20000352]_x000D_
[KEY_FIGURES].[].[ZCONSENSUSDEMAND]_x000D_
[LOCID].[].[0001004741]_x000D_
[PRDID].[].[20000352]_x000D_
[KEY_FIGURES].[].[INDEPENDENTDEMAND]_x000D_
[LOCID].[].[0001004741]_x000D_
[PRDID].[].[20000353]_x000D_
[KEY_FIGURES].[].[ZCONSENSUSDEMANDQTY]_x000D_
[LOCID].[].[0001004741]_x000D_
[PRDID].[].[20000353]_x000D_
[KEY_FIGURES].[].[ZINPUTSOFC]_x000D_
[LOCID].[].[0001004741]_x000D_
[PRDID].[].[20000353]_x000D_
[KEY_FIGURES].[].[ZFORECASTOPENOUTPUT]_x000D_
[LOCID].[].[0001004741]_x000D_
[PRDID].[].[20000353]_x000D_
[KEY_FIGURES].[].[ZACTUALSALES]_x000D_
[LOCID].[].[0001004741]_x000D_
[PRDID].[].[20000353]_x000D_
[KEY_FIGURES].[].[ZCONSENSUSDEMAND]_x000D_
[LOCID].[].[0001004741]_x000D_
[PRDID].[].[20000353]_x000D_
[KEY_FIGURES].[].[INDEPENDENTDEMAND]_x000D_
[LOCID].[].[0001004741]_x000D_
[PRDID].[].[20000354]_x000D_
[KEY_FIGURES].[].[ZCONSENSUSDEMANDQTY]_x000D_
[LOCID].[].[0001004741]_x000D_
[PRDID].[].[20000354]_x000D_
[KEY_FIGURES].[].[ZINPUTSOFC]_x000D_
[LOCID].[].[0001004741]_x000D_
[PRDID].[].[20000354]_x000D_
[KEY_FIGURES].[].[ZFORECASTOPENOUTPUT]_x000D_
[LOCID].[].[0001004741]_x000D_
[PRDID].[].[20000354]_x000D_
[KEY_FIGURES].[].[ZACTUALSALES]_x000D_
[LOCID].[].[0001004741]_x000D_
[PRDID].[].[20000354]_x000D_
[KEY_FIGURES].[].[ZCONSENSUSDEMAND]_x000D_
[LOCID].[].[0001004741]_x000D_
[PRDID].[].[20000354]_x000D_
[KEY_FIGURES].[].[INDEPENDENTDEMAND]_x000D_
[LOCID].[].[0001004741]_x000D_
[PRDID].[].[20000355]_x000D_
[KEY_FIGURES].[].[ZCONSENSUSDEMANDQTY]_x000D_
[LOCID].[].[0001004741]_x000D_
[PRDID].[].[20000355]_x000D_
[KEY_FIGURES].[].[ZINPUTSOFC]_x000D_
[LOCID].[].[0001004741]_x000D_
[PRDID].[].[20000355]_x000D_
[KEY_FIGURES].[].[ZFORECASTOPENOUTPUT]_x000D_
[LOCID].[].[0001004741]_x000D_
[PRDID].[].[20000355]_x000D_
[KEY_FIGURES].[].[ZACTUALSALES]_x000D_
[LOCID].[].[0001004741]_x000D_
[PRDID].[].[20000355]_x000D_
[KEY_FIGURES].[].[ZCONSENSUSDEMAND]_x000D_
[LOCID].[].[0001004741]_x000D_
[PRDID].[].[20000355]_x000D_
[KEY_FIGURES].[].[INDEPENDENTDEMAND]_x000D_
[LOCID].[].[0001004741]_x000D_
[PRDID].[].[20000356]_x000D_
[KEY_FIGURES].[].[ZCONSENSUSDEMANDQTY]_x000D_
[LOCID].[].[0001004741]_x000D_
[PRDID].[].[20000356]_x000D_
[KEY_FIGURES].[].[ZINPUTSOFC]_x000D_
[LOCID].[].[0001004741]_x000D_
[PRDID].[].[20000356]_x000D_
[KEY_FIGURES].[].[ZFORECASTOPENOUTPUT]_x000D_
[LOCID].[].[0001004741]_x000D_
[PRDID].[].[20000356]_x000D_
[KEY_FIGURES].[].[ZACTUALSALES]_x000D_
[LOCID].[].[0001004741]_x000D_
[PRDID].[].[20000356]_x000D_
[KEY_FIGURES].[].[ZCONSENSUSDEMAND]_x000D_
[LOCID].[].[0001004741]_x000D_
[PRDID].[].[20000356]_x000D_
[KEY_FIGURES].[].[INDEPENDENTDEMAND]_x000D_
[LOCID].[].[0001004741]_x000D_
[PRDID].[].[20000357]_x000D_
[KEY_FIGURES].[].[ZCONSENSUSDEMANDQTY]_x000D_
[LOCID].[].[0001004741]_x000D_
[PRDID].[].[20000357]_x000D_
[KEY_FIGURES].[].[ZINPUTSOFC]_x000D_
[LOCID].[].[0001004741]_x000D_
[PRDID].[].[20000357]_x000D_
[KEY_FIGURES].[].[ZFORECASTOPENOUTPUT]_x000D_
[LOCID].[].[0001004741]_x000D_
[PRDID].[].[20000357]_x000D_
[KEY_FIGURES].[].[ZACTUALSALES]_x000D_
[LOCID].[].[0001004741]_x000D_
[PRDID].[].[20000357]</t>
  </si>
  <si>
    <t>[KEY_FIGURES].[].[ZCONSENSUSDEMAND]_x000D_
[LOCID].[].[0001004741]_x000D_
[PRDID].[].[20000357]_x000D_
[KEY_FIGURES].[].[INDEPENDENTDEMAND]_x000D_
[LOCID].[].[0001004741]_x000D_
[PRDID].[].[20000358]_x000D_
[KEY_FIGURES].[].[ZCONSENSUSDEMANDQTY]_x000D_
[LOCID].[].[0001004741]_x000D_
[PRDID].[].[20000358]_x000D_
[KEY_FIGURES].[].[ZINPUTSOFC]_x000D_
[LOCID].[].[0001004741]_x000D_
[PRDID].[].[20000358]_x000D_
[KEY_FIGURES].[].[ZFORECASTOPENOUTPUT]_x000D_
[LOCID].[].[0001004741]_x000D_
[PRDID].[].[20000358]_x000D_
[KEY_FIGURES].[].[ZACTUALSALES]_x000D_
[LOCID].[].[0001004741]_x000D_
[PRDID].[].[20000358]_x000D_
[KEY_FIGURES].[].[ZCONSENSUSDEMAND]_x000D_
[LOCID].[].[0001004741]_x000D_
[PRDID].[].[20000358]_x000D_
[KEY_FIGURES].[].[INDEPENDENTDEMAND]_x000D_
[LOCID].[].[0001004741]_x000D_
[PRDID].[].[20000359]_x000D_
[KEY_FIGURES].[].[ZCONSENSUSDEMANDQTY]_x000D_
[LOCID].[].[0001004741]_x000D_
[PRDID].[].[20000359]_x000D_
[KEY_FIGURES].[].[ZINPUTSOFC]_x000D_
[LOCID].[].[0001004741]_x000D_
[PRDID].[].[20000359]_x000D_
[KEY_FIGURES].[].[ZFORECASTOPENOUTPUT]_x000D_
[LOCID].[].[0001004741]_x000D_
[PRDID].[].[20000359]_x000D_
[KEY_FIGURES].[].[ZACTUALSALES]_x000D_
[LOCID].[].[0001004741]_x000D_
[PRDID].[].[20000359]_x000D_
[KEY_FIGURES].[].[ZCONSENSUSDEMAND]_x000D_
[LOCID].[].[0001004741]_x000D_
[PRDID].[].[20000359]_x000D_
[KEY_FIGURES].[].[INDEPENDENTDEMAND]_x000D_
[LOCID].[].[0001004741]_x000D_
[PRDID].[].[20000360]_x000D_
[KEY_FIGURES].[].[ZCONSENSUSDEMANDQTY]_x000D_
[LOCID].[].[0001004741]_x000D_
[PRDID].[].[20000360]_x000D_
[KEY_FIGURES].[].[ZINPUTSOFC]_x000D_
[LOCID].[].[0001004741]_x000D_
[PRDID].[].[20000360]_x000D_
[KEY_FIGURES].[].[ZFORECASTOPENOUTPUT]_x000D_
[LOCID].[].[0001004741]_x000D_
[PRDID].[].[20000360]_x000D_
[KEY_FIGURES].[].[ZACTUALSALES]_x000D_
[LOCID].[].[0001004741]_x000D_
[PRDID].[].[20000360]_x000D_
[KEY_FIGURES].[].[ZCONSENSUSDEMAND]_x000D_
[LOCID].[].[0001004741]_x000D_
[PRDID].[].[20000360]_x000D_
[KEY_FIGURES].[].[INDEPENDENTDEMAND]_x000D_
[LOCID].[].[0001004741]_x000D_
[PRDID].[].[20000361]_x000D_
[KEY_FIGURES].[].[ZCONSENSUSDEMANDQTY]_x000D_
[LOCID].[].[0001004741]_x000D_
[PRDID].[].[20000361]_x000D_
[KEY_FIGURES].[].[ZINPUTSOFC]_x000D_
[LOCID].[].[0001004741]_x000D_
[PRDID].[].[20000361]_x000D_
[KEY_FIGURES].[].[ZFORECASTOPENOUTPUT]_x000D_
[LOCID].[].[0001004741]_x000D_
[PRDID].[].[20000361]_x000D_
[KEY_FIGURES].[].[ZACTUALSALES]_x000D_
[LOCID].[].[0001004741]_x000D_
[PRDID].[].[20000361]_x000D_
[KEY_FIGURES].[].[ZCONSENSUSDEMAND]_x000D_
[LOCID].[].[0001004741]_x000D_
[PRDID].[].[20000361]_x000D_
[KEY_FIGURES].[].[INDEPENDENTDEMAND]_x000D_
[LOCID].[].[0001004741]_x000D_
[PRDID].[].[20000362]_x000D_
[KEY_FIGURES].[].[ZCONSENSUSDEMANDQTY]_x000D_
[LOCID].[].[0001004741]_x000D_
[PRDID].[].[20000362]_x000D_
[KEY_FIGURES].[].[ZINPUTSOFC]_x000D_
[LOCID].[].[0001004741]_x000D_
[PRDID].[].[20000362]_x000D_
[KEY_FIGURES].[].[ZFORECASTOPENOUTPUT]_x000D_
[LOCID].[].[0001004741]_x000D_
[PRDID].[].[20000362]_x000D_
[KEY_FIGURES].[].[ZACTUALSALES]_x000D_
[LOCID].[].[0001004741]_x000D_
[PRDID].[].[20000362]_x000D_
[KEY_FIGURES].[].[ZCONSENSUSDEMAND]_x000D_
[LOCID].[].[0001004741]_x000D_
[PRDID].[].[20000362]_x000D_
[KEY_FIGURES].[].[INDEPENDENTDEMAND]_x000D_
[LOCID].[].[0001004741]_x000D_
[PRDID].[].[20000363]_x000D_
[KEY_FIGURES].[].[ZCONSENSUSDEMANDQTY]_x000D_
[LOCID].[].[0001004741]_x000D_
[PRDID].[].[20000363]_x000D_
[KEY_FIGURES].[].[ZINPUTSOFC]_x000D_
[LOCID].[].[0001004741]_x000D_
[PRDID].[].[20000363]_x000D_
[KEY_FIGURES].[].[ZFORECASTOPENOUTPUT]_x000D_
[LOCID].[].[0001004741]_x000D_
[PRDID].[].[20000363]_x000D_
[KEY_FIGURES].[].[ZACTUALSALES]_x000D_
[LOCID].[].[0001004741]_x000D_
[PRDID].[].[20000363]_x000D_
[KEY_FIGURES].[].[ZCONSENSUSDEMAND]_x000D_
[LOCID].[].[0001004741]_x000D_
[PRDID].[].[20000363]_x000D_
[KEY_FIGURES].[].[INDEPENDENTDEMAND]_x000D_
[LOCID].[].[0001004741]_x000D_
[PRDID].[].[20000364]_x000D_
[KEY_FIGURES].[].[ZCONSENSUSDEMANDQTY]_x000D_
[LOCID].[].[0001004741]_x000D_
[PRDID].[].[20000364]_x000D_
[KEY_FIGURES].[].[ZINPUTSOFC]_x000D_
[LOCID].[].[0001004741]_x000D_
[PRDID].[].[20000364]_x000D_
[KEY_FIGURES].[].[ZFORECASTOPENOUTPUT]_x000D_
[LOCID].[].[0001004741]_x000D_
[PRDID].[].[20000364]_x000D_
[KEY_FIGURES].[].[ZACTUALSALES]_x000D_
[LOCID].[].[0001004741]_x000D_
[PRDID].[].[20000364]_x000D_
[KEY_FIGURES].[].[ZCONSENSUSDEMAND]_x000D_
[LOCID].[].[0001004741]_x000D_
[PRDID].[].[20000364]_x000D_
[KEY_FIGURES].[].[INDEPENDENTDEMAND]_x000D_
[LOCID].[].[0001004768]_x000D_
[PRDID].[].[20000148]_x000D_
[KEY_FIGURES].[].[ZCONSENSUSDEMANDQTY]_x000D_
[LOCID].[].[0001004768]_x000D_
[PRDID].[].[20000148]_x000D_
[KEY_FIGURES].[].[ZINPUTSOFC]_x000D_
[LOCID].[].[0001004768]_x000D_
[PRDID].[].[20000148]_x000D_
[KEY_FIGURES].[].[ZFORECASTOPENOUTPUT]_x000D_
[LOCID].[].[0001004768]_x000D_
[PRDID].[].[20000148]_x000D_
[KEY_FIGURES].[].[ZACTUALSALES]_x000D_
[LOCID].[].[0001004768]_x000D_
[PRDID].[].[20000148]_x000D_
[KEY_FIGURES].[].[ZCONSENSUSDEMAND]_x000D_
[LOCID].[].[0001004768]_x000D_
[PRDID].[].[20000148]_x000D_
[KEY_FIGURES].[].[INDEPENDENTDEMAND]_x000D_
[LOCID].[].[0001004768]_x000D_
[PRDID].[].[20000328]_x000D_
[KEY_FIGURES].[].[ZCONSENSUSDEMANDQTY]_x000D_
[LOCID].[].[0001004768]_x000D_
[PRDID].[].[20000328]_x000D_
[KEY_FIGURES].[].[ZINPUTSOFC]_x000D_
[LOCID].[].[0001004768]_x000D_
[PRDID].[].[20000328]_x000D_
[KEY_FIGURES].[].[ZFORECASTOPENOUTPUT]_x000D_
[LOCID].[].[0001004768]_x000D_
[PRDID].[].[20000328]_x000D_
[KEY_FIGURES].[].[ZACTUALSALES]_x000D_
[LOCID].[].[0001004768]_x000D_
[PRDID].[].[20000328]_x000D_
[KEY_FIGURES].[].[ZCONSENSUSDEMAND]_x000D_
[LOCID].[].[0001004768]_x000D_
[PRDID].[].[20000328]_x000D_
[KEY_FIGURES].[].[INDEPENDENTDEMAND]_x000D_
[LOCID].[].[0001004768]_x000D_
[PRDID].[].[20000353]_x000D_
[KEY_FIGURES].[].[ZCONSENSUSDEMANDQTY]_x000D_
[LOCID].[].[0001004768]_x000D_
[PRDID].[].[20000353]_x000D_
[KEY_FIGURES].[].[ZINPUTSOFC]_x000D_
[LOCID].[].[0001004768]_x000D_
[PRDID].[].[20000353]_x000D_
[KEY_FIGURES].[].[ZFORECASTOPENOUTPUT]_x000D_
[LOCID].[].[0001004768]_x000D_
[PRDID].[].[20000353]_x000D_
[KEY_FIGURES].[].[ZACTUALSALES]_x000D_
[LOCID].[].[0001004768]_x000D_
[PRDID].[].[20000353]_x000D_
[KEY_FIGURES].[].[ZCONSENSUSDEMAND]_x000D_
[LOCID].[].[0001004768]_x000D_
[PRDID].[].[20000353]_x000D_
[KEY_FIGURES].[].[INDEPENDENTDEMAND]_x000D_
[LOCID].[].[0001004768]_x000D_
[PRDID].[].[20000354]_x000D_
[KEY_FIGURES].[].[ZCONSENSUSDEMANDQTY]_x000D_
[LOCID].[].[0001004768]_x000D_
[PRDID].[].[20000354]_x000D_
[KEY_FIGURES].[].[ZINPUTSOFC]_x000D_
[LOCID].[].[0001004768]_x000D_
[PRDID].[].[20000354]_x000D_
[KEY_FIGURES].[].[ZFORECASTOPENOUTPUT]_x000D_
[LOCID].[].[0001004768]_x000D_
[PRDID].[].[20000354]_x000D_
[KEY_FIGURES].[].[ZACTUALSALES]_x000D_
[LOCID].[].[0001004768]_x000D_
[PRDID].[].[20000354]_x000D_
[KEY_FIGURES].[].[ZCONSENSUSDEMAND]_x000D_
[LOCID].[].[0001004768]</t>
  </si>
  <si>
    <t>[PRDID].[].[20000354]_x000D_
[KEY_FIGURES].[].[INDEPENDENTDEMAND]_x000D_
[LOCID].[].[0001004768]_x000D_
[PRDID].[].[20000355]_x000D_
[KEY_FIGURES].[].[ZCONSENSUSDEMANDQTY]_x000D_
[LOCID].[].[0001004768]_x000D_
[PRDID].[].[20000355]_x000D_
[KEY_FIGURES].[].[ZINPUTSOFC]_x000D_
[LOCID].[].[0001004768]_x000D_
[PRDID].[].[20000355]_x000D_
[KEY_FIGURES].[].[ZFORECASTOPENOUTPUT]_x000D_
[LOCID].[].[0001004768]_x000D_
[PRDID].[].[20000355]_x000D_
[KEY_FIGURES].[].[ZACTUALSALES]_x000D_
[LOCID].[].[0001004768]_x000D_
[PRDID].[].[20000355]_x000D_
[KEY_FIGURES].[].[ZCONSENSUSDEMAND]_x000D_
[LOCID].[].[0001004768]_x000D_
[PRDID].[].[20000355]_x000D_
[KEY_FIGURES].[].[INDEPENDENTDEMAND]_x000D_
[LOCID].[].[0001004769]_x000D_
[PRDID].[].[20000239]_x000D_
[KEY_FIGURES].[].[ZCONSENSUSDEMANDQTY]_x000D_
[LOCID].[].[0001004769]_x000D_
[PRDID].[].[20000239]_x000D_
[KEY_FIGURES].[].[ZINPUTSOFC]_x000D_
[LOCID].[].[0001004769]_x000D_
[PRDID].[].[20000239]_x000D_
[KEY_FIGURES].[].[ZFORECASTOPENOUTPUT]_x000D_
[LOCID].[].[0001004769]_x000D_
[PRDID].[].[20000239]_x000D_
[KEY_FIGURES].[].[ZACTUALSALES]_x000D_
[LOCID].[].[0001004769]_x000D_
[PRDID].[].[20000239]_x000D_
[KEY_FIGURES].[].[ZCONSENSUSDEMAND]_x000D_
[LOCID].[].[0001004769]_x000D_
[PRDID].[].[20000239]_x000D_
[KEY_FIGURES].[].[INDEPENDENTDEMAND]_x000D_
[LOCID].[].[0001004769]_x000D_
[PRDID].[].[20000346]_x000D_
[KEY_FIGURES].[].[ZCONSENSUSDEMANDQTY]_x000D_
[LOCID].[].[0001004769]_x000D_
[PRDID].[].[20000346]_x000D_
[KEY_FIGURES].[].[ZINPUTSOFC]_x000D_
[LOCID].[].[0001004769]_x000D_
[PRDID].[].[20000346]_x000D_
[KEY_FIGURES].[].[ZFORECASTOPENOUTPUT]_x000D_
[LOCID].[].[0001004769]_x000D_
[PRDID].[].[20000346]_x000D_
[KEY_FIGURES].[].[ZACTUALSALES]_x000D_
[LOCID].[].[0001004769]_x000D_
[PRDID].[].[20000346]_x000D_
[KEY_FIGURES].[].[ZCONSENSUSDEMAND]_x000D_
[LOCID].[].[0001004769]_x000D_
[PRDID].[].[20000346]_x000D_
[KEY_FIGURES].[].[INDEPENDENTDEMAND]_x000D_
[LOCID].[].[0001004781]_x000D_
[PRDID].[].[20001106]_x000D_
[KEY_FIGURES].[].[ZCONSENSUSDEMANDQTY]_x000D_
[LOCID].[].[0001004781]_x000D_
[PRDID].[].[20001106]_x000D_
[KEY_FIGURES].[].[ZINPUTSOFC]_x000D_
[LOCID].[].[0001004781]_x000D_
[PRDID].[].[20001106]_x000D_
[KEY_FIGURES].[].[ZFORECASTOPENOUTPUT]_x000D_
[LOCID].[].[0001004781]_x000D_
[PRDID].[].[20001106]_x000D_
[KEY_FIGURES].[].[ZACTUALSALES]_x000D_
[LOCID].[].[0001004781]_x000D_
[PRDID].[].[20001106]_x000D_
[KEY_FIGURES].[].[ZCONSENSUSDEMAND]_x000D_
[LOCID].[].[0001004781]_x000D_
[PRDID].[].[20001106]_x000D_
[KEY_FIGURES].[].[INDEPENDENTDEMAND]_x000D_
[LOCID].[].[0001004781]_x000D_
[PRDID].[].[20001111]_x000D_
[KEY_FIGURES].[].[ZCONSENSUSDEMANDQTY]_x000D_
[LOCID].[].[0001004781]_x000D_
[PRDID].[].[20001111]_x000D_
[KEY_FIGURES].[].[ZINPUTSOFC]_x000D_
[LOCID].[].[0001004781]_x000D_
[PRDID].[].[20001111]_x000D_
[KEY_FIGURES].[].[ZFORECASTOPENOUTPUT]_x000D_
[LOCID].[].[0001004781]_x000D_
[PRDID].[].[20001111]_x000D_
[KEY_FIGURES].[].[ZACTUALSALES]_x000D_
[LOCID].[].[0001004781]_x000D_
[PRDID].[].[20001111]_x000D_
[KEY_FIGURES].[].[ZCONSENSUSDEMAND]_x000D_
[LOCID].[].[0001004781]_x000D_
[PRDID].[].[20001111]_x000D_
[KEY_FIGURES].[].[INDEPENDENTDEMAND]_x000D_
[LOCID].[].[0001004781]_x000D_
[PRDID].[].[20001112]_x000D_
[KEY_FIGURES].[].[ZCONSENSUSDEMANDQTY]_x000D_
[LOCID].[].[0001004781]_x000D_
[PRDID].[].[20001112]_x000D_
[KEY_FIGURES].[].[ZINPUTSOFC]_x000D_
[LOCID].[].[0001004781]_x000D_
[PRDID].[].[20001112]_x000D_
[KEY_FIGURES].[].[ZFORECASTOPENOUTPUT]_x000D_
[LOCID].[].[0001004781]_x000D_
[PRDID].[].[20001112]_x000D_
[KEY_FIGURES].[].[ZACTUALSALES]_x000D_
[LOCID].[].[0001004781]_x000D_
[PRDID].[].[20001112]_x000D_
[KEY_FIGURES].[].[ZCONSENSUSDEMAND]_x000D_
[LOCID].[].[0001004781]_x000D_
[PRDID].[].[20001112]_x000D_
[KEY_FIGURES].[].[INDEPENDENTDEMAND]_x000D_
[LOCID].[].[0001004781]_x000D_
[PRDID].[].[20001113]_x000D_
[KEY_FIGURES].[].[ZCONSENSUSDEMANDQTY]_x000D_
[LOCID].[].[0001004781]_x000D_
[PRDID].[].[20001113]_x000D_
[KEY_FIGURES].[].[ZINPUTSOFC]_x000D_
[LOCID].[].[0001004781]_x000D_
[PRDID].[].[20001113]_x000D_
[KEY_FIGURES].[].[ZFORECASTOPENOUTPUT]_x000D_
[LOCID].[].[0001004781]_x000D_
[PRDID].[].[20001113]_x000D_
[KEY_FIGURES].[].[ZACTUALSALES]_x000D_
[LOCID].[].[0001004781]_x000D_
[PRDID].[].[20001113]_x000D_
[KEY_FIGURES].[].[ZCONSENSUSDEMAND]_x000D_
[LOCID].[].[0001004781]_x000D_
[PRDID].[].[20001113]_x000D_
[KEY_FIGURES].[].[INDEPENDENTDEMAND]_x000D_
[LOCID].[].[0001004781]_x000D_
[PRDID].[].[20001114]_x000D_
[KEY_FIGURES].[].[ZCONSENSUSDEMANDQTY]_x000D_
[LOCID].[].[0001004781]_x000D_
[PRDID].[].[20001114]_x000D_
[KEY_FIGURES].[].[ZINPUTSOFC]_x000D_
[LOCID].[].[0001004781]_x000D_
[PRDID].[].[20001114]_x000D_
[KEY_FIGURES].[].[ZFORECASTOPENOUTPUT]_x000D_
[LOCID].[].[0001004781]_x000D_
[PRDID].[].[20001114]_x000D_
[KEY_FIGURES].[].[ZACTUALSALES]_x000D_
[LOCID].[].[0001004781]_x000D_
[PRDID].[].[20001114]_x000D_
[KEY_FIGURES].[].[ZCONSENSUSDEMAND]_x000D_
[LOCID].[].[0001004781]_x000D_
[PRDID].[].[20001114]_x000D_
[KEY_FIGURES].[].[INDEPENDENTDEMAND]_x000D_
[LOCID].[].[0001004781]_x000D_
[PRDID].[].[20001118]_x000D_
[KEY_FIGURES].[].[ZCONSENSUSDEMANDQTY]_x000D_
[LOCID].[].[0001004781]_x000D_
[PRDID].[].[20001118]_x000D_
[KEY_FIGURES].[].[ZINPUTSOFC]_x000D_
[LOCID].[].[0001004781]_x000D_
[PRDID].[].[20001118]_x000D_
[KEY_FIGURES].[].[ZFORECASTOPENOUTPUT]_x000D_
[LOCID].[].[0001004781]_x000D_
[PRDID].[].[20001118]_x000D_
[KEY_FIGURES].[].[ZACTUALSALES]_x000D_
[LOCID].[].[0001004781]_x000D_
[PRDID].[].[20001118]_x000D_
[KEY_FIGURES].[].[ZCONSENSUSDEMAND]_x000D_
[LOCID].[].[0001004781]_x000D_
[PRDID].[].[20001118]_x000D_
[KEY_FIGURES].[].[INDEPENDENTDEMAND]_x000D_
[LOCID].[].[0001004781]_x000D_
[PRDID].[].[20001119]_x000D_
[KEY_FIGURES].[].[ZCONSENSUSDEMANDQTY]_x000D_
[LOCID].[].[0001004781]_x000D_
[PRDID].[].[20001119]_x000D_
[KEY_FIGURES].[].[ZINPUTSOFC]_x000D_
[LOCID].[].[0001004781]_x000D_
[PRDID].[].[20001119]_x000D_
[KEY_FIGURES].[].[ZFORECASTOPENOUTPUT]_x000D_
[LOCID].[].[0001004781]_x000D_
[PRDID].[].[20001119]_x000D_
[KEY_FIGURES].[].[ZACTUALSALES]_x000D_
[LOCID].[].[0001004781]_x000D_
[PRDID].[].[20001119]_x000D_
[KEY_FIGURES].[].[ZCONSENSUSDEMAND]_x000D_
[LOCID].[].[0001004781]_x000D_
[PRDID].[].[20001119]_x000D_
[KEY_FIGURES].[].[INDEPENDENTDEMAND]_x000D_
[LOCID].[].[0001004781]_x000D_
[PRDID].[].[20001158]_x000D_
[KEY_FIGURES].[].[ZCONSENSUSDEMANDQTY]_x000D_
[LOCID].[].[0001004781]_x000D_
[PRDID].[].[20001158]_x000D_
[KEY_FIGURES].[].[ZINPUTSOFC]_x000D_
[LOCID].[].[0001004781]_x000D_
[PRDID].[].[20001158]_x000D_
[KEY_FIGURES].[].[ZFORECASTOPENOUTPUT]_x000D_
[LOCID].[].[0001004781]_x000D_
[PRDID].[].[20001158]_x000D_
[KEY_FIGURES].[].[ZACTUALSALES]_x000D_
[LOCID].[].[0001004781]_x000D_
[PRDID].[].[20001158]_x000D_
[KEY_FIGURES].[].[ZCONSENSUSDEMAND]_x000D_
[LOCID].[].[0001004781]_x000D_
[PRDID].[].[20001158]_x000D_
[KEY_FIGURES].[].[INDEPENDENTDEMAND]</t>
  </si>
  <si>
    <t>[LOCID].[].[0001004830]_x000D_
[PRDID].[].[20000663]_x000D_
[KEY_FIGURES].[].[ZCONSENSUSDEMANDQTY]_x000D_
[LOCID].[].[0001004830]_x000D_
[PRDID].[].[20000663]_x000D_
[KEY_FIGURES].[].[ZINPUTSOFC]_x000D_
[LOCID].[].[0001004830]_x000D_
[PRDID].[].[20000663]_x000D_
[KEY_FIGURES].[].[ZFORECASTOPENOUTPUT]_x000D_
[LOCID].[].[0001004830]_x000D_
[PRDID].[].[20000663]_x000D_
[KEY_FIGURES].[].[ZACTUALSALES]_x000D_
[LOCID].[].[0001004830]_x000D_
[PRDID].[].[20000663]_x000D_
[KEY_FIGURES].[].[ZCONSENSUSDEMAND]_x000D_
[LOCID].[].[0001004830]_x000D_
[PRDID].[].[20000663]_x000D_
[KEY_FIGURES].[].[INDEPENDENTDEMAND]_x000D_
[LOCID].[].[0001004831]_x000D_
[PRDID].[].[20000561]_x000D_
[KEY_FIGURES].[].[ZCONSENSUSDEMANDQTY]_x000D_
[LOCID].[].[0001004831]_x000D_
[PRDID].[].[20000561]_x000D_
[KEY_FIGURES].[].[ZINPUTSOFC]_x000D_
[LOCID].[].[0001004831]_x000D_
[PRDID].[].[20000561]_x000D_
[KEY_FIGURES].[].[ZFORECASTOPENOUTPUT]_x000D_
[LOCID].[].[0001004831]_x000D_
[PRDID].[].[20000561]_x000D_
[KEY_FIGURES].[].[ZACTUALSALES]_x000D_
[LOCID].[].[0001004831]_x000D_
[PRDID].[].[20000561]_x000D_
[KEY_FIGURES].[].[ZCONSENSUSDEMAND]_x000D_
[LOCID].[].[0001004831]_x000D_
[PRDID].[].[20000561]_x000D_
[KEY_FIGURES].[].[INDEPENDENTDEMAND]_x000D_
[LOCID].[].[0001004831]_x000D_
[PRDID].[].[20000562]_x000D_
[KEY_FIGURES].[].[ZCONSENSUSDEMANDQTY]_x000D_
[LOCID].[].[0001004831]_x000D_
[PRDID].[].[20000562]_x000D_
[KEY_FIGURES].[].[ZINPUTSOFC]_x000D_
[LOCID].[].[0001004831]_x000D_
[PRDID].[].[20000562]_x000D_
[KEY_FIGURES].[].[ZFORECASTOPENOUTPUT]_x000D_
[LOCID].[].[0001004831]_x000D_
[PRDID].[].[20000562]_x000D_
[KEY_FIGURES].[].[ZACTUALSALES]_x000D_
[LOCID].[].[0001004831]_x000D_
[PRDID].[].[20000562]_x000D_
[KEY_FIGURES].[].[ZCONSENSUSDEMAND]_x000D_
[LOCID].[].[0001004831]_x000D_
[PRDID].[].[20000562]_x000D_
[KEY_FIGURES].[].[INDEPENDENTDEMAND]_x000D_
[LOCID].[].[0001004831]_x000D_
[PRDID].[].[20000563]_x000D_
[KEY_FIGURES].[].[ZCONSENSUSDEMANDQTY]_x000D_
[LOCID].[].[0001004831]_x000D_
[PRDID].[].[20000563]_x000D_
[KEY_FIGURES].[].[ZINPUTSOFC]_x000D_
[LOCID].[].[0001004831]_x000D_
[PRDID].[].[20000563]_x000D_
[KEY_FIGURES].[].[ZFORECASTOPENOUTPUT]_x000D_
[LOCID].[].[0001004831]_x000D_
[PRDID].[].[20000563]_x000D_
[KEY_FIGURES].[].[ZACTUALSALES]_x000D_
[LOCID].[].[0001004831]_x000D_
[PRDID].[].[20000563]_x000D_
[KEY_FIGURES].[].[ZCONSENSUSDEMAND]_x000D_
[LOCID].[].[0001004831]_x000D_
[PRDID].[].[20000563]_x000D_
[KEY_FIGURES].[].[INDEPENDENTDEMAND]_x000D_
[LOCID].[].[0001004831]_x000D_
[PRDID].[].[20000564]_x000D_
[KEY_FIGURES].[].[ZCONSENSUSDEMANDQTY]_x000D_
[LOCID].[].[0001004831]_x000D_
[PRDID].[].[20000564]_x000D_
[KEY_FIGURES].[].[ZINPUTSOFC]_x000D_
[LOCID].[].[0001004831]_x000D_
[PRDID].[].[20000564]_x000D_
[KEY_FIGURES].[].[ZFORECASTOPENOUTPUT]_x000D_
[LOCID].[].[0001004831]_x000D_
[PRDID].[].[20000564]_x000D_
[KEY_FIGURES].[].[ZACTUALSALES]_x000D_
[LOCID].[].[0001004831]_x000D_
[PRDID].[].[20000564]_x000D_
[KEY_FIGURES].[].[ZCONSENSUSDEMAND]_x000D_
[LOCID].[].[0001004831]_x000D_
[PRDID].[].[20000564]_x000D_
[KEY_FIGURES].[].[INDEPENDENTDEMAND]_x000D_
[LOCID].[].[0001004831]_x000D_
[PRDID].[].[20000565]_x000D_
[KEY_FIGURES].[].[ZCONSENSUSDEMANDQTY]_x000D_
[LOCID].[].[0001004831]_x000D_
[PRDID].[].[20000565]_x000D_
[KEY_FIGURES].[].[ZINPUTSOFC]_x000D_
[LOCID].[].[0001004831]_x000D_
[PRDID].[].[20000565]_x000D_
[KEY_FIGURES].[].[ZFORECASTOPENOUTPUT]_x000D_
[LOCID].[].[0001004831]_x000D_
[PRDID].[].[20000565]_x000D_
[KEY_FIGURES].[].[ZACTUALSALES]_x000D_
[LOCID].[].[0001004831]_x000D_
[PRDID].[].[20000565]_x000D_
[KEY_FIGURES].[].[ZCONSENSUSDEMAND]_x000D_
[LOCID].[].[0001004831]_x000D_
[PRDID].[].[20000565]_x000D_
[KEY_FIGURES].[].[INDEPENDENTDEMAND]_x000D_
[LOCID].[].[0001004831]_x000D_
[PRDID].[].[20000566]_x000D_
[KEY_FIGURES].[].[ZCONSENSUSDEMANDQTY]_x000D_
[LOCID].[].[0001004831]_x000D_
[PRDID].[].[20000566]_x000D_
[KEY_FIGURES].[].[ZINPUTSOFC]_x000D_
[LOCID].[].[0001004831]_x000D_
[PRDID].[].[20000566]_x000D_
[KEY_FIGURES].[].[ZFORECASTOPENOUTPUT]_x000D_
[LOCID].[].[0001004831]_x000D_
[PRDID].[].[20000566]_x000D_
[KEY_FIGURES].[].[ZACTUALSALES]_x000D_
[LOCID].[].[0001004831]_x000D_
[PRDID].[].[20000566]_x000D_
[KEY_FIGURES].[].[ZCONSENSUSDEMAND]_x000D_
[LOCID].[].[0001004831]_x000D_
[PRDID].[].[20000566]_x000D_
[KEY_FIGURES].[].[INDEPENDENTDEMAND]_x000D_
[LOCID].[].[0001004831]_x000D_
[PRDID].[].[20000567]_x000D_
[KEY_FIGURES].[].[ZCONSENSUSDEMANDQTY]_x000D_
[LOCID].[].[0001004831]_x000D_
[PRDID].[].[20000567]_x000D_
[KEY_FIGURES].[].[ZINPUTSOFC]_x000D_
[LOCID].[].[0001004831]_x000D_
[PRDID].[].[20000567]_x000D_
[KEY_FIGURES].[].[ZFORECASTOPENOUTPUT]_x000D_
[LOCID].[].[0001004831]_x000D_
[PRDID].[].[20000567]_x000D_
[KEY_FIGURES].[].[ZACTUALSALES]_x000D_
[LOCID].[].[0001004831]_x000D_
[PRDID].[].[20000567]_x000D_
[KEY_FIGURES].[].[ZCONSENSUSDEMAND]_x000D_
[LOCID].[].[0001004831]_x000D_
[PRDID].[].[20000567]_x000D_
[KEY_FIGURES].[].[INDEPENDENTDEMAND]_x000D_
[LOCID].[].[0001004831]_x000D_
[PRDID].[].[20000568]_x000D_
[KEY_FIGURES].[].[ZCONSENSUSDEMANDQTY]_x000D_
[LOCID].[].[0001004831]_x000D_
[PRDID].[].[20000568]_x000D_
[KEY_FIGURES].[].[ZINPUTSOFC]_x000D_
[LOCID].[].[0001004831]_x000D_
[PRDID].[].[20000568]_x000D_
[KEY_FIGURES].[].[ZFORECASTOPENOUTPUT]_x000D_
[LOCID].[].[0001004831]_x000D_
[PRDID].[].[20000568]_x000D_
[KEY_FIGURES].[].[ZACTUALSALES]_x000D_
[LOCID].[].[0001004831]_x000D_
[PRDID].[].[20000568]_x000D_
[KEY_FIGURES].[].[ZCONSENSUSDEMAND]_x000D_
[LOCID].[].[0001004831]_x000D_
[PRDID].[].[20000568]_x000D_
[KEY_FIGURES].[].[INDEPENDENTDEMAND]_x000D_
[LOCID].[].[0001004831]_x000D_
[PRDID].[].[20000569]_x000D_
[KEY_FIGURES].[].[ZCONSENSUSDEMANDQTY]_x000D_
[LOCID].[].[0001004831]_x000D_
[PRDID].[].[20000569]_x000D_
[KEY_FIGURES].[].[ZINPUTSOFC]_x000D_
[LOCID].[].[0001004831]_x000D_
[PRDID].[].[20000569]_x000D_
[KEY_FIGURES].[].[ZFORECASTOPENOUTPUT]_x000D_
[LOCID].[].[0001004831]_x000D_
[PRDID].[].[20000569]_x000D_
[KEY_FIGURES].[].[ZACTUALSALES]_x000D_
[LOCID].[].[0001004831]_x000D_
[PRDID].[].[20000569]_x000D_
[KEY_FIGURES].[].[ZCONSENSUSDEMAND]_x000D_
[LOCID].[].[0001004831]_x000D_
[PRDID].[].[20000569]_x000D_
[KEY_FIGURES].[].[INDEPENDENTDEMAND]_x000D_
[LOCID].[].[0001004832]_x000D_
[PRDID].[].[20000206]_x000D_
[KEY_FIGURES].[].[ZCONSENSUSDEMANDQTY]_x000D_
[LOCID].[].[0001004832]_x000D_
[PRDID].[].[20000206]_x000D_
[KEY_FIGURES].[].[ZINPUTSOFC]_x000D_
[LOCID].[].[0001004832]_x000D_
[PRDID].[].[20000206]_x000D_
[KEY_FIGURES].[].[ZFORECASTOPENOUTPUT]_x000D_
[LOCID].[].[0001004832]_x000D_
[PRDID].[].[20000206]_x000D_
[KEY_FIGURES].[].[ZACTUALSALES]_x000D_
[LOCID].[].[0001004832]_x000D_
[PRDID].[].[20000206]_x000D_
[KEY_FIGURES].[].[ZCONSENSUSDEMAND]_x000D_
[LOCID].[].[0001004832]_x000D_
[PRDID].[].[20000206]_x000D_
[KEY_FIGURES].[].[INDEPENDENTDEMAND]_x000D_
[LOCID].[].[0001004834]_x000D_
[PRDID].[].[20000127]</t>
  </si>
  <si>
    <t>[KEY_FIGURES].[].[ZCONSENSUSDEMANDQTY]_x000D_
[LOCID].[].[0001004834]_x000D_
[PRDID].[].[20000127]_x000D_
[KEY_FIGURES].[].[ZINPUTSOFC]_x000D_
[LOCID].[].[0001004834]_x000D_
[PRDID].[].[20000127]_x000D_
[KEY_FIGURES].[].[ZFORECASTOPENOUTPUT]_x000D_
[LOCID].[].[0001004834]_x000D_
[PRDID].[].[20000127]_x000D_
[KEY_FIGURES].[].[ZACTUALSALES]_x000D_
[LOCID].[].[0001004834]_x000D_
[PRDID].[].[20000127]_x000D_
[KEY_FIGURES].[].[ZCONSENSUSDEMAND]_x000D_
[LOCID].[].[0001004834]_x000D_
[PRDID].[].[20000127]_x000D_
[KEY_FIGURES].[].[INDEPENDENTDEMAND]_x000D_
[LOCID].[].[0001004834]_x000D_
[PRDID].[].[20000357]_x000D_
[KEY_FIGURES].[].[ZCONSENSUSDEMANDQTY]_x000D_
[LOCID].[].[0001004834]_x000D_
[PRDID].[].[20000357]_x000D_
[KEY_FIGURES].[].[ZINPUTSOFC]_x000D_
[LOCID].[].[0001004834]_x000D_
[PRDID].[].[20000357]_x000D_
[KEY_FIGURES].[].[ZFORECASTOPENOUTPUT]_x000D_
[LOCID].[].[0001004834]_x000D_
[PRDID].[].[20000357]_x000D_
[KEY_FIGURES].[].[ZACTUALSALES]_x000D_
[LOCID].[].[0001004834]_x000D_
[PRDID].[].[20000357]_x000D_
[KEY_FIGURES].[].[ZCONSENSUSDEMAND]_x000D_
[LOCID].[].[0001004834]_x000D_
[PRDID].[].[20000357]_x000D_
[KEY_FIGURES].[].[INDEPENDENTDEMAND]_x000D_
[LOCID].[].[0001004834]_x000D_
[PRDID].[].[20000576]_x000D_
[KEY_FIGURES].[].[ZCONSENSUSDEMANDQTY]_x000D_
[LOCID].[].[0001004834]_x000D_
[PRDID].[].[20000576]_x000D_
[KEY_FIGURES].[].[ZINPUTSOFC]_x000D_
[LOCID].[].[0001004834]_x000D_
[PRDID].[].[20000576]_x000D_
[KEY_FIGURES].[].[ZFORECASTOPENOUTPUT]_x000D_
[LOCID].[].[0001004834]_x000D_
[PRDID].[].[20000576]_x000D_
[KEY_FIGURES].[].[ZACTUALSALES]_x000D_
[LOCID].[].[0001004834]_x000D_
[PRDID].[].[20000576]_x000D_
[KEY_FIGURES].[].[ZCONSENSUSDEMAND]_x000D_
[LOCID].[].[0001004834]_x000D_
[PRDID].[].[20000576]_x000D_
[KEY_FIGURES].[].[INDEPENDENTDEMAND]_x000D_
[LOCID].[].[0001004834]_x000D_
[PRDID].[].[20000577]_x000D_
[KEY_FIGURES].[].[ZCONSENSUSDEMANDQTY]_x000D_
[LOCID].[].[0001004834]_x000D_
[PRDID].[].[20000577]_x000D_
[KEY_FIGURES].[].[ZINPUTSOFC]_x000D_
[LOCID].[].[0001004834]_x000D_
[PRDID].[].[20000577]_x000D_
[KEY_FIGURES].[].[ZFORECASTOPENOUTPUT]_x000D_
[LOCID].[].[0001004834]_x000D_
[PRDID].[].[20000577]_x000D_
[KEY_FIGURES].[].[ZACTUALSALES]_x000D_
[LOCID].[].[0001004834]_x000D_
[PRDID].[].[20000577]_x000D_
[KEY_FIGURES].[].[ZCONSENSUSDEMAND]_x000D_
[LOCID].[].[0001004834]_x000D_
[PRDID].[].[20000577]_x000D_
[KEY_FIGURES].[].[INDEPENDENTDEMAND]_x000D_
[LOCID].[].[0001004834]_x000D_
[PRDID].[].[20000578]_x000D_
[KEY_FIGURES].[].[ZCONSENSUSDEMANDQTY]_x000D_
[LOCID].[].[0001004834]_x000D_
[PRDID].[].[20000578]_x000D_
[KEY_FIGURES].[].[ZINPUTSOFC]_x000D_
[LOCID].[].[0001004834]_x000D_
[PRDID].[].[20000578]_x000D_
[KEY_FIGURES].[].[ZFORECASTOPENOUTPUT]_x000D_
[LOCID].[].[0001004834]_x000D_
[PRDID].[].[20000578]_x000D_
[KEY_FIGURES].[].[ZACTUALSALES]_x000D_
[LOCID].[].[0001004834]_x000D_
[PRDID].[].[20000578]_x000D_
[KEY_FIGURES].[].[ZCONSENSUSDEMAND]_x000D_
[LOCID].[].[0001004834]_x000D_
[PRDID].[].[20000578]_x000D_
[KEY_FIGURES].[].[INDEPENDENTDEMAND]_x000D_
[LOCID].[].[0001004834]_x000D_
[PRDID].[].[20000593]_x000D_
[KEY_FIGURES].[].[ZCONSENSUSDEMANDQTY]_x000D_
[LOCID].[].[0001004834]_x000D_
[PRDID].[].[20000593]_x000D_
[KEY_FIGURES].[].[ZINPUTSOFC]_x000D_
[LOCID].[].[0001004834]_x000D_
[PRDID].[].[20000593]_x000D_
[KEY_FIGURES].[].[ZFORECASTOPENOUTPUT]_x000D_
[LOCID].[].[0001004834]_x000D_
[PRDID].[].[20000593]_x000D_
[KEY_FIGURES].[].[ZACTUALSALES]_x000D_
[LOCID].[].[0001004834]_x000D_
[PRDID].[].[20000593]_x000D_
[KEY_FIGURES].[].[ZCONSENSUSDEMAND]_x000D_
[LOCID].[].[0001004834]_x000D_
[PRDID].[].[20000593]_x000D_
[KEY_FIGURES].[].[INDEPENDENTDEMAND]_x000D_
[LOCID].[].[0001004834]_x000D_
[PRDID].[].[20000594]_x000D_
[KEY_FIGURES].[].[ZCONSENSUSDEMANDQTY]_x000D_
[LOCID].[].[0001004834]_x000D_
[PRDID].[].[20000594]_x000D_
[KEY_FIGURES].[].[ZINPUTSOFC]_x000D_
[LOCID].[].[0001004834]_x000D_
[PRDID].[].[20000594]_x000D_
[KEY_FIGURES].[].[ZFORECASTOPENOUTPUT]_x000D_
[LOCID].[].[0001004834]_x000D_
[PRDID].[].[20000594]_x000D_
[KEY_FIGURES].[].[ZACTUALSALES]_x000D_
[LOCID].[].[0001004834]_x000D_
[PRDID].[].[20000594]_x000D_
[KEY_FIGURES].[].[ZCONSENSUSDEMAND]_x000D_
[LOCID].[].[0001004834]_x000D_
[PRDID].[].[20000594]_x000D_
[KEY_FIGURES].[].[INDEPENDENTDEMAND]_x000D_
[LOCID].[].[0001004834]_x000D_
[PRDID].[].[20000595]_x000D_
[KEY_FIGURES].[].[ZCONSENSUSDEMANDQTY]_x000D_
[LOCID].[].[0001004834]_x000D_
[PRDID].[].[20000595]_x000D_
[KEY_FIGURES].[].[ZINPUTSOFC]_x000D_
[LOCID].[].[0001004834]_x000D_
[PRDID].[].[20000595]_x000D_
[KEY_FIGURES].[].[ZFORECASTOPENOUTPUT]_x000D_
[LOCID].[].[0001004834]_x000D_
[PRDID].[].[20000595]_x000D_
[KEY_FIGURES].[].[ZACTUALSALES]_x000D_
[LOCID].[].[0001004834]_x000D_
[PRDID].[].[20000595]_x000D_
[KEY_FIGURES].[].[ZCONSENSUSDEMAND]_x000D_
[LOCID].[].[0001004834]_x000D_
[PRDID].[].[20000595]_x000D_
[KEY_FIGURES].[].[INDEPENDENTDEMAND]_x000D_
[LOCID].[].[0001004834]_x000D_
[PRDID].[].[20000596]_x000D_
[KEY_FIGURES].[].[ZCONSENSUSDEMANDQTY]_x000D_
[LOCID].[].[0001004834]_x000D_
[PRDID].[].[20000596]_x000D_
[KEY_FIGURES].[].[ZINPUTSOFC]_x000D_
[LOCID].[].[0001004834]_x000D_
[PRDID].[].[20000596]_x000D_
[KEY_FIGURES].[].[ZFORECASTOPENOUTPUT]_x000D_
[LOCID].[].[0001004834]_x000D_
[PRDID].[].[20000596]_x000D_
[KEY_FIGURES].[].[ZACTUALSALES]_x000D_
[LOCID].[].[0001004834]_x000D_
[PRDID].[].[20000596]_x000D_
[KEY_FIGURES].[].[ZCONSENSUSDEMAND]_x000D_
[LOCID].[].[0001004834]_x000D_
[PRDID].[].[20000596]_x000D_
[KEY_FIGURES].[].[INDEPENDENTDEMAND]_x000D_
[LOCID].[].[0001004834]_x000D_
[PRDID].[].[20000597]_x000D_
[KEY_FIGURES].[].[ZCONSENSUSDEMANDQTY]_x000D_
[LOCID].[].[0001004834]_x000D_
[PRDID].[].[20000597]_x000D_
[KEY_FIGURES].[].[ZINPUTSOFC]_x000D_
[LOCID].[].[0001004834]_x000D_
[PRDID].[].[20000597]_x000D_
[KEY_FIGURES].[].[ZFORECASTOPENOUTPUT]_x000D_
[LOCID].[].[0001004834]_x000D_
[PRDID].[].[20000597]_x000D_
[KEY_FIGURES].[].[ZACTUALSALES]_x000D_
[LOCID].[].[0001004834]_x000D_
[PRDID].[].[20000597]_x000D_
[KEY_FIGURES].[].[ZCONSENSUSDEMAND]_x000D_
[LOCID].[].[0001004834]_x000D_
[PRDID].[].[20000597]_x000D_
[KEY_FIGURES].[].[INDEPENDENTDEMAND]_x000D_
[LOCID].[].[0001004834]_x000D_
[PRDID].[].[20000598]_x000D_
[KEY_FIGURES].[].[ZCONSENSUSDEMANDQTY]_x000D_
[LOCID].[].[0001004834]_x000D_
[PRDID].[].[20000598]_x000D_
[KEY_FIGURES].[].[ZINPUTSOFC]_x000D_
[LOCID].[].[0001004834]_x000D_
[PRDID].[].[20000598]_x000D_
[KEY_FIGURES].[].[ZFORECASTOPENOUTPUT]_x000D_
[LOCID].[].[0001004834]_x000D_
[PRDID].[].[20000598]_x000D_
[KEY_FIGURES].[].[ZACTUALSALES]_x000D_
[LOCID].[].[0001004834]_x000D_
[PRDID].[].[20000598]_x000D_
[KEY_FIGURES].[].[ZCONSENSUSDEMAND]_x000D_
[LOCID].[].[0001004834]_x000D_
[PRDID].[].[20000598]_x000D_
[KEY_FIGURES].[].[INDEPENDENTDEMAND]_x000D_
[LOCID].[].[0001004834]_x000D_
[PRDID].[].[20000599]_x000D_
[KEY_FIGURES].[].[ZCONSENSUSDEMANDQTY]_x000D_
[LOCID].[].[0001004834]</t>
  </si>
  <si>
    <t>[PRDID].[].[20000599]_x000D_
[KEY_FIGURES].[].[ZINPUTSOFC]_x000D_
[LOCID].[].[0001004834]_x000D_
[PRDID].[].[20000599]_x000D_
[KEY_FIGURES].[].[ZFORECASTOPENOUTPUT]_x000D_
[LOCID].[].[0001004834]_x000D_
[PRDID].[].[20000599]_x000D_
[KEY_FIGURES].[].[ZACTUALSALES]_x000D_
[LOCID].[].[0001004834]_x000D_
[PRDID].[].[20000599]_x000D_
[KEY_FIGURES].[].[ZCONSENSUSDEMAND]_x000D_
[LOCID].[].[0001004834]_x000D_
[PRDID].[].[20000599]_x000D_
[KEY_FIGURES].[].[INDEPENDENTDEMAND]_x000D_
[LOCID].[].[0001004834]_x000D_
[PRDID].[].[20000600]_x000D_
[KEY_FIGURES].[].[ZCONSENSUSDEMANDQTY]_x000D_
[LOCID].[].[0001004834]_x000D_
[PRDID].[].[20000600]_x000D_
[KEY_FIGURES].[].[ZINPUTSOFC]_x000D_
[LOCID].[].[0001004834]_x000D_
[PRDID].[].[20000600]_x000D_
[KEY_FIGURES].[].[ZFORECASTOPENOUTPUT]_x000D_
[LOCID].[].[0001004834]_x000D_
[PRDID].[].[20000600]_x000D_
[KEY_FIGURES].[].[ZACTUALSALES]_x000D_
[LOCID].[].[0001004834]_x000D_
[PRDID].[].[20000600]_x000D_
[KEY_FIGURES].[].[ZCONSENSUSDEMAND]_x000D_
[LOCID].[].[0001004834]_x000D_
[PRDID].[].[20000600]_x000D_
[KEY_FIGURES].[].[INDEPENDENTDEMAND]_x000D_
[LOCID].[].[0001004834]_x000D_
[PRDID].[].[20000601]_x000D_
[KEY_FIGURES].[].[ZCONSENSUSDEMANDQTY]_x000D_
[LOCID].[].[0001004834]_x000D_
[PRDID].[].[20000601]_x000D_
[KEY_FIGURES].[].[ZINPUTSOFC]_x000D_
[LOCID].[].[0001004834]_x000D_
[PRDID].[].[20000601]_x000D_
[KEY_FIGURES].[].[ZFORECASTOPENOUTPUT]_x000D_
[LOCID].[].[0001004834]_x000D_
[PRDID].[].[20000601]_x000D_
[KEY_FIGURES].[].[ZACTUALSALES]_x000D_
[LOCID].[].[0001004834]_x000D_
[PRDID].[].[20000601]_x000D_
[KEY_FIGURES].[].[ZCONSENSUSDEMAND]_x000D_
[LOCID].[].[0001004834]_x000D_
[PRDID].[].[20000601]_x000D_
[KEY_FIGURES].[].[INDEPENDENTDEMAND]_x000D_
[LOCID].[].[0001004834]_x000D_
[PRDID].[].[20000602]_x000D_
[KEY_FIGURES].[].[ZCONSENSUSDEMANDQTY]_x000D_
[LOCID].[].[0001004834]_x000D_
[PRDID].[].[20000602]_x000D_
[KEY_FIGURES].[].[ZINPUTSOFC]_x000D_
[LOCID].[].[0001004834]_x000D_
[PRDID].[].[20000602]_x000D_
[KEY_FIGURES].[].[ZFORECASTOPENOUTPUT]_x000D_
[LOCID].[].[0001004834]_x000D_
[PRDID].[].[20000602]_x000D_
[KEY_FIGURES].[].[ZACTUALSALES]_x000D_
[LOCID].[].[0001004834]_x000D_
[PRDID].[].[20000602]_x000D_
[KEY_FIGURES].[].[ZCONSENSUSDEMAND]_x000D_
[LOCID].[].[0001004834]_x000D_
[PRDID].[].[20000602]_x000D_
[KEY_FIGURES].[].[INDEPENDENTDEMAND]_x000D_
[LOCID].[].[0001004834]_x000D_
[PRDID].[].[20000603]_x000D_
[KEY_FIGURES].[].[ZCONSENSUSDEMANDQTY]_x000D_
[LOCID].[].[0001004834]_x000D_
[PRDID].[].[20000603]_x000D_
[KEY_FIGURES].[].[ZINPUTSOFC]_x000D_
[LOCID].[].[0001004834]_x000D_
[PRDID].[].[20000603]_x000D_
[KEY_FIGURES].[].[ZFORECASTOPENOUTPUT]_x000D_
[LOCID].[].[0001004834]_x000D_
[PRDID].[].[20000603]_x000D_
[KEY_FIGURES].[].[ZACTUALSALES]_x000D_
[LOCID].[].[0001004834]_x000D_
[PRDID].[].[20000603]_x000D_
[KEY_FIGURES].[].[ZCONSENSUSDEMAND]_x000D_
[LOCID].[].[0001004834]_x000D_
[PRDID].[].[20000603]_x000D_
[KEY_FIGURES].[].[INDEPENDENTDEMAND]_x000D_
[LOCID].[].[0001004834]_x000D_
[PRDID].[].[20000607]_x000D_
[KEY_FIGURES].[].[ZCONSENSUSDEMANDQTY]_x000D_
[LOCID].[].[0001004834]_x000D_
[PRDID].[].[20000607]_x000D_
[KEY_FIGURES].[].[ZINPUTSOFC]_x000D_
[LOCID].[].[0001004834]_x000D_
[PRDID].[].[20000607]_x000D_
[KEY_FIGURES].[].[ZFORECASTOPENOUTPUT]_x000D_
[LOCID].[].[0001004834]_x000D_
[PRDID].[].[20000607]_x000D_
[KEY_FIGURES].[].[ZACTUALSALES]_x000D_
[LOCID].[].[0001004834]_x000D_
[PRDID].[].[20000607]_x000D_
[KEY_FIGURES].[].[ZCONSENSUSDEMAND]_x000D_
[LOCID].[].[0001004834]_x000D_
[PRDID].[].[20000607]_x000D_
[KEY_FIGURES].[].[INDEPENDENTDEMAND]_x000D_
[LOCID].[].[0001004834]_x000D_
[PRDID].[].[20000617]_x000D_
[KEY_FIGURES].[].[ZCONSENSUSDEMANDQTY]_x000D_
[LOCID].[].[0001004834]_x000D_
[PRDID].[].[20000617]_x000D_
[KEY_FIGURES].[].[ZINPUTSOFC]_x000D_
[LOCID].[].[0001004834]_x000D_
[PRDID].[].[20000617]_x000D_
[KEY_FIGURES].[].[ZFORECASTOPENOUTPUT]_x000D_
[LOCID].[].[0001004834]_x000D_
[PRDID].[].[20000617]_x000D_
[KEY_FIGURES].[].[ZACTUALSALES]_x000D_
[LOCID].[].[0001004834]_x000D_
[PRDID].[].[20000617]_x000D_
[KEY_FIGURES].[].[ZCONSENSUSDEMAND]_x000D_
[LOCID].[].[0001004834]_x000D_
[PRDID].[].[20000617]_x000D_
[KEY_FIGURES].[].[INDEPENDENTDEMAND]_x000D_
[LOCID].[].[0001004834]_x000D_
[PRDID].[].[20000618]_x000D_
[KEY_FIGURES].[].[ZCONSENSUSDEMANDQTY]_x000D_
[LOCID].[].[0001004834]_x000D_
[PRDID].[].[20000618]_x000D_
[KEY_FIGURES].[].[ZINPUTSOFC]_x000D_
[LOCID].[].[0001004834]_x000D_
[PRDID].[].[20000618]_x000D_
[KEY_FIGURES].[].[ZFORECASTOPENOUTPUT]_x000D_
[LOCID].[].[0001004834]_x000D_
[PRDID].[].[20000618]_x000D_
[KEY_FIGURES].[].[ZACTUALSALES]_x000D_
[LOCID].[].[0001004834]_x000D_
[PRDID].[].[20000618]_x000D_
[KEY_FIGURES].[].[ZCONSENSUSDEMAND]_x000D_
[LOCID].[].[0001004834]_x000D_
[PRDID].[].[20000618]_x000D_
[KEY_FIGURES].[].[INDEPENDENTDEMAND]_x000D_
[LOCID].[].[0001004834]_x000D_
[PRDID].[].[20000661]_x000D_
[KEY_FIGURES].[].[ZCONSENSUSDEMANDQTY]_x000D_
[LOCID].[].[0001004834]_x000D_
[PRDID].[].[20000661]_x000D_
[KEY_FIGURES].[].[ZINPUTSOFC]_x000D_
[LOCID].[].[0001004834]_x000D_
[PRDID].[].[20000661]_x000D_
[KEY_FIGURES].[].[ZFORECASTOPENOUTPUT]_x000D_
[LOCID].[].[0001004834]_x000D_
[PRDID].[].[20000661]_x000D_
[KEY_FIGURES].[].[ZACTUALSALES]_x000D_
[LOCID].[].[0001004834]_x000D_
[PRDID].[].[20000661]_x000D_
[KEY_FIGURES].[].[ZCONSENSUSDEMAND]_x000D_
[LOCID].[].[0001004834]_x000D_
[PRDID].[].[20000661]_x000D_
[KEY_FIGURES].[].[INDEPENDENTDEMAND]_x000D_
[LOCID].[].[0001004834]_x000D_
[PRDID].[].[20000662]_x000D_
[KEY_FIGURES].[].[ZCONSENSUSDEMANDQTY]_x000D_
[LOCID].[].[0001004834]_x000D_
[PRDID].[].[20000662]_x000D_
[KEY_FIGURES].[].[ZINPUTSOFC]_x000D_
[LOCID].[].[0001004834]_x000D_
[PRDID].[].[20000662]_x000D_
[KEY_FIGURES].[].[ZFORECASTOPENOUTPUT]_x000D_
[LOCID].[].[0001004834]_x000D_
[PRDID].[].[20000662]_x000D_
[KEY_FIGURES].[].[ZACTUALSALES]_x000D_
[LOCID].[].[0001004834]_x000D_
[PRDID].[].[20000662]_x000D_
[KEY_FIGURES].[].[ZCONSENSUSDEMAND]_x000D_
[LOCID].[].[0001004834]_x000D_
[PRDID].[].[20000662]_x000D_
[KEY_FIGURES].[].[INDEPENDENTDEMAND]_x000D_
[LOCID].[].[0001004834]_x000D_
[PRDID].[].[20000701]_x000D_
[KEY_FIGURES].[].[ZCONSENSUSDEMANDQTY]_x000D_
[LOCID].[].[0001004834]_x000D_
[PRDID].[].[20000701]_x000D_
[KEY_FIGURES].[].[ZINPUTSOFC]_x000D_
[LOCID].[].[0001004834]_x000D_
[PRDID].[].[20000701]_x000D_
[KEY_FIGURES].[].[ZFORECASTOPENOUTPUT]_x000D_
[LOCID].[].[0001004834]_x000D_
[PRDID].[].[20000701]_x000D_
[KEY_FIGURES].[].[ZACTUALSALES]_x000D_
[LOCID].[].[0001004834]_x000D_
[PRDID].[].[20000701]_x000D_
[KEY_FIGURES].[].[ZCONSENSUSDEMAND]_x000D_
[LOCID].[].[0001004834]_x000D_
[PRDID].[].[20000701]_x000D_
[KEY_FIGURES].[].[INDEPENDENTDEMAND]_x000D_
[LOCID].[].[0001004834]_x000D_
[PRDID].[].[20000763]_x000D_
[KEY_FIGURES].[].[ZCONSENSUSDEMANDQTY]_x000D_
[LOCID].[].[0001004834]_x000D_
[PRDID].[].[20000763]_x000D_
[KEY_FIGURES].[].[ZINPUTSOFC]</t>
  </si>
  <si>
    <t>[LOCID].[].[0001004834]_x000D_
[PRDID].[].[20000763]_x000D_
[KEY_FIGURES].[].[ZFORECASTOPENOUTPUT]_x000D_
[LOCID].[].[0001004834]_x000D_
[PRDID].[].[20000763]_x000D_
[KEY_FIGURES].[].[ZACTUALSALES]_x000D_
[LOCID].[].[0001004834]_x000D_
[PRDID].[].[20000763]_x000D_
[KEY_FIGURES].[].[ZCONSENSUSDEMAND]_x000D_
[LOCID].[].[0001004834]_x000D_
[PRDID].[].[20000763]_x000D_
[KEY_FIGURES].[].[INDEPENDENTDEMAND]_x000D_
[LOCID].[].[0001004834]_x000D_
[PRDID].[].[20000862]_x000D_
[KEY_FIGURES].[].[ZCONSENSUSDEMANDQTY]_x000D_
[LOCID].[].[0001004834]_x000D_
[PRDID].[].[20000862]_x000D_
[KEY_FIGURES].[].[ZINPUTSOFC]_x000D_
[LOCID].[].[0001004834]_x000D_
[PRDID].[].[20000862]_x000D_
[KEY_FIGURES].[].[ZFORECASTOPENOUTPUT]_x000D_
[LOCID].[].[0001004834]_x000D_
[PRDID].[].[20000862]_x000D_
[KEY_FIGURES].[].[ZACTUALSALES]_x000D_
[LOCID].[].[0001004834]_x000D_
[PRDID].[].[20000862]_x000D_
[KEY_FIGURES].[].[ZCONSENSUSDEMAND]_x000D_
[LOCID].[].[0001004834]_x000D_
[PRDID].[].[20000862]_x000D_
[KEY_FIGURES].[].[INDEPENDENTDEMAND]_x000D_
[LOCID].[].[0001004834]_x000D_
[PRDID].[].[20000871]_x000D_
[KEY_FIGURES].[].[ZCONSENSUSDEMANDQTY]_x000D_
[LOCID].[].[0001004834]_x000D_
[PRDID].[].[20000871]_x000D_
[KEY_FIGURES].[].[ZINPUTSOFC]_x000D_
[LOCID].[].[0001004834]_x000D_
[PRDID].[].[20000871]_x000D_
[KEY_FIGURES].[].[ZFORECASTOPENOUTPUT]_x000D_
[LOCID].[].[0001004834]_x000D_
[PRDID].[].[20000871]_x000D_
[KEY_FIGURES].[].[ZACTUALSALES]_x000D_
[LOCID].[].[0001004834]_x000D_
[PRDID].[].[20000871]_x000D_
[KEY_FIGURES].[].[ZCONSENSUSDEMAND]_x000D_
[LOCID].[].[0001004834]_x000D_
[PRDID].[].[20000871]_x000D_
[KEY_FIGURES].[].[INDEPENDENTDEMAND]_x000D_
[LOCID].[].[0001004836]_x000D_
[PRDID].[].[20000145]_x000D_
[KEY_FIGURES].[].[ZCONSENSUSDEMANDQTY]_x000D_
[LOCID].[].[0001004836]_x000D_
[PRDID].[].[20000145]_x000D_
[KEY_FIGURES].[].[ZINPUTSOFC]_x000D_
[LOCID].[].[0001004836]_x000D_
[PRDID].[].[20000145]_x000D_
[KEY_FIGURES].[].[ZFORECASTOPENOUTPUT]_x000D_
[LOCID].[].[0001004836]_x000D_
[PRDID].[].[20000145]_x000D_
[KEY_FIGURES].[].[ZACTUALSALES]_x000D_
[LOCID].[].[0001004836]_x000D_
[PRDID].[].[20000145]_x000D_
[KEY_FIGURES].[].[ZCONSENSUSDEMAND]_x000D_
[LOCID].[].[0001004836]_x000D_
[PRDID].[].[20000145]_x000D_
[KEY_FIGURES].[].[INDEPENDENTDEMAND]_x000D_
[LOCID].[].[0001004836]_x000D_
[PRDID].[].[20000146]_x000D_
[KEY_FIGURES].[].[ZCONSENSUSDEMANDQTY]_x000D_
[LOCID].[].[0001004836]_x000D_
[PRDID].[].[20000146]_x000D_
[KEY_FIGURES].[].[ZINPUTSOFC]_x000D_
[LOCID].[].[0001004836]_x000D_
[PRDID].[].[20000146]_x000D_
[KEY_FIGURES].[].[ZFORECASTOPENOUTPUT]_x000D_
[LOCID].[].[0001004836]_x000D_
[PRDID].[].[20000146]_x000D_
[KEY_FIGURES].[].[ZACTUALSALES]_x000D_
[LOCID].[].[0001004836]_x000D_
[PRDID].[].[20000146]_x000D_
[KEY_FIGURES].[].[ZCONSENSUSDEMAND]_x000D_
[LOCID].[].[0001004836]_x000D_
[PRDID].[].[20000146]_x000D_
[KEY_FIGURES].[].[INDEPENDENTDEMAND]_x000D_
[LOCID].[].[0001004836]_x000D_
[PRDID].[].[20000147]_x000D_
[KEY_FIGURES].[].[ZCONSENSUSDEMANDQTY]_x000D_
[LOCID].[].[0001004836]_x000D_
[PRDID].[].[20000147]_x000D_
[KEY_FIGURES].[].[ZINPUTSOFC]_x000D_
[LOCID].[].[0001004836]_x000D_
[PRDID].[].[20000147]_x000D_
[KEY_FIGURES].[].[ZFORECASTOPENOUTPUT]_x000D_
[LOCID].[].[0001004836]_x000D_
[PRDID].[].[20000147]_x000D_
[KEY_FIGURES].[].[ZACTUALSALES]_x000D_
[LOCID].[].[0001004836]_x000D_
[PRDID].[].[20000147]_x000D_
[KEY_FIGURES].[].[ZCONSENSUSDEMAND]_x000D_
[LOCID].[].[0001004836]_x000D_
[PRDID].[].[20000147]_x000D_
[KEY_FIGURES].[].[INDEPENDENTDEMAND]_x000D_
[LOCID].[].[0001004836]_x000D_
[PRDID].[].[20000148]_x000D_
[KEY_FIGURES].[].[ZCONSENSUSDEMANDQTY]_x000D_
[LOCID].[].[0001004836]_x000D_
[PRDID].[].[20000148]_x000D_
[KEY_FIGURES].[].[ZINPUTSOFC]_x000D_
[LOCID].[].[0001004836]_x000D_
[PRDID].[].[20000148]_x000D_
[KEY_FIGURES].[].[ZFORECASTOPENOUTPUT]_x000D_
[LOCID].[].[0001004836]_x000D_
[PRDID].[].[20000148]_x000D_
[KEY_FIGURES].[].[ZACTUALSALES]_x000D_
[LOCID].[].[0001004836]_x000D_
[PRDID].[].[20000148]_x000D_
[KEY_FIGURES].[].[ZCONSENSUSDEMAND]_x000D_
[LOCID].[].[0001004836]_x000D_
[PRDID].[].[20000148]_x000D_
[KEY_FIGURES].[].[INDEPENDENTDEMAND]_x000D_
[LOCID].[].[0001004836]_x000D_
[PRDID].[].[20000149]_x000D_
[KEY_FIGURES].[].[ZCONSENSUSDEMANDQTY]_x000D_
[LOCID].[].[0001004836]_x000D_
[PRDID].[].[20000149]_x000D_
[KEY_FIGURES].[].[ZINPUTSOFC]_x000D_
[LOCID].[].[0001004836]_x000D_
[PRDID].[].[20000149]_x000D_
[KEY_FIGURES].[].[ZFORECASTOPENOUTPUT]_x000D_
[LOCID].[].[0001004836]_x000D_
[PRDID].[].[20000149]_x000D_
[KEY_FIGURES].[].[ZACTUALSALES]_x000D_
[LOCID].[].[0001004836]_x000D_
[PRDID].[].[20000149]_x000D_
[KEY_FIGURES].[].[ZCONSENSUSDEMAND]_x000D_
[LOCID].[].[0001004836]_x000D_
[PRDID].[].[20000149]_x000D_
[KEY_FIGURES].[].[INDEPENDENTDEMAND]_x000D_
[LOCID].[].[0001004836]_x000D_
[PRDID].[].[20000150]_x000D_
[KEY_FIGURES].[].[ZCONSENSUSDEMANDQTY]_x000D_
[LOCID].[].[0001004836]_x000D_
[PRDID].[].[20000150]_x000D_
[KEY_FIGURES].[].[ZINPUTSOFC]_x000D_
[LOCID].[].[0001004836]_x000D_
[PRDID].[].[20000150]_x000D_
[KEY_FIGURES].[].[ZFORECASTOPENOUTPUT]_x000D_
[LOCID].[].[0001004836]_x000D_
[PRDID].[].[20000150]_x000D_
[KEY_FIGURES].[].[ZACTUALSALES]_x000D_
[LOCID].[].[0001004836]_x000D_
[PRDID].[].[20000150]_x000D_
[KEY_FIGURES].[].[ZCONSENSUSDEMAND]_x000D_
[LOCID].[].[0001004836]_x000D_
[PRDID].[].[20000150]_x000D_
[KEY_FIGURES].[].[INDEPENDENTDEMAND]_x000D_
[LOCID].[].[0001004836]_x000D_
[PRDID].[].[20000151]_x000D_
[KEY_FIGURES].[].[ZCONSENSUSDEMANDQTY]_x000D_
[LOCID].[].[0001004836]_x000D_
[PRDID].[].[20000151]_x000D_
[KEY_FIGURES].[].[ZINPUTSOFC]_x000D_
[LOCID].[].[0001004836]_x000D_
[PRDID].[].[20000151]_x000D_
[KEY_FIGURES].[].[ZFORECASTOPENOUTPUT]_x000D_
[LOCID].[].[0001004836]_x000D_
[PRDID].[].[20000151]_x000D_
[KEY_FIGURES].[].[ZACTUALSALES]_x000D_
[LOCID].[].[0001004836]_x000D_
[PRDID].[].[20000151]_x000D_
[KEY_FIGURES].[].[ZCONSENSUSDEMAND]_x000D_
[LOCID].[].[0001004836]_x000D_
[PRDID].[].[20000151]_x000D_
[KEY_FIGURES].[].[INDEPENDENTDEMAND]_x000D_
[LOCID].[].[0001004836]_x000D_
[PRDID].[].[20000152]_x000D_
[KEY_FIGURES].[].[ZCONSENSUSDEMANDQTY]_x000D_
[LOCID].[].[0001004836]_x000D_
[PRDID].[].[20000152]_x000D_
[KEY_FIGURES].[].[ZINPUTSOFC]_x000D_
[LOCID].[].[0001004836]_x000D_
[PRDID].[].[20000152]_x000D_
[KEY_FIGURES].[].[ZFORECASTOPENOUTPUT]_x000D_
[LOCID].[].[0001004836]_x000D_
[PRDID].[].[20000152]_x000D_
[KEY_FIGURES].[].[ZACTUALSALES]_x000D_
[LOCID].[].[0001004836]_x000D_
[PRDID].[].[20000152]_x000D_
[KEY_FIGURES].[].[ZCONSENSUSDEMAND]_x000D_
[LOCID].[].[0001004836]_x000D_
[PRDID].[].[20000152]_x000D_
[KEY_FIGURES].[].[INDEPENDENTDEMAND]_x000D_
[LOCID].[].[0001004836]_x000D_
[PRDID].[].[20000246]_x000D_
[KEY_FIGURES].[].[ZCONSENSUSDEMANDQTY]_x000D_
[LOCID].[].[0001004836]_x000D_
[PRDID].[].[20000246]_x000D_
[KEY_FIGURES].[].[ZINPUTSOFC]_x000D_
[LOCID].[].[0001004836]_x000D_
[PRDID].[].[20000246]</t>
  </si>
  <si>
    <t>[KEY_FIGURES].[].[ZFORECASTOPENOUTPUT]_x000D_
[LOCID].[].[0001004836]_x000D_
[PRDID].[].[20000246]_x000D_
[KEY_FIGURES].[].[ZACTUALSALES]_x000D_
[LOCID].[].[0001004836]_x000D_
[PRDID].[].[20000246]_x000D_
[KEY_FIGURES].[].[ZCONSENSUSDEMAND]_x000D_
[LOCID].[].[0001004836]_x000D_
[PRDID].[].[20000246]_x000D_
[KEY_FIGURES].[].[INDEPENDENTDEMAND]_x000D_
[LOCID].[].[0001004838]_x000D_
[PRDID].[].[20000003]_x000D_
[KEY_FIGURES].[].[ZCONSENSUSDEMANDQTY]_x000D_
[LOCID].[].[0001004838]_x000D_
[PRDID].[].[20000003]_x000D_
[KEY_FIGURES].[].[ZINPUTSOFC]_x000D_
[LOCID].[].[0001004838]_x000D_
[PRDID].[].[20000003]_x000D_
[KEY_FIGURES].[].[ZFORECASTOPENOUTPUT]_x000D_
[LOCID].[].[0001004838]_x000D_
[PRDID].[].[20000003]_x000D_
[KEY_FIGURES].[].[ZACTUALSALES]_x000D_
[LOCID].[].[0001004838]_x000D_
[PRDID].[].[20000003]_x000D_
[KEY_FIGURES].[].[ZCONSENSUSDEMAND]_x000D_
[LOCID].[].[0001004838]_x000D_
[PRDID].[].[20000003]_x000D_
[KEY_FIGURES].[].[INDEPENDENTDEMAND]_x000D_
[LOCID].[].[0001004838]_x000D_
[PRDID].[].[20000005]_x000D_
[KEY_FIGURES].[].[ZCONSENSUSDEMANDQTY]_x000D_
[LOCID].[].[0001004838]_x000D_
[PRDID].[].[20000005]_x000D_
[KEY_FIGURES].[].[ZINPUTSOFC]_x000D_
[LOCID].[].[0001004838]_x000D_
[PRDID].[].[20000005]_x000D_
[KEY_FIGURES].[].[ZFORECASTOPENOUTPUT]_x000D_
[LOCID].[].[0001004838]_x000D_
[PRDID].[].[20000005]_x000D_
[KEY_FIGURES].[].[ZACTUALSALES]_x000D_
[LOCID].[].[0001004838]_x000D_
[PRDID].[].[20000005]_x000D_
[KEY_FIGURES].[].[ZCONSENSUSDEMAND]_x000D_
[LOCID].[].[0001004838]_x000D_
[PRDID].[].[20000005]_x000D_
[KEY_FIGURES].[].[INDEPENDENTDEMAND]_x000D_
[LOCID].[].[0001004838]_x000D_
[PRDID].[].[20000006]_x000D_
[KEY_FIGURES].[].[ZCONSENSUSDEMANDQTY]_x000D_
[LOCID].[].[0001004838]_x000D_
[PRDID].[].[20000006]_x000D_
[KEY_FIGURES].[].[ZINPUTSOFC]_x000D_
[LOCID].[].[0001004838]_x000D_
[PRDID].[].[20000006]_x000D_
[KEY_FIGURES].[].[ZFORECASTOPENOUTPUT]_x000D_
[LOCID].[].[0001004838]_x000D_
[PRDID].[].[20000006]_x000D_
[KEY_FIGURES].[].[ZACTUALSALES]_x000D_
[LOCID].[].[0001004838]_x000D_
[PRDID].[].[20000006]_x000D_
[KEY_FIGURES].[].[ZCONSENSUSDEMAND]_x000D_
[LOCID].[].[0001004838]_x000D_
[PRDID].[].[20000006]_x000D_
[KEY_FIGURES].[].[INDEPENDENTDEMAND]_x000D_
[LOCID].[].[0001004838]_x000D_
[PRDID].[].[20000007]_x000D_
[KEY_FIGURES].[].[ZCONSENSUSDEMANDQTY]_x000D_
[LOCID].[].[0001004838]_x000D_
[PRDID].[].[20000007]_x000D_
[KEY_FIGURES].[].[ZINPUTSOFC]_x000D_
[LOCID].[].[0001004838]_x000D_
[PRDID].[].[20000007]_x000D_
[KEY_FIGURES].[].[ZFORECASTOPENOUTPUT]_x000D_
[LOCID].[].[0001004838]_x000D_
[PRDID].[].[20000007]_x000D_
[KEY_FIGURES].[].[ZACTUALSALES]_x000D_
[LOCID].[].[0001004838]_x000D_
[PRDID].[].[20000007]_x000D_
[KEY_FIGURES].[].[ZCONSENSUSDEMAND]_x000D_
[LOCID].[].[0001004838]_x000D_
[PRDID].[].[20000007]_x000D_
[KEY_FIGURES].[].[INDEPENDENTDEMAND]_x000D_
[LOCID].[].[0001004838]_x000D_
[PRDID].[].[20000008]_x000D_
[KEY_FIGURES].[].[ZCONSENSUSDEMANDQTY]_x000D_
[LOCID].[].[0001004838]_x000D_
[PRDID].[].[20000008]_x000D_
[KEY_FIGURES].[].[ZINPUTSOFC]_x000D_
[LOCID].[].[0001004838]_x000D_
[PRDID].[].[20000008]_x000D_
[KEY_FIGURES].[].[ZFORECASTOPENOUTPUT]_x000D_
[LOCID].[].[0001004838]_x000D_
[PRDID].[].[20000008]_x000D_
[KEY_FIGURES].[].[ZACTUALSALES]_x000D_
[LOCID].[].[0001004838]_x000D_
[PRDID].[].[20000008]_x000D_
[KEY_FIGURES].[].[ZCONSENSUSDEMAND]_x000D_
[LOCID].[].[0001004838]_x000D_
[PRDID].[].[20000008]_x000D_
[KEY_FIGURES].[].[INDEPENDENTDEMAND]_x000D_
[LOCID].[].[0001004838]_x000D_
[PRDID].[].[20000009]_x000D_
[KEY_FIGURES].[].[ZCONSENSUSDEMANDQTY]_x000D_
[LOCID].[].[0001004838]_x000D_
[PRDID].[].[20000009]_x000D_
[KEY_FIGURES].[].[ZINPUTSOFC]_x000D_
[LOCID].[].[0001004838]_x000D_
[PRDID].[].[20000009]_x000D_
[KEY_FIGURES].[].[ZFORECASTOPENOUTPUT]_x000D_
[LOCID].[].[0001004838]_x000D_
[PRDID].[].[20000009]_x000D_
[KEY_FIGURES].[].[ZACTUALSALES]_x000D_
[LOCID].[].[0001004838]_x000D_
[PRDID].[].[20000009]_x000D_
[KEY_FIGURES].[].[ZCONSENSUSDEMAND]_x000D_
[LOCID].[].[0001004838]_x000D_
[PRDID].[].[20000009]_x000D_
[KEY_FIGURES].[].[INDEPENDENTDEMAND]_x000D_
[LOCID].[].[0001004838]_x000D_
[PRDID].[].[20000010]_x000D_
[KEY_FIGURES].[].[ZCONSENSUSDEMANDQTY]_x000D_
[LOCID].[].[0001004838]_x000D_
[PRDID].[].[20000010]_x000D_
[KEY_FIGURES].[].[ZINPUTSOFC]_x000D_
[LOCID].[].[0001004838]_x000D_
[PRDID].[].[20000010]_x000D_
[KEY_FIGURES].[].[ZFORECASTOPENOUTPUT]_x000D_
[LOCID].[].[0001004838]_x000D_
[PRDID].[].[20000010]_x000D_
[KEY_FIGURES].[].[ZACTUALSALES]_x000D_
[LOCID].[].[0001004838]_x000D_
[PRDID].[].[20000010]_x000D_
[KEY_FIGURES].[].[ZCONSENSUSDEMAND]_x000D_
[LOCID].[].[0001004838]_x000D_
[PRDID].[].[20000010]_x000D_
[KEY_FIGURES].[].[INDEPENDENTDEMAND]_x000D_
[LOCID].[].[0001004838]_x000D_
[PRDID].[].[20000011]_x000D_
[KEY_FIGURES].[].[ZCONSENSUSDEMANDQTY]_x000D_
[LOCID].[].[0001004838]_x000D_
[PRDID].[].[20000011]_x000D_
[KEY_FIGURES].[].[ZINPUTSOFC]_x000D_
[LOCID].[].[0001004838]_x000D_
[PRDID].[].[20000011]_x000D_
[KEY_FIGURES].[].[ZFORECASTOPENOUTPUT]_x000D_
[LOCID].[].[0001004838]_x000D_
[PRDID].[].[20000011]_x000D_
[KEY_FIGURES].[].[ZACTUALSALES]_x000D_
[LOCID].[].[0001004838]_x000D_
[PRDID].[].[20000011]_x000D_
[KEY_FIGURES].[].[ZCONSENSUSDEMAND]_x000D_
[LOCID].[].[0001004838]_x000D_
[PRDID].[].[20000011]_x000D_
[KEY_FIGURES].[].[INDEPENDENTDEMAND]_x000D_
[LOCID].[].[0001004846]_x000D_
[PRDID].[].[20000657]_x000D_
[KEY_FIGURES].[].[ZCONSENSUSDEMANDQTY]_x000D_
[LOCID].[].[0001004846]_x000D_
[PRDID].[].[20000657]_x000D_
[KEY_FIGURES].[].[ZINPUTSOFC]_x000D_
[LOCID].[].[0001004846]_x000D_
[PRDID].[].[20000657]_x000D_
[KEY_FIGURES].[].[ZFORECASTOPENOUTPUT]_x000D_
[LOCID].[].[0001004846]_x000D_
[PRDID].[].[20000657]_x000D_
[KEY_FIGURES].[].[ZACTUALSALES]_x000D_
[LOCID].[].[0001004846]_x000D_
[PRDID].[].[20000657]_x000D_
[KEY_FIGURES].[].[ZCONSENSUSDEMAND]_x000D_
[LOCID].[].[0001004846]_x000D_
[PRDID].[].[20000657]_x000D_
[KEY_FIGURES].[].[INDEPENDENTDEMAND]_x000D_
[LOCID].[].[0001004846]_x000D_
[PRDID].[].[20000762]_x000D_
[KEY_FIGURES].[].[ZCONSENSUSDEMANDQTY]_x000D_
[LOCID].[].[0001004846]_x000D_
[PRDID].[].[20000762]_x000D_
[KEY_FIGURES].[].[ZINPUTSOFC]_x000D_
[LOCID].[].[0001004846]_x000D_
[PRDID].[].[20000762]_x000D_
[KEY_FIGURES].[].[ZFORECASTOPENOUTPUT]_x000D_
[LOCID].[].[0001004846]_x000D_
[PRDID].[].[20000762]_x000D_
[KEY_FIGURES].[].[ZACTUALSALES]_x000D_
[LOCID].[].[0001004846]_x000D_
[PRDID].[].[20000762]_x000D_
[KEY_FIGURES].[].[ZCONSENSUSDEMAND]_x000D_
[LOCID].[].[0001004846]_x000D_
[PRDID].[].[20000762]_x000D_
[KEY_FIGURES].[].[INDEPENDENTDEMAND]_x000D_
[LOCID].[].[0001004860]_x000D_
[PRDID].[].[20000325]_x000D_
[KEY_FIGURES].[].[ZCONSENSUSDEMANDQTY]_x000D_
[LOCID].[].[0001004860]_x000D_
[PRDID].[].[20000325]_x000D_
[KEY_FIGURES].[].[ZINPUTSOFC]_x000D_
[LOCID].[].[0001004860]_x000D_
[PRDID].[].[20000325]_x000D_
[KEY_FIGURES].[].[ZFORECASTOPENOUTPUT]_x000D_
[LOCID].[].[0001004860]</t>
  </si>
  <si>
    <t>[PRDID].[].[20000325]_x000D_
[KEY_FIGURES].[].[ZACTUALSALES]_x000D_
[LOCID].[].[0001004860]_x000D_
[PRDID].[].[20000325]_x000D_
[KEY_FIGURES].[].[ZCONSENSUSDEMAND]_x000D_
[LOCID].[].[0001004860]_x000D_
[PRDID].[].[20000325]_x000D_
[KEY_FIGURES].[].[INDEPENDENTDEMAND]_x000D_
[LOCID].[].[0001004860]_x000D_
[PRDID].[].[20000326]_x000D_
[KEY_FIGURES].[].[ZCONSENSUSDEMANDQTY]_x000D_
[LOCID].[].[0001004860]_x000D_
[PRDID].[].[20000326]_x000D_
[KEY_FIGURES].[].[ZINPUTSOFC]_x000D_
[LOCID].[].[0001004860]_x000D_
[PRDID].[].[20000326]_x000D_
[KEY_FIGURES].[].[ZFORECASTOPENOUTPUT]_x000D_
[LOCID].[].[0001004860]_x000D_
[PRDID].[].[20000326]_x000D_
[KEY_FIGURES].[].[ZACTUALSALES]_x000D_
[LOCID].[].[0001004860]_x000D_
[PRDID].[].[20000326]_x000D_
[KEY_FIGURES].[].[ZCONSENSUSDEMAND]_x000D_
[LOCID].[].[0001004860]_x000D_
[PRDID].[].[20000326]_x000D_
[KEY_FIGURES].[].[INDEPENDENTDEMAND]_x000D_
[LOCID].[].[0001004860]_x000D_
[PRDID].[].[20000327]_x000D_
[KEY_FIGURES].[].[ZCONSENSUSDEMANDQTY]_x000D_
[LOCID].[].[0001004860]_x000D_
[PRDID].[].[20000327]_x000D_
[KEY_FIGURES].[].[ZINPUTSOFC]_x000D_
[LOCID].[].[0001004860]_x000D_
[PRDID].[].[20000327]_x000D_
[KEY_FIGURES].[].[ZFORECASTOPENOUTPUT]_x000D_
[LOCID].[].[0001004860]_x000D_
[PRDID].[].[20000327]_x000D_
[KEY_FIGURES].[].[ZACTUALSALES]_x000D_
[LOCID].[].[0001004860]_x000D_
[PRDID].[].[20000327]_x000D_
[KEY_FIGURES].[].[ZCONSENSUSDEMAND]_x000D_
[LOCID].[].[0001004860]_x000D_
[PRDID].[].[20000327]_x000D_
[KEY_FIGURES].[].[INDEPENDENTDEMAND]_x000D_
[LOCID].[].[0001004860]_x000D_
[PRDID].[].[20000328]_x000D_
[KEY_FIGURES].[].[ZCONSENSUSDEMANDQTY]_x000D_
[LOCID].[].[0001004860]_x000D_
[PRDID].[].[20000328]_x000D_
[KEY_FIGURES].[].[ZINPUTSOFC]_x000D_
[LOCID].[].[0001004860]_x000D_
[PRDID].[].[20000328]_x000D_
[KEY_FIGURES].[].[ZFORECASTOPENOUTPUT]_x000D_
[LOCID].[].[0001004860]_x000D_
[PRDID].[].[20000328]_x000D_
[KEY_FIGURES].[].[ZACTUALSALES]_x000D_
[LOCID].[].[0001004860]_x000D_
[PRDID].[].[20000328]_x000D_
[KEY_FIGURES].[].[ZCONSENSUSDEMAND]_x000D_
[LOCID].[].[0001004860]_x000D_
[PRDID].[].[20000328]_x000D_
[KEY_FIGURES].[].[INDEPENDENTDEMAND]_x000D_
[LOCID].[].[0001004860]_x000D_
[PRDID].[].[20000329]_x000D_
[KEY_FIGURES].[].[ZCONSENSUSDEMANDQTY]_x000D_
[LOCID].[].[0001004860]_x000D_
[PRDID].[].[20000329]_x000D_
[KEY_FIGURES].[].[ZINPUTSOFC]_x000D_
[LOCID].[].[0001004860]_x000D_
[PRDID].[].[20000329]_x000D_
[KEY_FIGURES].[].[ZFORECASTOPENOUTPUT]_x000D_
[LOCID].[].[0001004860]_x000D_
[PRDID].[].[20000329]_x000D_
[KEY_FIGURES].[].[ZACTUALSALES]_x000D_
[LOCID].[].[0001004860]_x000D_
[PRDID].[].[20000329]_x000D_
[KEY_FIGURES].[].[ZCONSENSUSDEMAND]_x000D_
[LOCID].[].[0001004860]_x000D_
[PRDID].[].[20000329]_x000D_
[KEY_FIGURES].[].[INDEPENDENTDEMAND]_x000D_
[LOCID].[].[0001004860]_x000D_
[PRDID].[].[20000330]_x000D_
[KEY_FIGURES].[].[ZCONSENSUSDEMANDQTY]_x000D_
[LOCID].[].[0001004860]_x000D_
[PRDID].[].[20000330]_x000D_
[KEY_FIGURES].[].[ZINPUTSOFC]_x000D_
[LOCID].[].[0001004860]_x000D_
[PRDID].[].[20000330]_x000D_
[KEY_FIGURES].[].[ZFORECASTOPENOUTPUT]_x000D_
[LOCID].[].[0001004860]_x000D_
[PRDID].[].[20000330]_x000D_
[KEY_FIGURES].[].[ZACTUALSALES]_x000D_
[LOCID].[].[0001004860]_x000D_
[PRDID].[].[20000330]_x000D_
[KEY_FIGURES].[].[ZCONSENSUSDEMAND]_x000D_
[LOCID].[].[0001004860]_x000D_
[PRDID].[].[20000330]_x000D_
[KEY_FIGURES].[].[INDEPENDENTDEMAND]_x000D_
[LOCID].[].[0001004860]_x000D_
[PRDID].[].[20000331]_x000D_
[KEY_FIGURES].[].[ZCONSENSUSDEMANDQTY]_x000D_
[LOCID].[].[0001004860]_x000D_
[PRDID].[].[20000331]_x000D_
[KEY_FIGURES].[].[ZINPUTSOFC]_x000D_
[LOCID].[].[0001004860]_x000D_
[PRDID].[].[20000331]_x000D_
[KEY_FIGURES].[].[ZFORECASTOPENOUTPUT]_x000D_
[LOCID].[].[0001004860]_x000D_
[PRDID].[].[20000331]_x000D_
[KEY_FIGURES].[].[ZACTUALSALES]_x000D_
[LOCID].[].[0001004860]_x000D_
[PRDID].[].[20000331]_x000D_
[KEY_FIGURES].[].[ZCONSENSUSDEMAND]_x000D_
[LOCID].[].[0001004860]_x000D_
[PRDID].[].[20000331]_x000D_
[KEY_FIGURES].[].[INDEPENDENTDEMAND]_x000D_
[LOCID].[].[0001004860]_x000D_
[PRDID].[].[20000334]_x000D_
[KEY_FIGURES].[].[ZCONSENSUSDEMANDQTY]_x000D_
[LOCID].[].[0001004860]_x000D_
[PRDID].[].[20000334]_x000D_
[KEY_FIGURES].[].[ZINPUTSOFC]_x000D_
[LOCID].[].[0001004860]_x000D_
[PRDID].[].[20000334]_x000D_
[KEY_FIGURES].[].[ZFORECASTOPENOUTPUT]_x000D_
[LOCID].[].[0001004860]_x000D_
[PRDID].[].[20000334]_x000D_
[KEY_FIGURES].[].[ZACTUALSALES]_x000D_
[LOCID].[].[0001004860]_x000D_
[PRDID].[].[20000334]_x000D_
[KEY_FIGURES].[].[ZCONSENSUSDEMAND]_x000D_
[LOCID].[].[0001004860]_x000D_
[PRDID].[].[20000334]_x000D_
[KEY_FIGURES].[].[INDEPENDENTDEMAND]_x000D_
[LOCID].[].[0001004860]_x000D_
[PRDID].[].[20000335]_x000D_
[KEY_FIGURES].[].[ZCONSENSUSDEMANDQTY]_x000D_
[LOCID].[].[0001004860]_x000D_
[PRDID].[].[20000335]_x000D_
[KEY_FIGURES].[].[ZINPUTSOFC]_x000D_
[LOCID].[].[0001004860]_x000D_
[PRDID].[].[20000335]_x000D_
[KEY_FIGURES].[].[ZFORECASTOPENOUTPUT]_x000D_
[LOCID].[].[0001004860]_x000D_
[PRDID].[].[20000335]_x000D_
[KEY_FIGURES].[].[ZACTUALSALES]_x000D_
[LOCID].[].[0001004860]_x000D_
[PRDID].[].[20000335]_x000D_
[KEY_FIGURES].[].[ZCONSENSUSDEMAND]_x000D_
[LOCID].[].[0001004860]_x000D_
[PRDID].[].[20000335]_x000D_
[KEY_FIGURES].[].[INDEPENDENTDEMAND]_x000D_
[LOCID].[].[0001004860]_x000D_
[PRDID].[].[20000652]_x000D_
[KEY_FIGURES].[].[ZCONSENSUSDEMANDQTY]_x000D_
[LOCID].[].[0001004860]_x000D_
[PRDID].[].[20000652]_x000D_
[KEY_FIGURES].[].[ZINPUTSOFC]_x000D_
[LOCID].[].[0001004860]_x000D_
[PRDID].[].[20000652]_x000D_
[KEY_FIGURES].[].[ZFORECASTOPENOUTPUT]_x000D_
[LOCID].[].[0001004860]_x000D_
[PRDID].[].[20000652]_x000D_
[KEY_FIGURES].[].[ZACTUALSALES]_x000D_
[LOCID].[].[0001004860]_x000D_
[PRDID].[].[20000652]_x000D_
[KEY_FIGURES].[].[ZCONSENSUSDEMAND]_x000D_
[LOCID].[].[0001004860]_x000D_
[PRDID].[].[20000652]_x000D_
[KEY_FIGURES].[].[INDEPENDENTDEMAND]_x000D_
[LOCID].[].[0001004860]_x000D_
[PRDID].[].[20000653]_x000D_
[KEY_FIGURES].[].[ZCONSENSUSDEMANDQTY]_x000D_
[LOCID].[].[0001004860]_x000D_
[PRDID].[].[20000653]_x000D_
[KEY_FIGURES].[].[ZINPUTSOFC]_x000D_
[LOCID].[].[0001004860]_x000D_
[PRDID].[].[20000653]_x000D_
[KEY_FIGURES].[].[ZFORECASTOPENOUTPUT]_x000D_
[LOCID].[].[0001004860]_x000D_
[PRDID].[].[20000653]_x000D_
[KEY_FIGURES].[].[ZACTUALSALES]_x000D_
[LOCID].[].[0001004860]_x000D_
[PRDID].[].[20000653]_x000D_
[KEY_FIGURES].[].[ZCONSENSUSDEMAND]_x000D_
[LOCID].[].[0001004860]_x000D_
[PRDID].[].[20000653]_x000D_
[KEY_FIGURES].[].[INDEPENDENTDEMAND]_x000D_
[LOCID].[].[0001004860]_x000D_
[PRDID].[].[20000654]_x000D_
[KEY_FIGURES].[].[ZCONSENSUSDEMANDQTY]_x000D_
[LOCID].[].[0001004860]_x000D_
[PRDID].[].[20000654]_x000D_
[KEY_FIGURES].[].[ZINPUTSOFC]_x000D_
[LOCID].[].[0001004860]_x000D_
[PRDID].[].[20000654]_x000D_
[KEY_FIGURES].[].[ZFORECASTOPENOUTPUT]_x000D_
[LOCID].[].[0001004860]_x000D_
[PRDID].[].[20000654]_x000D_
[KEY_FIGURES].[].[ZACTUALSALES]</t>
  </si>
  <si>
    <t>[LOCID].[].[0001004860]_x000D_
[PRDID].[].[20000654]_x000D_
[KEY_FIGURES].[].[ZCONSENSUSDEMAND]_x000D_
[LOCID].[].[0001004860]_x000D_
[PRDID].[].[20000654]_x000D_
[KEY_FIGURES].[].[INDEPENDENTDEMAND]_x000D_
[LOCID].[].[0001004860]_x000D_
[PRDID].[].[20000655]_x000D_
[KEY_FIGURES].[].[ZCONSENSUSDEMANDQTY]_x000D_
[LOCID].[].[0001004860]_x000D_
[PRDID].[].[20000655]_x000D_
[KEY_FIGURES].[].[ZINPUTSOFC]_x000D_
[LOCID].[].[0001004860]_x000D_
[PRDID].[].[20000655]_x000D_
[KEY_FIGURES].[].[ZFORECASTOPENOUTPUT]_x000D_
[LOCID].[].[0001004860]_x000D_
[PRDID].[].[20000655]_x000D_
[KEY_FIGURES].[].[ZACTUALSALES]_x000D_
[LOCID].[].[0001004860]_x000D_
[PRDID].[].[20000655]_x000D_
[KEY_FIGURES].[].[ZCONSENSUSDEMAND]_x000D_
[LOCID].[].[0001004860]_x000D_
[PRDID].[].[20000655]_x000D_
[KEY_FIGURES].[].[INDEPENDENTDEMAND]_x000D_
[LOCID].[].[0001004860]_x000D_
[PRDID].[].[20000689]_x000D_
[KEY_FIGURES].[].[ZCONSENSUSDEMANDQTY]_x000D_
[LOCID].[].[0001004860]_x000D_
[PRDID].[].[20000689]_x000D_
[KEY_FIGURES].[].[ZINPUTSOFC]_x000D_
[LOCID].[].[0001004860]_x000D_
[PRDID].[].[20000689]_x000D_
[KEY_FIGURES].[].[ZFORECASTOPENOUTPUT]_x000D_
[LOCID].[].[0001004860]_x000D_
[PRDID].[].[20000689]_x000D_
[KEY_FIGURES].[].[ZACTUALSALES]_x000D_
[LOCID].[].[0001004860]_x000D_
[PRDID].[].[20000689]_x000D_
[KEY_FIGURES].[].[ZCONSENSUSDEMAND]_x000D_
[LOCID].[].[0001004860]_x000D_
[PRDID].[].[20000689]_x000D_
[KEY_FIGURES].[].[INDEPENDENTDEMAND]_x000D_
[LOCID].[].[0001004860]_x000D_
[PRDID].[].[20000690]_x000D_
[KEY_FIGURES].[].[ZCONSENSUSDEMANDQTY]_x000D_
[LOCID].[].[0001004860]_x000D_
[PRDID].[].[20000690]_x000D_
[KEY_FIGURES].[].[ZINPUTSOFC]_x000D_
[LOCID].[].[0001004860]_x000D_
[PRDID].[].[20000690]_x000D_
[KEY_FIGURES].[].[ZFORECASTOPENOUTPUT]_x000D_
[LOCID].[].[0001004860]_x000D_
[PRDID].[].[20000690]_x000D_
[KEY_FIGURES].[].[ZACTUALSALES]_x000D_
[LOCID].[].[0001004860]_x000D_
[PRDID].[].[20000690]_x000D_
[KEY_FIGURES].[].[ZCONSENSUSDEMAND]_x000D_
[LOCID].[].[0001004860]_x000D_
[PRDID].[].[20000690]_x000D_
[KEY_FIGURES].[].[INDEPENDENTDEMAND]_x000D_
[LOCID].[].[0001004860]_x000D_
[PRDID].[].[20000691]_x000D_
[KEY_FIGURES].[].[ZCONSENSUSDEMANDQTY]_x000D_
[LOCID].[].[0001004860]_x000D_
[PRDID].[].[20000691]_x000D_
[KEY_FIGURES].[].[ZINPUTSOFC]_x000D_
[LOCID].[].[0001004860]_x000D_
[PRDID].[].[20000691]_x000D_
[KEY_FIGURES].[].[ZFORECASTOPENOUTPUT]_x000D_
[LOCID].[].[0001004860]_x000D_
[PRDID].[].[20000691]_x000D_
[KEY_FIGURES].[].[ZACTUALSALES]_x000D_
[LOCID].[].[0001004860]_x000D_
[PRDID].[].[20000691]_x000D_
[KEY_FIGURES].[].[ZCONSENSUSDEMAND]_x000D_
[LOCID].[].[0001004860]_x000D_
[PRDID].[].[20000691]_x000D_
[KEY_FIGURES].[].[INDEPENDENTDEMAND]_x000D_
[LOCID].[].[0001004860]_x000D_
[PRDID].[].[20000692]_x000D_
[KEY_FIGURES].[].[ZCONSENSUSDEMANDQTY]_x000D_
[LOCID].[].[0001004860]_x000D_
[PRDID].[].[20000692]_x000D_
[KEY_FIGURES].[].[ZINPUTSOFC]_x000D_
[LOCID].[].[0001004860]_x000D_
[PRDID].[].[20000692]_x000D_
[KEY_FIGURES].[].[ZFORECASTOPENOUTPUT]_x000D_
[LOCID].[].[0001004860]_x000D_
[PRDID].[].[20000692]_x000D_
[KEY_FIGURES].[].[ZACTUALSALES]_x000D_
[LOCID].[].[0001004860]_x000D_
[PRDID].[].[20000692]_x000D_
[KEY_FIGURES].[].[ZCONSENSUSDEMAND]_x000D_
[LOCID].[].[0001004860]_x000D_
[PRDID].[].[20000692]_x000D_
[KEY_FIGURES].[].[INDEPENDENTDEMAND]_x000D_
[LOCID].[].[0001004860]_x000D_
[PRDID].[].[20000705]_x000D_
[KEY_FIGURES].[].[ZCONSENSUSDEMANDQTY]_x000D_
[LOCID].[].[0001004860]_x000D_
[PRDID].[].[20000705]_x000D_
[KEY_FIGURES].[].[ZINPUTSOFC]_x000D_
[LOCID].[].[0001004860]_x000D_
[PRDID].[].[20000705]_x000D_
[KEY_FIGURES].[].[ZFORECASTOPENOUTPUT]_x000D_
[LOCID].[].[0001004860]_x000D_
[PRDID].[].[20000705]_x000D_
[KEY_FIGURES].[].[ZACTUALSALES]_x000D_
[LOCID].[].[0001004860]_x000D_
[PRDID].[].[20000705]_x000D_
[KEY_FIGURES].[].[ZCONSENSUSDEMAND]_x000D_
[LOCID].[].[0001004860]_x000D_
[PRDID].[].[20000705]_x000D_
[KEY_FIGURES].[].[INDEPENDENTDEMAND]_x000D_
[LOCID].[].[0001004860]_x000D_
[PRDID].[].[20000707]_x000D_
[KEY_FIGURES].[].[ZCONSENSUSDEMANDQTY]_x000D_
[LOCID].[].[0001004860]_x000D_
[PRDID].[].[20000707]_x000D_
[KEY_FIGURES].[].[ZINPUTSOFC]_x000D_
[LOCID].[].[0001004860]_x000D_
[PRDID].[].[20000707]_x000D_
[KEY_FIGURES].[].[ZFORECASTOPENOUTPUT]_x000D_
[LOCID].[].[0001004860]_x000D_
[PRDID].[].[20000707]_x000D_
[KEY_FIGURES].[].[ZACTUALSALES]_x000D_
[LOCID].[].[0001004860]_x000D_
[PRDID].[].[20000707]_x000D_
[KEY_FIGURES].[].[ZCONSENSUSDEMAND]_x000D_
[LOCID].[].[0001004860]_x000D_
[PRDID].[].[20000707]_x000D_
[KEY_FIGURES].[].[INDEPENDENTDEMAND]_x000D_
[LOCID].[].[0001004860]_x000D_
[PRDID].[].[20000879]_x000D_
[KEY_FIGURES].[].[ZCONSENSUSDEMANDQTY]_x000D_
[LOCID].[].[0001004860]_x000D_
[PRDID].[].[20000879]_x000D_
[KEY_FIGURES].[].[ZINPUTSOFC]_x000D_
[LOCID].[].[0001004860]_x000D_
[PRDID].[].[20000879]_x000D_
[KEY_FIGURES].[].[ZFORECASTOPENOUTPUT]_x000D_
[LOCID].[].[0001004860]_x000D_
[PRDID].[].[20000879]_x000D_
[KEY_FIGURES].[].[ZACTUALSALES]_x000D_
[LOCID].[].[0001004860]_x000D_
[PRDID].[].[20000879]_x000D_
[KEY_FIGURES].[].[ZCONSENSUSDEMAND]_x000D_
[LOCID].[].[0001004860]_x000D_
[PRDID].[].[20000879]_x000D_
[KEY_FIGURES].[].[INDEPENDENTDEMAND]_x000D_
[LOCID].[].[0001004860]_x000D_
[PRDID].[].[20000881]_x000D_
[KEY_FIGURES].[].[ZCONSENSUSDEMANDQTY]_x000D_
[LOCID].[].[0001004860]_x000D_
[PRDID].[].[20000881]_x000D_
[KEY_FIGURES].[].[ZINPUTSOFC]_x000D_
[LOCID].[].[0001004860]_x000D_
[PRDID].[].[20000881]_x000D_
[KEY_FIGURES].[].[ZFORECASTOPENOUTPUT]_x000D_
[LOCID].[].[0001004860]_x000D_
[PRDID].[].[20000881]_x000D_
[KEY_FIGURES].[].[ZACTUALSALES]_x000D_
[LOCID].[].[0001004860]_x000D_
[PRDID].[].[20000881]_x000D_
[KEY_FIGURES].[].[ZCONSENSUSDEMAND]_x000D_
[LOCID].[].[0001004860]_x000D_
[PRDID].[].[20000881]_x000D_
[KEY_FIGURES].[].[INDEPENDENTDEMAND]_x000D_
[LOCID].[].[0001004860]_x000D_
[PRDID].[].[20000884]_x000D_
[KEY_FIGURES].[].[ZCONSENSUSDEMANDQTY]_x000D_
[LOCID].[].[0001004860]_x000D_
[PRDID].[].[20000884]_x000D_
[KEY_FIGURES].[].[ZINPUTSOFC]_x000D_
[LOCID].[].[0001004860]_x000D_
[PRDID].[].[20000884]_x000D_
[KEY_FIGURES].[].[ZFORECASTOPENOUTPUT]_x000D_
[LOCID].[].[0001004860]_x000D_
[PRDID].[].[20000884]_x000D_
[KEY_FIGURES].[].[ZACTUALSALES]_x000D_
[LOCID].[].[0001004860]_x000D_
[PRDID].[].[20000884]_x000D_
[KEY_FIGURES].[].[ZCONSENSUSDEMAND]_x000D_
[LOCID].[].[0001004860]_x000D_
[PRDID].[].[20000884]_x000D_
[KEY_FIGURES].[].[INDEPENDENTDEMAND]_x000D_
[LOCID].[].[0001004860]_x000D_
[PRDID].[].[20000889]_x000D_
[KEY_FIGURES].[].[ZCONSENSUSDEMANDQTY]_x000D_
[LOCID].[].[0001004860]_x000D_
[PRDID].[].[20000889]_x000D_
[KEY_FIGURES].[].[ZINPUTSOFC]_x000D_
[LOCID].[].[0001004860]_x000D_
[PRDID].[].[20000889]_x000D_
[KEY_FIGURES].[].[ZFORECASTOPENOUTPUT]_x000D_
[LOCID].[].[0001004860]_x000D_
[PRDID].[].[20000889]_x000D_
[KEY_FIGURES].[].[ZACTUALSALES]_x000D_
[LOCID].[].[0001004860]_x000D_
[PRDID].[].[20000889]</t>
  </si>
  <si>
    <t>[KEY_FIGURES].[].[ZCONSENSUSDEMAND]_x000D_
[LOCID].[].[0001004860]_x000D_
[PRDID].[].[20000889]_x000D_
[KEY_FIGURES].[].[INDEPENDENTDEMAND]_x000D_
[LOCID].[].[0001004860]_x000D_
[PRDID].[].[20000901]_x000D_
[KEY_FIGURES].[].[ZCONSENSUSDEMANDQTY]_x000D_
[LOCID].[].[0001004860]_x000D_
[PRDID].[].[20000901]_x000D_
[KEY_FIGURES].[].[ZINPUTSOFC]_x000D_
[LOCID].[].[0001004860]_x000D_
[PRDID].[].[20000901]_x000D_
[KEY_FIGURES].[].[ZFORECASTOPENOUTPUT]_x000D_
[LOCID].[].[0001004860]_x000D_
[PRDID].[].[20000901]_x000D_
[KEY_FIGURES].[].[ZACTUALSALES]_x000D_
[LOCID].[].[0001004860]_x000D_
[PRDID].[].[20000901]_x000D_
[KEY_FIGURES].[].[ZCONSENSUSDEMAND]_x000D_
[LOCID].[].[0001004860]_x000D_
[PRDID].[].[20000901]_x000D_
[KEY_FIGURES].[].[INDEPENDENTDEMAND]_x000D_
[LOCID].[].[0001004860]_x000D_
[PRDID].[].[20000902]_x000D_
[KEY_FIGURES].[].[ZCONSENSUSDEMANDQTY]_x000D_
[LOCID].[].[0001004860]_x000D_
[PRDID].[].[20000902]_x000D_
[KEY_FIGURES].[].[ZINPUTSOFC]_x000D_
[LOCID].[].[0001004860]_x000D_
[PRDID].[].[20000902]_x000D_
[KEY_FIGURES].[].[ZFORECASTOPENOUTPUT]_x000D_
[LOCID].[].[0001004860]_x000D_
[PRDID].[].[20000902]_x000D_
[KEY_FIGURES].[].[ZACTUALSALES]_x000D_
[LOCID].[].[0001004860]_x000D_
[PRDID].[].[20000902]_x000D_
[KEY_FIGURES].[].[ZCONSENSUSDEMAND]_x000D_
[LOCID].[].[0001004860]_x000D_
[PRDID].[].[20000902]_x000D_
[KEY_FIGURES].[].[INDEPENDENTDEMAND]_x000D_
[LOCID].[].[0001004860]_x000D_
[PRDID].[].[20000921]_x000D_
[KEY_FIGURES].[].[ZCONSENSUSDEMANDQTY]_x000D_
[LOCID].[].[0001004860]_x000D_
[PRDID].[].[20000921]_x000D_
[KEY_FIGURES].[].[ZINPUTSOFC]_x000D_
[LOCID].[].[0001004860]_x000D_
[PRDID].[].[20000921]_x000D_
[KEY_FIGURES].[].[ZFORECASTOPENOUTPUT]_x000D_
[LOCID].[].[0001004860]_x000D_
[PRDID].[].[20000921]_x000D_
[KEY_FIGURES].[].[ZACTUALSALES]_x000D_
[LOCID].[].[0001004860]_x000D_
[PRDID].[].[20000921]_x000D_
[KEY_FIGURES].[].[ZCONSENSUSDEMAND]_x000D_
[LOCID].[].[0001004860]_x000D_
[PRDID].[].[20000921]_x000D_
[KEY_FIGURES].[].[INDEPENDENTDEMAND]_x000D_
[LOCID].[].[0001004860]_x000D_
[PRDID].[].[20000922]_x000D_
[KEY_FIGURES].[].[ZCONSENSUSDEMANDQTY]_x000D_
[LOCID].[].[0001004860]_x000D_
[PRDID].[].[20000922]_x000D_
[KEY_FIGURES].[].[ZINPUTSOFC]_x000D_
[LOCID].[].[0001004860]_x000D_
[PRDID].[].[20000922]_x000D_
[KEY_FIGURES].[].[ZFORECASTOPENOUTPUT]_x000D_
[LOCID].[].[0001004860]_x000D_
[PRDID].[].[20000922]_x000D_
[KEY_FIGURES].[].[ZACTUALSALES]_x000D_
[LOCID].[].[0001004860]_x000D_
[PRDID].[].[20000922]_x000D_
[KEY_FIGURES].[].[ZCONSENSUSDEMAND]_x000D_
[LOCID].[].[0001004860]_x000D_
[PRDID].[].[20000922]_x000D_
[KEY_FIGURES].[].[INDEPENDENTDEMAND]_x000D_
[LOCID].[].[0001004860]_x000D_
[PRDID].[].[20000923]_x000D_
[KEY_FIGURES].[].[ZCONSENSUSDEMANDQTY]_x000D_
[LOCID].[].[0001004860]_x000D_
[PRDID].[].[20000923]_x000D_
[KEY_FIGURES].[].[ZINPUTSOFC]_x000D_
[LOCID].[].[0001004860]_x000D_
[PRDID].[].[20000923]_x000D_
[KEY_FIGURES].[].[ZFORECASTOPENOUTPUT]_x000D_
[LOCID].[].[0001004860]_x000D_
[PRDID].[].[20000923]_x000D_
[KEY_FIGURES].[].[ZACTUALSALES]_x000D_
[LOCID].[].[0001004860]_x000D_
[PRDID].[].[20000923]_x000D_
[KEY_FIGURES].[].[ZCONSENSUSDEMAND]_x000D_
[LOCID].[].[0001004860]_x000D_
[PRDID].[].[20000923]_x000D_
[KEY_FIGURES].[].[INDEPENDENTDEMAND]_x000D_
[LOCID].[].[0001004860]_x000D_
[PRDID].[].[20000924]_x000D_
[KEY_FIGURES].[].[ZCONSENSUSDEMANDQTY]_x000D_
[LOCID].[].[0001004860]_x000D_
[PRDID].[].[20000924]_x000D_
[KEY_FIGURES].[].[ZINPUTSOFC]_x000D_
[LOCID].[].[0001004860]_x000D_
[PRDID].[].[20000924]_x000D_
[KEY_FIGURES].[].[ZFORECASTOPENOUTPUT]_x000D_
[LOCID].[].[0001004860]_x000D_
[PRDID].[].[20000924]_x000D_
[KEY_FIGURES].[].[ZACTUALSALES]_x000D_
[LOCID].[].[0001004860]_x000D_
[PRDID].[].[20000924]_x000D_
[KEY_FIGURES].[].[ZCONSENSUSDEMAND]_x000D_
[LOCID].[].[0001004860]_x000D_
[PRDID].[].[20000924]_x000D_
[KEY_FIGURES].[].[INDEPENDENTDEMAND]_x000D_
[LOCID].[].[0001004860]_x000D_
[PRDID].[].[20000926]_x000D_
[KEY_FIGURES].[].[ZCONSENSUSDEMANDQTY]_x000D_
[LOCID].[].[0001004860]_x000D_
[PRDID].[].[20000926]_x000D_
[KEY_FIGURES].[].[ZINPUTSOFC]_x000D_
[LOCID].[].[0001004860]_x000D_
[PRDID].[].[20000926]_x000D_
[KEY_FIGURES].[].[ZFORECASTOPENOUTPUT]_x000D_
[LOCID].[].[0001004860]_x000D_
[PRDID].[].[20000926]_x000D_
[KEY_FIGURES].[].[ZACTUALSALES]_x000D_
[LOCID].[].[0001004860]_x000D_
[PRDID].[].[20000926]_x000D_
[KEY_FIGURES].[].[ZCONSENSUSDEMAND]_x000D_
[LOCID].[].[0001004860]_x000D_
[PRDID].[].[20000926]_x000D_
[KEY_FIGURES].[].[INDEPENDENTDEMAND]_x000D_
[LOCID].[].[0001004860]_x000D_
[PRDID].[].[20000941]_x000D_
[KEY_FIGURES].[].[ZCONSENSUSDEMANDQTY]_x000D_
[LOCID].[].[0001004860]_x000D_
[PRDID].[].[20000941]_x000D_
[KEY_FIGURES].[].[ZINPUTSOFC]_x000D_
[LOCID].[].[0001004860]_x000D_
[PRDID].[].[20000941]_x000D_
[KEY_FIGURES].[].[ZFORECASTOPENOUTPUT]_x000D_
[LOCID].[].[0001004860]_x000D_
[PRDID].[].[20000941]_x000D_
[KEY_FIGURES].[].[ZACTUALSALES]_x000D_
[LOCID].[].[0001004860]_x000D_
[PRDID].[].[20000941]_x000D_
[KEY_FIGURES].[].[ZCONSENSUSDEMAND]_x000D_
[LOCID].[].[0001004860]_x000D_
[PRDID].[].[20000941]_x000D_
[KEY_FIGURES].[].[INDEPENDENTDEMAND]_x000D_
[LOCID].[].[0001004860]_x000D_
[PRDID].[].[20000945]_x000D_
[KEY_FIGURES].[].[ZCONSENSUSDEMANDQTY]_x000D_
[LOCID].[].[0001004860]_x000D_
[PRDID].[].[20000945]_x000D_
[KEY_FIGURES].[].[ZINPUTSOFC]_x000D_
[LOCID].[].[0001004860]_x000D_
[PRDID].[].[20000945]_x000D_
[KEY_FIGURES].[].[ZFORECASTOPENOUTPUT]_x000D_
[LOCID].[].[0001004860]_x000D_
[PRDID].[].[20000945]_x000D_
[KEY_FIGURES].[].[ZACTUALSALES]_x000D_
[LOCID].[].[0001004860]_x000D_
[PRDID].[].[20000945]_x000D_
[KEY_FIGURES].[].[ZCONSENSUSDEMAND]_x000D_
[LOCID].[].[0001004860]_x000D_
[PRDID].[].[20000945]_x000D_
[KEY_FIGURES].[].[INDEPENDENTDEMAND]_x000D_
[LOCID].[].[0001004860]_x000D_
[PRDID].[].[20000946]_x000D_
[KEY_FIGURES].[].[ZCONSENSUSDEMANDQTY]_x000D_
[LOCID].[].[0001004860]_x000D_
[PRDID].[].[20000946]_x000D_
[KEY_FIGURES].[].[ZINPUTSOFC]_x000D_
[LOCID].[].[0001004860]_x000D_
[PRDID].[].[20000946]_x000D_
[KEY_FIGURES].[].[ZFORECASTOPENOUTPUT]_x000D_
[LOCID].[].[0001004860]_x000D_
[PRDID].[].[20000946]_x000D_
[KEY_FIGURES].[].[ZACTUALSALES]_x000D_
[LOCID].[].[0001004860]_x000D_
[PRDID].[].[20000946]_x000D_
[KEY_FIGURES].[].[ZCONSENSUSDEMAND]_x000D_
[LOCID].[].[0001004860]_x000D_
[PRDID].[].[20000946]_x000D_
[KEY_FIGURES].[].[INDEPENDENTDEMAND]_x000D_
[LOCID].[].[0001004863]_x000D_
[PRDID].[].[20000188]_x000D_
[KEY_FIGURES].[].[ZCONSENSUSDEMANDQTY]_x000D_
[LOCID].[].[0001004863]_x000D_
[PRDID].[].[20000188]_x000D_
[KEY_FIGURES].[].[ZINPUTSOFC]_x000D_
[LOCID].[].[0001004863]_x000D_
[PRDID].[].[20000188]_x000D_
[KEY_FIGURES].[].[ZFORECASTOPENOUTPUT]_x000D_
[LOCID].[].[0001004863]_x000D_
[PRDID].[].[20000188]_x000D_
[KEY_FIGURES].[].[ZACTUALSALES]_x000D_
[LOCID].[].[0001004863]_x000D_
[PRDID].[].[20000188]_x000D_
[KEY_FIGURES].[].[ZCONSENSUSDEMAND]_x000D_
[LOCID].[].[0001004863]</t>
  </si>
  <si>
    <t>[PRDID].[].[20000188]_x000D_
[KEY_FIGURES].[].[INDEPENDENTDEMAND]_x000D_
[LOCID].[].[0001004863]_x000D_
[PRDID].[].[20000189]_x000D_
[KEY_FIGURES].[].[ZCONSENSUSDEMANDQTY]_x000D_
[LOCID].[].[0001004863]_x000D_
[PRDID].[].[20000189]_x000D_
[KEY_FIGURES].[].[ZINPUTSOFC]_x000D_
[LOCID].[].[0001004863]_x000D_
[PRDID].[].[20000189]_x000D_
[KEY_FIGURES].[].[ZFORECASTOPENOUTPUT]_x000D_
[LOCID].[].[0001004863]_x000D_
[PRDID].[].[20000189]_x000D_
[KEY_FIGURES].[].[ZACTUALSALES]_x000D_
[LOCID].[].[0001004863]_x000D_
[PRDID].[].[20000189]_x000D_
[KEY_FIGURES].[].[ZCONSENSUSDEMAND]_x000D_
[LOCID].[].[0001004863]_x000D_
[PRDID].[].[20000189]_x000D_
[KEY_FIGURES].[].[INDEPENDENTDEMAND]_x000D_
[LOCID].[].[0001004863]_x000D_
[PRDID].[].[20000261]_x000D_
[KEY_FIGURES].[].[ZCONSENSUSDEMANDQTY]_x000D_
[LOCID].[].[0001004863]_x000D_
[PRDID].[].[20000261]_x000D_
[KEY_FIGURES].[].[ZINPUTSOFC]_x000D_
[LOCID].[].[0001004863]_x000D_
[PRDID].[].[20000261]_x000D_
[KEY_FIGURES].[].[ZFORECASTOPENOUTPUT]_x000D_
[LOCID].[].[0001004863]_x000D_
[PRDID].[].[20000261]_x000D_
[KEY_FIGURES].[].[ZACTUALSALES]_x000D_
[LOCID].[].[0001004863]_x000D_
[PRDID].[].[20000261]_x000D_
[KEY_FIGURES].[].[ZCONSENSUSDEMAND]_x000D_
[LOCID].[].[0001004863]_x000D_
[PRDID].[].[20000261]_x000D_
[KEY_FIGURES].[].[INDEPENDENTDEMAND]_x000D_
[LOCID].[].[0001004870]_x000D_
[PRDID].[].[20000609]_x000D_
[KEY_FIGURES].[].[ZCONSENSUSDEMANDQTY]_x000D_
[LOCID].[].[0001004870]_x000D_
[PRDID].[].[20000609]_x000D_
[KEY_FIGURES].[].[ZINPUTSOFC]_x000D_
[LOCID].[].[0001004870]_x000D_
[PRDID].[].[20000609]_x000D_
[KEY_FIGURES].[].[ZFORECASTOPENOUTPUT]_x000D_
[LOCID].[].[0001004870]_x000D_
[PRDID].[].[20000609]_x000D_
[KEY_FIGURES].[].[ZACTUALSALES]_x000D_
[LOCID].[].[0001004870]_x000D_
[PRDID].[].[20000609]_x000D_
[KEY_FIGURES].[].[ZCONSENSUSDEMAND]_x000D_
[LOCID].[].[0001004870]_x000D_
[PRDID].[].[20000609]_x000D_
[KEY_FIGURES].[].[INDEPENDENTDEMAND]_x000D_
[LOCID].[].[0001004870]_x000D_
[PRDID].[].[20000610]_x000D_
[KEY_FIGURES].[].[ZCONSENSUSDEMANDQTY]_x000D_
[LOCID].[].[0001004870]_x000D_
[PRDID].[].[20000610]_x000D_
[KEY_FIGURES].[].[ZINPUTSOFC]_x000D_
[LOCID].[].[0001004870]_x000D_
[PRDID].[].[20000610]_x000D_
[KEY_FIGURES].[].[ZFORECASTOPENOUTPUT]_x000D_
[LOCID].[].[0001004870]_x000D_
[PRDID].[].[20000610]_x000D_
[KEY_FIGURES].[].[ZACTUALSALES]_x000D_
[LOCID].[].[0001004870]_x000D_
[PRDID].[].[20000610]_x000D_
[KEY_FIGURES].[].[ZCONSENSUSDEMAND]_x000D_
[LOCID].[].[0001004870]_x000D_
[PRDID].[].[20000610]_x000D_
[KEY_FIGURES].[].[INDEPENDENTDEMAND]_x000D_
[LOCID].[].[0001004871]_x000D_
[PRDID].[].[20000629]_x000D_
[KEY_FIGURES].[].[ZCONSENSUSDEMANDQTY]_x000D_
[LOCID].[].[0001004871]_x000D_
[PRDID].[].[20000629]_x000D_
[KEY_FIGURES].[].[ZINPUTSOFC]_x000D_
[LOCID].[].[0001004871]_x000D_
[PRDID].[].[20000629]_x000D_
[KEY_FIGURES].[].[ZFORECASTOPENOUTPUT]_x000D_
[LOCID].[].[0001004871]_x000D_
[PRDID].[].[20000629]_x000D_
[KEY_FIGURES].[].[ZACTUALSALES]_x000D_
[LOCID].[].[0001004871]_x000D_
[PRDID].[].[20000629]_x000D_
[KEY_FIGURES].[].[ZCONSENSUSDEMAND]_x000D_
[LOCID].[].[0001004871]_x000D_
[PRDID].[].[20000629]_x000D_
[KEY_FIGURES].[].[INDEPENDENTDEMAND]_x000D_
[LOCID].[].[0001004871]_x000D_
[PRDID].[].[20000630]_x000D_
[KEY_FIGURES].[].[ZCONSENSUSDEMANDQTY]_x000D_
[LOCID].[].[0001004871]_x000D_
[PRDID].[].[20000630]_x000D_
[KEY_FIGURES].[].[ZINPUTSOFC]_x000D_
[LOCID].[].[0001004871]_x000D_
[PRDID].[].[20000630]_x000D_
[KEY_FIGURES].[].[ZFORECASTOPENOUTPUT]_x000D_
[LOCID].[].[0001004871]_x000D_
[PRDID].[].[20000630]_x000D_
[KEY_FIGURES].[].[ZACTUALSALES]_x000D_
[LOCID].[].[0001004871]_x000D_
[PRDID].[].[20000630]_x000D_
[KEY_FIGURES].[].[ZCONSENSUSDEMAND]_x000D_
[LOCID].[].[0001004871]_x000D_
[PRDID].[].[20000630]_x000D_
[KEY_FIGURES].[].[INDEPENDENTDEMAND]_x000D_
[LOCID].[].[0001004871]_x000D_
[PRDID].[].[20000632]_x000D_
[KEY_FIGURES].[].[ZCONSENSUSDEMANDQTY]_x000D_
[LOCID].[].[0001004871]_x000D_
[PRDID].[].[20000632]_x000D_
[KEY_FIGURES].[].[ZINPUTSOFC]_x000D_
[LOCID].[].[0001004871]_x000D_
[PRDID].[].[20000632]_x000D_
[KEY_FIGURES].[].[ZFORECASTOPENOUTPUT]_x000D_
[LOCID].[].[0001004871]_x000D_
[PRDID].[].[20000632]_x000D_
[KEY_FIGURES].[].[ZACTUALSALES]_x000D_
[LOCID].[].[0001004871]_x000D_
[PRDID].[].[20000632]_x000D_
[KEY_FIGURES].[].[ZCONSENSUSDEMAND]_x000D_
[LOCID].[].[0001004871]_x000D_
[PRDID].[].[20000632]_x000D_
[KEY_FIGURES].[].[INDEPENDENTDEMAND]_x000D_
[LOCID].[].[0001004871]_x000D_
[PRDID].[].[20000712]_x000D_
[KEY_FIGURES].[].[ZCONSENSUSDEMANDQTY]_x000D_
[LOCID].[].[0001004871]_x000D_
[PRDID].[].[20000712]_x000D_
[KEY_FIGURES].[].[ZINPUTSOFC]_x000D_
[LOCID].[].[0001004871]_x000D_
[PRDID].[].[20000712]_x000D_
[KEY_FIGURES].[].[ZFORECASTOPENOUTPUT]_x000D_
[LOCID].[].[0001004871]_x000D_
[PRDID].[].[20000712]_x000D_
[KEY_FIGURES].[].[ZACTUALSALES]_x000D_
[LOCID].[].[0001004871]_x000D_
[PRDID].[].[20000712]_x000D_
[KEY_FIGURES].[].[ZCONSENSUSDEMAND]_x000D_
[LOCID].[].[0001004871]_x000D_
[PRDID].[].[20000712]_x000D_
[KEY_FIGURES].[].[INDEPENDENTDEMAND]_x000D_
[LOCID].[].[0001004871]_x000D_
[PRDID].[].[20000713]_x000D_
[KEY_FIGURES].[].[ZCONSENSUSDEMANDQTY]_x000D_
[LOCID].[].[0001004871]_x000D_
[PRDID].[].[20000713]_x000D_
[KEY_FIGURES].[].[ZINPUTSOFC]_x000D_
[LOCID].[].[0001004871]_x000D_
[PRDID].[].[20000713]_x000D_
[KEY_FIGURES].[].[ZFORECASTOPENOUTPUT]_x000D_
[LOCID].[].[0001004871]_x000D_
[PRDID].[].[20000713]_x000D_
[KEY_FIGURES].[].[ZACTUALSALES]_x000D_
[LOCID].[].[0001004871]_x000D_
[PRDID].[].[20000713]_x000D_
[KEY_FIGURES].[].[ZCONSENSUSDEMAND]_x000D_
[LOCID].[].[0001004871]_x000D_
[PRDID].[].[20000713]_x000D_
[KEY_FIGURES].[].[INDEPENDENTDEMAND]_x000D_
[LOCID].[].[0001004871]_x000D_
[PRDID].[].[20000714]_x000D_
[KEY_FIGURES].[].[ZCONSENSUSDEMANDQTY]_x000D_
[LOCID].[].[0001004871]_x000D_
[PRDID].[].[20000714]_x000D_
[KEY_FIGURES].[].[ZINPUTSOFC]_x000D_
[LOCID].[].[0001004871]_x000D_
[PRDID].[].[20000714]_x000D_
[KEY_FIGURES].[].[ZFORECASTOPENOUTPUT]_x000D_
[LOCID].[].[0001004871]_x000D_
[PRDID].[].[20000714]_x000D_
[KEY_FIGURES].[].[ZACTUALSALES]_x000D_
[LOCID].[].[0001004871]_x000D_
[PRDID].[].[20000714]_x000D_
[KEY_FIGURES].[].[ZCONSENSUSDEMAND]_x000D_
[LOCID].[].[0001004871]_x000D_
[PRDID].[].[20000714]_x000D_
[KEY_FIGURES].[].[INDEPENDENTDEMAND]_x000D_
[LOCID].[].[0001004872]_x000D_
[PRDID].[].[20000636]_x000D_
[KEY_FIGURES].[].[ZCONSENSUSDEMANDQTY]_x000D_
[LOCID].[].[0001004872]_x000D_
[PRDID].[].[20000636]_x000D_
[KEY_FIGURES].[].[ZINPUTSOFC]_x000D_
[LOCID].[].[0001004872]_x000D_
[PRDID].[].[20000636]_x000D_
[KEY_FIGURES].[].[ZFORECASTOPENOUTPUT]_x000D_
[LOCID].[].[0001004872]_x000D_
[PRDID].[].[20000636]_x000D_
[KEY_FIGURES].[].[ZACTUALSALES]_x000D_
[LOCID].[].[0001004872]_x000D_
[PRDID].[].[20000636]_x000D_
[KEY_FIGURES].[].[ZCONSENSUSDEMAND]_x000D_
[LOCID].[].[0001004872]_x000D_
[PRDID].[].[20000636]_x000D_
[KEY_FIGURES].[].[INDEPENDENTDEMAND]</t>
  </si>
  <si>
    <t>[LOCID].[].[0001004872]_x000D_
[PRDID].[].[20000637]_x000D_
[KEY_FIGURES].[].[ZCONSENSUSDEMANDQTY]_x000D_
[LOCID].[].[0001004872]_x000D_
[PRDID].[].[20000637]_x000D_
[KEY_FIGURES].[].[ZINPUTSOFC]_x000D_
[LOCID].[].[0001004872]_x000D_
[PRDID].[].[20000637]_x000D_
[KEY_FIGURES].[].[ZFORECASTOPENOUTPUT]_x000D_
[LOCID].[].[0001004872]_x000D_
[PRDID].[].[20000637]_x000D_
[KEY_FIGURES].[].[ZACTUALSALES]_x000D_
[LOCID].[].[0001004872]_x000D_
[PRDID].[].[20000637]_x000D_
[KEY_FIGURES].[].[ZCONSENSUSDEMAND]_x000D_
[LOCID].[].[0001004872]_x000D_
[PRDID].[].[20000637]_x000D_
[KEY_FIGURES].[].[INDEPENDENTDEMAND]_x000D_
[LOCID].[].[0001004872]_x000D_
[PRDID].[].[20000664]_x000D_
[KEY_FIGURES].[].[ZCONSENSUSDEMANDQTY]_x000D_
[LOCID].[].[0001004872]_x000D_
[PRDID].[].[20000664]_x000D_
[KEY_FIGURES].[].[ZINPUTSOFC]_x000D_
[LOCID].[].[0001004872]_x000D_
[PRDID].[].[20000664]_x000D_
[KEY_FIGURES].[].[ZFORECASTOPENOUTPUT]_x000D_
[LOCID].[].[0001004872]_x000D_
[PRDID].[].[20000664]_x000D_
[KEY_FIGURES].[].[ZACTUALSALES]_x000D_
[LOCID].[].[0001004872]_x000D_
[PRDID].[].[20000664]_x000D_
[KEY_FIGURES].[].[ZCONSENSUSDEMAND]_x000D_
[LOCID].[].[0001004872]_x000D_
[PRDID].[].[20000664]_x000D_
[KEY_FIGURES].[].[INDEPENDENTDEMAND]_x000D_
[LOCID].[].[0001004872]_x000D_
[PRDID].[].[20000665]_x000D_
[KEY_FIGURES].[].[ZCONSENSUSDEMANDQTY]_x000D_
[LOCID].[].[0001004872]_x000D_
[PRDID].[].[20000665]_x000D_
[KEY_FIGURES].[].[ZINPUTSOFC]_x000D_
[LOCID].[].[0001004872]_x000D_
[PRDID].[].[20000665]_x000D_
[KEY_FIGURES].[].[ZFORECASTOPENOUTPUT]_x000D_
[LOCID].[].[0001004872]_x000D_
[PRDID].[].[20000665]_x000D_
[KEY_FIGURES].[].[ZACTUALSALES]_x000D_
[LOCID].[].[0001004872]_x000D_
[PRDID].[].[20000665]_x000D_
[KEY_FIGURES].[].[ZCONSENSUSDEMAND]_x000D_
[LOCID].[].[0001004872]_x000D_
[PRDID].[].[20000665]_x000D_
[KEY_FIGURES].[].[INDEPENDENTDEMAND]_x000D_
[LOCID].[].[0001004872]_x000D_
[PRDID].[].[20000666]_x000D_
[KEY_FIGURES].[].[ZCONSENSUSDEMANDQTY]_x000D_
[LOCID].[].[0001004872]_x000D_
[PRDID].[].[20000666]_x000D_
[KEY_FIGURES].[].[ZINPUTSOFC]_x000D_
[LOCID].[].[0001004872]_x000D_
[PRDID].[].[20000666]_x000D_
[KEY_FIGURES].[].[ZFORECASTOPENOUTPUT]_x000D_
[LOCID].[].[0001004872]_x000D_
[PRDID].[].[20000666]_x000D_
[KEY_FIGURES].[].[ZACTUALSALES]_x000D_
[LOCID].[].[0001004872]_x000D_
[PRDID].[].[20000666]_x000D_
[KEY_FIGURES].[].[ZCONSENSUSDEMAND]_x000D_
[LOCID].[].[0001004872]_x000D_
[PRDID].[].[20000666]_x000D_
[KEY_FIGURES].[].[INDEPENDENTDEMAND]_x000D_
[LOCID].[].[0001004872]_x000D_
[PRDID].[].[20000667]_x000D_
[KEY_FIGURES].[].[ZCONSENSUSDEMANDQTY]_x000D_
[LOCID].[].[0001004872]_x000D_
[PRDID].[].[20000667]_x000D_
[KEY_FIGURES].[].[ZINPUTSOFC]_x000D_
[LOCID].[].[0001004872]_x000D_
[PRDID].[].[20000667]_x000D_
[KEY_FIGURES].[].[ZFORECASTOPENOUTPUT]_x000D_
[LOCID].[].[0001004872]_x000D_
[PRDID].[].[20000667]_x000D_
[KEY_FIGURES].[].[ZACTUALSALES]_x000D_
[LOCID].[].[0001004872]_x000D_
[PRDID].[].[20000667]_x000D_
[KEY_FIGURES].[].[ZCONSENSUSDEMAND]_x000D_
[LOCID].[].[0001004872]_x000D_
[PRDID].[].[20000667]_x000D_
[KEY_FIGURES].[].[INDEPENDENTDEMAND]_x000D_
[LOCID].[].[0001004872]_x000D_
[PRDID].[].[20000668]_x000D_
[KEY_FIGURES].[].[ZCONSENSUSDEMANDQTY]_x000D_
[LOCID].[].[0001004872]_x000D_
[PRDID].[].[20000668]_x000D_
[KEY_FIGURES].[].[ZINPUTSOFC]_x000D_
[LOCID].[].[0001004872]_x000D_
[PRDID].[].[20000668]_x000D_
[KEY_FIGURES].[].[ZFORECASTOPENOUTPUT]_x000D_
[LOCID].[].[0001004872]_x000D_
[PRDID].[].[20000668]_x000D_
[KEY_FIGURES].[].[ZACTUALSALES]_x000D_
[LOCID].[].[0001004872]_x000D_
[PRDID].[].[20000668]_x000D_
[KEY_FIGURES].[].[ZCONSENSUSDEMAND]_x000D_
[LOCID].[].[0001004872]_x000D_
[PRDID].[].[20000668]_x000D_
[KEY_FIGURES].[].[INDEPENDENTDEMAND]_x000D_
[LOCID].[].[0001004872]_x000D_
[PRDID].[].[20000669]_x000D_
[KEY_FIGURES].[].[ZCONSENSUSDEMANDQTY]_x000D_
[LOCID].[].[0001004872]_x000D_
[PRDID].[].[20000669]_x000D_
[KEY_FIGURES].[].[ZINPUTSOFC]_x000D_
[LOCID].[].[0001004872]_x000D_
[PRDID].[].[20000669]_x000D_
[KEY_FIGURES].[].[ZFORECASTOPENOUTPUT]_x000D_
[LOCID].[].[0001004872]_x000D_
[PRDID].[].[20000669]_x000D_
[KEY_FIGURES].[].[ZACTUALSALES]_x000D_
[LOCID].[].[0001004872]_x000D_
[PRDID].[].[20000669]_x000D_
[KEY_FIGURES].[].[ZCONSENSUSDEMAND]_x000D_
[LOCID].[].[0001004872]_x000D_
[PRDID].[].[20000669]_x000D_
[KEY_FIGURES].[].[INDEPENDENTDEMAND]_x000D_
[LOCID].[].[0001004872]_x000D_
[PRDID].[].[20000670]_x000D_
[KEY_FIGURES].[].[ZCONSENSUSDEMANDQTY]_x000D_
[LOCID].[].[0001004872]_x000D_
[PRDID].[].[20000670]_x000D_
[KEY_FIGURES].[].[ZINPUTSOFC]_x000D_
[LOCID].[].[0001004872]_x000D_
[PRDID].[].[20000670]_x000D_
[KEY_FIGURES].[].[ZFORECASTOPENOUTPUT]_x000D_
[LOCID].[].[0001004872]_x000D_
[PRDID].[].[20000670]_x000D_
[KEY_FIGURES].[].[ZACTUALSALES]_x000D_
[LOCID].[].[0001004872]_x000D_
[PRDID].[].[20000670]_x000D_
[KEY_FIGURES].[].[ZCONSENSUSDEMAND]_x000D_
[LOCID].[].[0001004872]_x000D_
[PRDID].[].[20000670]_x000D_
[KEY_FIGURES].[].[INDEPENDENTDEMAND]_x000D_
[LOCID].[].[0001004872]_x000D_
[PRDID].[].[20000671]_x000D_
[KEY_FIGURES].[].[ZCONSENSUSDEMANDQTY]_x000D_
[LOCID].[].[0001004872]_x000D_
[PRDID].[].[20000671]_x000D_
[KEY_FIGURES].[].[ZINPUTSOFC]_x000D_
[LOCID].[].[0001004872]_x000D_
[PRDID].[].[20000671]_x000D_
[KEY_FIGURES].[].[ZFORECASTOPENOUTPUT]_x000D_
[LOCID].[].[0001004872]_x000D_
[PRDID].[].[20000671]_x000D_
[KEY_FIGURES].[].[ZACTUALSALES]_x000D_
[LOCID].[].[0001004872]_x000D_
[PRDID].[].[20000671]_x000D_
[KEY_FIGURES].[].[ZCONSENSUSDEMAND]_x000D_
[LOCID].[].[0001004872]_x000D_
[PRDID].[].[20000671]_x000D_
[KEY_FIGURES].[].[INDEPENDENTDEMAND]_x000D_
[LOCID].[].[0001004872]_x000D_
[PRDID].[].[20000672]_x000D_
[KEY_FIGURES].[].[ZCONSENSUSDEMANDQTY]_x000D_
[LOCID].[].[0001004872]_x000D_
[PRDID].[].[20000672]_x000D_
[KEY_FIGURES].[].[ZINPUTSOFC]_x000D_
[LOCID].[].[0001004872]_x000D_
[PRDID].[].[20000672]_x000D_
[KEY_FIGURES].[].[ZFORECASTOPENOUTPUT]_x000D_
[LOCID].[].[0001004872]_x000D_
[PRDID].[].[20000672]_x000D_
[KEY_FIGURES].[].[ZACTUALSALES]_x000D_
[LOCID].[].[0001004872]_x000D_
[PRDID].[].[20000672]_x000D_
[KEY_FIGURES].[].[ZCONSENSUSDEMAND]_x000D_
[LOCID].[].[0001004872]_x000D_
[PRDID].[].[20000672]_x000D_
[KEY_FIGURES].[].[INDEPENDENTDEMAND]_x000D_
[LOCID].[].[0001004872]_x000D_
[PRDID].[].[20000673]_x000D_
[KEY_FIGURES].[].[ZCONSENSUSDEMANDQTY]_x000D_
[LOCID].[].[0001004872]_x000D_
[PRDID].[].[20000673]_x000D_
[KEY_FIGURES].[].[ZINPUTSOFC]_x000D_
[LOCID].[].[0001004872]_x000D_
[PRDID].[].[20000673]_x000D_
[KEY_FIGURES].[].[ZFORECASTOPENOUTPUT]_x000D_
[LOCID].[].[0001004872]_x000D_
[PRDID].[].[20000673]_x000D_
[KEY_FIGURES].[].[ZACTUALSALES]_x000D_
[LOCID].[].[0001004872]_x000D_
[PRDID].[].[20000673]_x000D_
[KEY_FIGURES].[].[ZCONSENSUSDEMAND]_x000D_
[LOCID].[].[0001004872]_x000D_
[PRDID].[].[20000673]_x000D_
[KEY_FIGURES].[].[INDEPENDENTDEMAND]_x000D_
[LOCID].[].[0001004872]_x000D_
[PRDID].[].[20000674]</t>
  </si>
  <si>
    <t>[KEY_FIGURES].[].[ZCONSENSUSDEMANDQTY]_x000D_
[LOCID].[].[0001004872]_x000D_
[PRDID].[].[20000674]_x000D_
[KEY_FIGURES].[].[ZINPUTSOFC]_x000D_
[LOCID].[].[0001004872]_x000D_
[PRDID].[].[20000674]_x000D_
[KEY_FIGURES].[].[ZFORECASTOPENOUTPUT]_x000D_
[LOCID].[].[0001004872]_x000D_
[PRDID].[].[20000674]_x000D_
[KEY_FIGURES].[].[ZACTUALSALES]_x000D_
[LOCID].[].[0001004872]_x000D_
[PRDID].[].[20000674]_x000D_
[KEY_FIGURES].[].[ZCONSENSUSDEMAND]_x000D_
[LOCID].[].[0001004872]_x000D_
[PRDID].[].[20000674]_x000D_
[KEY_FIGURES].[].[INDEPENDENTDEMAND]_x000D_
[LOCID].[].[0001004872]_x000D_
[PRDID].[].[20000675]_x000D_
[KEY_FIGURES].[].[ZCONSENSUSDEMANDQTY]_x000D_
[LOCID].[].[0001004872]_x000D_
[PRDID].[].[20000675]_x000D_
[KEY_FIGURES].[].[ZINPUTSOFC]_x000D_
[LOCID].[].[0001004872]_x000D_
[PRDID].[].[20000675]_x000D_
[KEY_FIGURES].[].[ZFORECASTOPENOUTPUT]_x000D_
[LOCID].[].[0001004872]_x000D_
[PRDID].[].[20000675]_x000D_
[KEY_FIGURES].[].[ZACTUALSALES]_x000D_
[LOCID].[].[0001004872]_x000D_
[PRDID].[].[20000675]_x000D_
[KEY_FIGURES].[].[ZCONSENSUSDEMAND]_x000D_
[LOCID].[].[0001004872]_x000D_
[PRDID].[].[20000675]_x000D_
[KEY_FIGURES].[].[INDEPENDENTDEMAND]_x000D_
[LOCID].[].[0001004872]_x000D_
[PRDID].[].[20000676]_x000D_
[KEY_FIGURES].[].[ZCONSENSUSDEMANDQTY]_x000D_
[LOCID].[].[0001004872]_x000D_
[PRDID].[].[20000676]_x000D_
[KEY_FIGURES].[].[ZINPUTSOFC]_x000D_
[LOCID].[].[0001004872]_x000D_
[PRDID].[].[20000676]_x000D_
[KEY_FIGURES].[].[ZFORECASTOPENOUTPUT]_x000D_
[LOCID].[].[0001004872]_x000D_
[PRDID].[].[20000676]_x000D_
[KEY_FIGURES].[].[ZACTUALSALES]_x000D_
[LOCID].[].[0001004872]_x000D_
[PRDID].[].[20000676]_x000D_
[KEY_FIGURES].[].[ZCONSENSUSDEMAND]_x000D_
[LOCID].[].[0001004872]_x000D_
[PRDID].[].[20000676]_x000D_
[KEY_FIGURES].[].[INDEPENDENTDEMAND]_x000D_
[LOCID].[].[0001004872]_x000D_
[PRDID].[].[20000677]_x000D_
[KEY_FIGURES].[].[ZCONSENSUSDEMANDQTY]_x000D_
[LOCID].[].[0001004872]_x000D_
[PRDID].[].[20000677]_x000D_
[KEY_FIGURES].[].[ZINPUTSOFC]_x000D_
[LOCID].[].[0001004872]_x000D_
[PRDID].[].[20000677]_x000D_
[KEY_FIGURES].[].[ZFORECASTOPENOUTPUT]_x000D_
[LOCID].[].[0001004872]_x000D_
[PRDID].[].[20000677]_x000D_
[KEY_FIGURES].[].[ZACTUALSALES]_x000D_
[LOCID].[].[0001004872]_x000D_
[PRDID].[].[20000677]_x000D_
[KEY_FIGURES].[].[ZCONSENSUSDEMAND]_x000D_
[LOCID].[].[0001004872]_x000D_
[PRDID].[].[20000677]_x000D_
[KEY_FIGURES].[].[INDEPENDENTDEMAND]_x000D_
[LOCID].[].[0001004872]_x000D_
[PRDID].[].[20000678]_x000D_
[KEY_FIGURES].[].[ZCONSENSUSDEMANDQTY]_x000D_
[LOCID].[].[0001004872]_x000D_
[PRDID].[].[20000678]_x000D_
[KEY_FIGURES].[].[ZINPUTSOFC]_x000D_
[LOCID].[].[0001004872]_x000D_
[PRDID].[].[20000678]_x000D_
[KEY_FIGURES].[].[ZFORECASTOPENOUTPUT]_x000D_
[LOCID].[].[0001004872]_x000D_
[PRDID].[].[20000678]_x000D_
[KEY_FIGURES].[].[ZACTUALSALES]_x000D_
[LOCID].[].[0001004872]_x000D_
[PRDID].[].[20000678]_x000D_
[KEY_FIGURES].[].[ZCONSENSUSDEMAND]_x000D_
[LOCID].[].[0001004872]_x000D_
[PRDID].[].[20000678]_x000D_
[KEY_FIGURES].[].[INDEPENDENTDEMAND]_x000D_
[LOCID].[].[0001004872]_x000D_
[PRDID].[].[20000679]_x000D_
[KEY_FIGURES].[].[ZCONSENSUSDEMANDQTY]_x000D_
[LOCID].[].[0001004872]_x000D_
[PRDID].[].[20000679]_x000D_
[KEY_FIGURES].[].[ZINPUTSOFC]_x000D_
[LOCID].[].[0001004872]_x000D_
[PRDID].[].[20000679]_x000D_
[KEY_FIGURES].[].[ZFORECASTOPENOUTPUT]_x000D_
[LOCID].[].[0001004872]_x000D_
[PRDID].[].[20000679]_x000D_
[KEY_FIGURES].[].[ZACTUALSALES]_x000D_
[LOCID].[].[0001004872]_x000D_
[PRDID].[].[20000679]_x000D_
[KEY_FIGURES].[].[ZCONSENSUSDEMAND]_x000D_
[LOCID].[].[0001004872]_x000D_
[PRDID].[].[20000679]_x000D_
[KEY_FIGURES].[].[INDEPENDENTDEMAND]_x000D_
[LOCID].[].[0001004872]_x000D_
[PRDID].[].[20000680]_x000D_
[KEY_FIGURES].[].[ZCONSENSUSDEMANDQTY]_x000D_
[LOCID].[].[0001004872]_x000D_
[PRDID].[].[20000680]_x000D_
[KEY_FIGURES].[].[ZINPUTSOFC]_x000D_
[LOCID].[].[0001004872]_x000D_
[PRDID].[].[20000680]_x000D_
[KEY_FIGURES].[].[ZFORECASTOPENOUTPUT]_x000D_
[LOCID].[].[0001004872]_x000D_
[PRDID].[].[20000680]_x000D_
[KEY_FIGURES].[].[ZACTUALSALES]_x000D_
[LOCID].[].[0001004872]_x000D_
[PRDID].[].[20000680]_x000D_
[KEY_FIGURES].[].[ZCONSENSUSDEMAND]_x000D_
[LOCID].[].[0001004872]_x000D_
[PRDID].[].[20000680]_x000D_
[KEY_FIGURES].[].[INDEPENDENTDEMAND]_x000D_
[LOCID].[].[0001004872]_x000D_
[PRDID].[].[20000681]_x000D_
[KEY_FIGURES].[].[ZCONSENSUSDEMANDQTY]_x000D_
[LOCID].[].[0001004872]_x000D_
[PRDID].[].[20000681]_x000D_
[KEY_FIGURES].[].[ZINPUTSOFC]_x000D_
[LOCID].[].[0001004872]_x000D_
[PRDID].[].[20000681]_x000D_
[KEY_FIGURES].[].[ZFORECASTOPENOUTPUT]_x000D_
[LOCID].[].[0001004872]_x000D_
[PRDID].[].[20000681]_x000D_
[KEY_FIGURES].[].[ZACTUALSALES]_x000D_
[LOCID].[].[0001004872]_x000D_
[PRDID].[].[20000681]_x000D_
[KEY_FIGURES].[].[ZCONSENSUSDEMAND]_x000D_
[LOCID].[].[0001004872]_x000D_
[PRDID].[].[20000681]_x000D_
[KEY_FIGURES].[].[INDEPENDENTDEMAND]_x000D_
[LOCID].[].[0001004872]_x000D_
[PRDID].[].[20000682]_x000D_
[KEY_FIGURES].[].[ZCONSENSUSDEMANDQTY]_x000D_
[LOCID].[].[0001004872]_x000D_
[PRDID].[].[20000682]_x000D_
[KEY_FIGURES].[].[ZINPUTSOFC]_x000D_
[LOCID].[].[0001004872]_x000D_
[PRDID].[].[20000682]_x000D_
[KEY_FIGURES].[].[ZFORECASTOPENOUTPUT]_x000D_
[LOCID].[].[0001004872]_x000D_
[PRDID].[].[20000682]_x000D_
[KEY_FIGURES].[].[ZACTUALSALES]_x000D_
[LOCID].[].[0001004872]_x000D_
[PRDID].[].[20000682]_x000D_
[KEY_FIGURES].[].[ZCONSENSUSDEMAND]_x000D_
[LOCID].[].[0001004872]_x000D_
[PRDID].[].[20000682]_x000D_
[KEY_FIGURES].[].[INDEPENDENTDEMAND]_x000D_
[LOCID].[].[0001004872]_x000D_
[PRDID].[].[20000683]_x000D_
[KEY_FIGURES].[].[ZCONSENSUSDEMANDQTY]_x000D_
[LOCID].[].[0001004872]_x000D_
[PRDID].[].[20000683]_x000D_
[KEY_FIGURES].[].[ZINPUTSOFC]_x000D_
[LOCID].[].[0001004872]_x000D_
[PRDID].[].[20000683]_x000D_
[KEY_FIGURES].[].[ZFORECASTOPENOUTPUT]_x000D_
[LOCID].[].[0001004872]_x000D_
[PRDID].[].[20000683]_x000D_
[KEY_FIGURES].[].[ZACTUALSALES]_x000D_
[LOCID].[].[0001004872]_x000D_
[PRDID].[].[20000683]_x000D_
[KEY_FIGURES].[].[ZCONSENSUSDEMAND]_x000D_
[LOCID].[].[0001004872]_x000D_
[PRDID].[].[20000683]_x000D_
[KEY_FIGURES].[].[INDEPENDENTDEMAND]_x000D_
[LOCID].[].[0001004872]_x000D_
[PRDID].[].[20000711]_x000D_
[KEY_FIGURES].[].[ZCONSENSUSDEMANDQTY]_x000D_
[LOCID].[].[0001004872]_x000D_
[PRDID].[].[20000711]_x000D_
[KEY_FIGURES].[].[ZINPUTSOFC]_x000D_
[LOCID].[].[0001004872]_x000D_
[PRDID].[].[20000711]_x000D_
[KEY_FIGURES].[].[ZFORECASTOPENOUTPUT]_x000D_
[LOCID].[].[0001004872]_x000D_
[PRDID].[].[20000711]_x000D_
[KEY_FIGURES].[].[ZACTUALSALES]_x000D_
[LOCID].[].[0001004872]_x000D_
[PRDID].[].[20000711]_x000D_
[KEY_FIGURES].[].[ZCONSENSUSDEMAND]_x000D_
[LOCID].[].[0001004872]_x000D_
[PRDID].[].[20000711]_x000D_
[KEY_FIGURES].[].[INDEPENDENTDEMAND]_x000D_
[LOCID].[].[7K10]_x000D_
[PRDID].[].[10001002]_x000D_
[KEY_FIGURES].[].[ZCONSENSUSDEMANDQTY]_x000D_
[LOCID].[].[7K10]</t>
  </si>
  <si>
    <t>[PRDID].[].[10001002]_x000D_
[KEY_FIGURES].[].[ZINPUTSOFC]_x000D_
[LOCID].[].[7K10]_x000D_
[PRDID].[].[10001002]_x000D_
[KEY_FIGURES].[].[ZFORECASTOPENOUTPUT]_x000D_
[LOCID].[].[7K10]_x000D_
[PRDID].[].[10001002]_x000D_
[KEY_FIGURES].[].[ZACTUALSALES]_x000D_
[LOCID].[].[7K10]_x000D_
[PRDID].[].[10001002]_x000D_
[KEY_FIGURES].[].[ZCONSENSUSDEMAND]_x000D_
[LOCID].[].[7K10]_x000D_
[PRDID].[].[10001002]_x000D_
[KEY_FIGURES].[].[INDEPENDENTDEMAND]_x000D_
[LOCID].[].[7K10]_x000D_
[PRDID].[].[10001003]_x000D_
[KEY_FIGURES].[].[ZCONSENSUSDEMANDQTY]_x000D_
[LOCID].[].[7K10]_x000D_
[PRDID].[].[10001003]_x000D_
[KEY_FIGURES].[].[ZINPUTSOFC]_x000D_
[LOCID].[].[7K10]_x000D_
[PRDID].[].[10001003]_x000D_
[KEY_FIGURES].[].[ZFORECASTOPENOUTPUT]_x000D_
[LOCID].[].[7K10]_x000D_
[PRDID].[].[10001003]_x000D_
[KEY_FIGURES].[].[ZACTUALSALES]_x000D_
[LOCID].[].[7K10]_x000D_
[PRDID].[].[10001003]_x000D_
[KEY_FIGURES].[].[ZCONSENSUSDEMAND]_x000D_
[LOCID].[].[7K10]_x000D_
[PRDID].[].[10001003]_x000D_
[KEY_FIGURES].[].[INDEPENDENTDEMAND]_x000D_
[LOCID].[].[7K10]_x000D_
[PRDID].[].[10001004]_x000D_
[KEY_FIGURES].[].[ZCONSENSUSDEMANDQTY]_x000D_
[LOCID].[].[7K10]_x000D_
[PRDID].[].[10001004]_x000D_
[KEY_FIGURES].[].[ZINPUTSOFC]_x000D_
[LOCID].[].[7K10]_x000D_
[PRDID].[].[10001004]_x000D_
[KEY_FIGURES].[].[ZFORECASTOPENOUTPUT]_x000D_
[LOCID].[].[7K10]_x000D_
[PRDID].[].[10001004]_x000D_
[KEY_FIGURES].[].[ZACTUALSALES]_x000D_
[LOCID].[].[7K10]_x000D_
[PRDID].[].[10001004]_x000D_
[KEY_FIGURES].[].[ZCONSENSUSDEMAND]_x000D_
[LOCID].[].[7K10]_x000D_
[PRDID].[].[10001004]_x000D_
[KEY_FIGURES].[].[INDEPENDENTDEMAND]_x000D_
[LOCID].[].[7K10]_x000D_
[PRDID].[].[10001005]_x000D_
[KEY_FIGURES].[].[ZCONSENSUSDEMANDQTY]_x000D_
[LOCID].[].[7K10]_x000D_
[PRDID].[].[10001005]_x000D_
[KEY_FIGURES].[].[ZINPUTSOFC]_x000D_
[LOCID].[].[7K10]_x000D_
[PRDID].[].[10001005]_x000D_
[KEY_FIGURES].[].[ZFORECASTOPENOUTPUT]_x000D_
[LOCID].[].[7K10]_x000D_
[PRDID].[].[10001005]_x000D_
[KEY_FIGURES].[].[ZACTUALSALES]_x000D_
[LOCID].[].[7K10]_x000D_
[PRDID].[].[10001005]_x000D_
[KEY_FIGURES].[].[ZCONSENSUSDEMAND]_x000D_
[LOCID].[].[7K10]_x000D_
[PRDID].[].[10001005]_x000D_
[KEY_FIGURES].[].[INDEPENDENTDEMAND]_x000D_
[LOCID].[].[7K10]_x000D_
[PRDID].[].[10001006]_x000D_
[KEY_FIGURES].[].[ZCONSENSUSDEMANDQTY]_x000D_
[LOCID].[].[7K10]_x000D_
[PRDID].[].[10001006]_x000D_
[KEY_FIGURES].[].[ZINPUTSOFC]_x000D_
[LOCID].[].[7K10]_x000D_
[PRDID].[].[10001006]_x000D_
[KEY_FIGURES].[].[ZFORECASTOPENOUTPUT]_x000D_
[LOCID].[].[7K10]_x000D_
[PRDID].[].[10001006]_x000D_
[KEY_FIGURES].[].[ZACTUALSALES]_x000D_
[LOCID].[].[7K10]_x000D_
[PRDID].[].[10001006]_x000D_
[KEY_FIGURES].[].[ZCONSENSUSDEMAND]_x000D_
[LOCID].[].[7K10]_x000D_
[PRDID].[].[10001006]_x000D_
[KEY_FIGURES].[].[INDEPENDENTDEMAND]_x000D_
[LOCID].[].[7K10]_x000D_
[PRDID].[].[10001007]_x000D_
[KEY_FIGURES].[].[ZCONSENSUSDEMANDQTY]_x000D_
[LOCID].[].[7K10]_x000D_
[PRDID].[].[10001007]_x000D_
[KEY_FIGURES].[].[ZINPUTSOFC]_x000D_
[LOCID].[].[7K10]_x000D_
[PRDID].[].[10001007]_x000D_
[KEY_FIGURES].[].[ZFORECASTOPENOUTPUT]_x000D_
[LOCID].[].[7K10]_x000D_
[PRDID].[].[10001007]_x000D_
[KEY_FIGURES].[].[ZACTUALSALES]_x000D_
[LOCID].[].[7K10]_x000D_
[PRDID].[].[10001007]_x000D_
[KEY_FIGURES].[].[ZCONSENSUSDEMAND]_x000D_
[LOCID].[].[7K10]_x000D_
[PRDID].[].[10001007]_x000D_
[KEY_FIGURES].[].[INDEPENDENTDEMAND]_x000D_
[LOCID].[].[7K10]_x000D_
[PRDID].[].[10001008]_x000D_
[KEY_FIGURES].[].[ZCONSENSUSDEMANDQTY]_x000D_
[LOCID].[].[7K10]_x000D_
[PRDID].[].[10001008]_x000D_
[KEY_FIGURES].[].[ZINPUTSOFC]_x000D_
[LOCID].[].[7K10]_x000D_
[PRDID].[].[10001008]_x000D_
[KEY_FIGURES].[].[ZFORECASTOPENOUTPUT]_x000D_
[LOCID].[].[7K10]_x000D_
[PRDID].[].[10001008]_x000D_
[KEY_FIGURES].[].[ZACTUALSALES]_x000D_
[LOCID].[].[7K10]_x000D_
[PRDID].[].[10001008]_x000D_
[KEY_FIGURES].[].[ZCONSENSUSDEMAND]_x000D_
[LOCID].[].[7K10]_x000D_
[PRDID].[].[10001008]_x000D_
[KEY_FIGURES].[].[INDEPENDENTDEMAND]_x000D_
[LOCID].[].[7K10]_x000D_
[PRDID].[].[10001009]_x000D_
[KEY_FIGURES].[].[ZCONSENSUSDEMANDQTY]_x000D_
[LOCID].[].[7K10]_x000D_
[PRDID].[].[10001009]_x000D_
[KEY_FIGURES].[].[ZINPUTSOFC]_x000D_
[LOCID].[].[7K10]_x000D_
[PRDID].[].[10001009]_x000D_
[KEY_FIGURES].[].[ZFORECASTOPENOUTPUT]_x000D_
[LOCID].[].[7K10]_x000D_
[PRDID].[].[10001009]_x000D_
[KEY_FIGURES].[].[ZACTUALSALES]_x000D_
[LOCID].[].[7K10]_x000D_
[PRDID].[].[10001009]_x000D_
[KEY_FIGURES].[].[ZCONSENSUSDEMAND]_x000D_
[LOCID].[].[7K10]_x000D_
[PRDID].[].[10001009]_x000D_
[KEY_FIGURES].[].[INDEPENDENTDEMAND]_x000D_
[LOCID].[].[7K10]_x000D_
[PRDID].[].[10001010]_x000D_
[KEY_FIGURES].[].[ZCONSENSUSDEMANDQTY]_x000D_
[LOCID].[].[7K10]_x000D_
[PRDID].[].[10001010]_x000D_
[KEY_FIGURES].[].[ZINPUTSOFC]_x000D_
[LOCID].[].[7K10]_x000D_
[PRDID].[].[10001010]_x000D_
[KEY_FIGURES].[].[ZFORECASTOPENOUTPUT]_x000D_
[LOCID].[].[7K10]_x000D_
[PRDID].[].[10001010]_x000D_
[KEY_FIGURES].[].[ZACTUALSALES]_x000D_
[LOCID].[].[7K10]_x000D_
[PRDID].[].[10001010]_x000D_
[KEY_FIGURES].[].[ZCONSENSUSDEMAND]_x000D_
[LOCID].[].[7K10]_x000D_
[PRDID].[].[10001010]_x000D_
[KEY_FIGURES].[].[INDEPENDENTDEMAND]_x000D_
[LOCID].[].[7K10]_x000D_
[PRDID].[].[10001011]_x000D_
[KEY_FIGURES].[].[ZCONSENSUSDEMANDQTY]_x000D_
[LOCID].[].[7K10]_x000D_
[PRDID].[].[10001011]_x000D_
[KEY_FIGURES].[].[ZINPUTSOFC]_x000D_
[LOCID].[].[7K10]_x000D_
[PRDID].[].[10001011]_x000D_
[KEY_FIGURES].[].[ZFORECASTOPENOUTPUT]_x000D_
[LOCID].[].[7K10]_x000D_
[PRDID].[].[10001011]_x000D_
[KEY_FIGURES].[].[ZACTUALSALES]_x000D_
[LOCID].[].[7K10]_x000D_
[PRDID].[].[10001011]_x000D_
[KEY_FIGURES].[].[ZCONSENSUSDEMAND]_x000D_
[LOCID].[].[7K10]_x000D_
[PRDID].[].[10001011]_x000D_
[KEY_FIGURES].[].[INDEPENDENTDEMAND]_x000D_
[LOCID].[].[7K10]_x000D_
[PRDID].[].[10001012]_x000D_
[KEY_FIGURES].[].[ZCONSENSUSDEMANDQTY]_x000D_
[LOCID].[].[7K10]_x000D_
[PRDID].[].[10001012]_x000D_
[KEY_FIGURES].[].[ZINPUTSOFC]_x000D_
[LOCID].[].[7K10]_x000D_
[PRDID].[].[10001012]_x000D_
[KEY_FIGURES].[].[ZFORECASTOPENOUTPUT]_x000D_
[LOCID].[].[7K10]_x000D_
[PRDID].[].[10001012]_x000D_
[KEY_FIGURES].[].[ZACTUALSALES]_x000D_
[LOCID].[].[7K10]_x000D_
[PRDID].[].[10001012]_x000D_
[KEY_FIGURES].[].[ZCONSENSUSDEMAND]_x000D_
[LOCID].[].[7K10]_x000D_
[PRDID].[].[10001012]_x000D_
[KEY_FIGURES].[].[INDEPENDENTDEMAND]_x000D_
[LOCID].[].[7K10]_x000D_
[PRDID].[].[10001013]_x000D_
[KEY_FIGURES].[].[ZCONSENSUSDEMANDQTY]_x000D_
[LOCID].[].[7K10]_x000D_
[PRDID].[].[10001013]_x000D_
[KEY_FIGURES].[].[ZINPUTSOFC]</t>
  </si>
  <si>
    <t>[LOCID].[].[7K10]_x000D_
[PRDID].[].[10001013]_x000D_
[KEY_FIGURES].[].[ZFORECASTOPENOUTPUT]_x000D_
[LOCID].[].[7K10]_x000D_
[PRDID].[].[10001013]_x000D_
[KEY_FIGURES].[].[ZACTUALSALES]_x000D_
[LOCID].[].[7K10]_x000D_
[PRDID].[].[10001013]_x000D_
[KEY_FIGURES].[].[ZCONSENSUSDEMAND]_x000D_
[LOCID].[].[7K10]_x000D_
[PRDID].[].[10001013]_x000D_
[KEY_FIGURES].[].[INDEPENDENTDEMAND]_x000D_
[LOCID].[].[7K10]_x000D_
[PRDID].[].[10001014]_x000D_
[KEY_FIGURES].[].[ZCONSENSUSDEMANDQTY]_x000D_
[LOCID].[].[7K10]_x000D_
[PRDID].[].[10001014]_x000D_
[KEY_FIGURES].[].[ZINPUTSOFC]_x000D_
[LOCID].[].[7K10]_x000D_
[PRDID].[].[10001014]_x000D_
[KEY_FIGURES].[].[ZFORECASTOPENOUTPUT]_x000D_
[LOCID].[].[7K10]_x000D_
[PRDID].[].[10001014]_x000D_
[KEY_FIGURES].[].[ZACTUALSALES]_x000D_
[LOCID].[].[7K10]_x000D_
[PRDID].[].[10001014]_x000D_
[KEY_FIGURES].[].[ZCONSENSUSDEMAND]_x000D_
[LOCID].[].[7K10]_x000D_
[PRDID].[].[10001014]_x000D_
[KEY_FIGURES].[].[INDEPENDENTDEMAND]_x000D_
[LOCID].[].[7K10]_x000D_
[PRDID].[].[10001015]_x000D_
[KEY_FIGURES].[].[ZCONSENSUSDEMANDQTY]_x000D_
[LOCID].[].[7K10]_x000D_
[PRDID].[].[10001015]_x000D_
[KEY_FIGURES].[].[ZINPUTSOFC]_x000D_
[LOCID].[].[7K10]_x000D_
[PRDID].[].[10001015]_x000D_
[KEY_FIGURES].[].[ZFORECASTOPENOUTPUT]_x000D_
[LOCID].[].[7K10]_x000D_
[PRDID].[].[10001015]_x000D_
[KEY_FIGURES].[].[ZACTUALSALES]_x000D_
[LOCID].[].[7K10]_x000D_
[PRDID].[].[10001015]_x000D_
[KEY_FIGURES].[].[ZCONSENSUSDEMAND]_x000D_
[LOCID].[].[7K10]_x000D_
[PRDID].[].[10001015]_x000D_
[KEY_FIGURES].[].[INDEPENDENTDEMAND]_x000D_
[LOCID].[].[7K10]_x000D_
[PRDID].[].[10001016]_x000D_
[KEY_FIGURES].[].[ZCONSENSUSDEMANDQTY]_x000D_
[LOCID].[].[7K10]_x000D_
[PRDID].[].[10001016]_x000D_
[KEY_FIGURES].[].[ZINPUTSOFC]_x000D_
[LOCID].[].[7K10]_x000D_
[PRDID].[].[10001016]_x000D_
[KEY_FIGURES].[].[ZFORECASTOPENOUTPUT]_x000D_
[LOCID].[].[7K10]_x000D_
[PRDID].[].[10001016]_x000D_
[KEY_FIGURES].[].[ZACTUALSALES]_x000D_
[LOCID].[].[7K10]_x000D_
[PRDID].[].[10001016]_x000D_
[KEY_FIGURES].[].[ZCONSENSUSDEMAND]_x000D_
[LOCID].[].[7K10]_x000D_
[PRDID].[].[10001016]_x000D_
[KEY_FIGURES].[].[INDEPENDENTDEMAND]_x000D_
[LOCID].[].[7K10]_x000D_
[PRDID].[].[10001017]_x000D_
[KEY_FIGURES].[].[ZCONSENSUSDEMANDQTY]_x000D_
[LOCID].[].[7K10]_x000D_
[PRDID].[].[10001017]_x000D_
[KEY_FIGURES].[].[ZINPUTSOFC]_x000D_
[LOCID].[].[7K10]_x000D_
[PRDID].[].[10001017]_x000D_
[KEY_FIGURES].[].[ZFORECASTOPENOUTPUT]_x000D_
[LOCID].[].[7K10]_x000D_
[PRDID].[].[10001017]_x000D_
[KEY_FIGURES].[].[ZACTUALSALES]_x000D_
[LOCID].[].[7K10]_x000D_
[PRDID].[].[10001017]_x000D_
[KEY_FIGURES].[].[ZCONSENSUSDEMAND]_x000D_
[LOCID].[].[7K10]_x000D_
[PRDID].[].[10001017]_x000D_
[KEY_FIGURES].[].[INDEPENDENTDEMAND]_x000D_
[LOCID].[].[7K10]_x000D_
[PRDID].[].[10001019]_x000D_
[KEY_FIGURES].[].[ZCONSENSUSDEMANDQTY]_x000D_
[LOCID].[].[7K10]_x000D_
[PRDID].[].[10001019]_x000D_
[KEY_FIGURES].[].[ZINPUTSOFC]_x000D_
[LOCID].[].[7K10]_x000D_
[PRDID].[].[10001019]_x000D_
[KEY_FIGURES].[].[ZFORECASTOPENOUTPUT]_x000D_
[LOCID].[].[7K10]_x000D_
[PRDID].[].[10001019]_x000D_
[KEY_FIGURES].[].[ZACTUALSALES]_x000D_
[LOCID].[].[7K10]_x000D_
[PRDID].[].[10001019]_x000D_
[KEY_FIGURES].[].[ZCONSENSUSDEMAND]_x000D_
[LOCID].[].[7K10]_x000D_
[PRDID].[].[10001019]_x000D_
[KEY_FIGURES].[].[INDEPENDENTDEMAND]_x000D_
[LOCID].[].[7K10]_x000D_
[PRDID].[].[10001020]_x000D_
[KEY_FIGURES].[].[ZCONSENSUSDEMANDQTY]_x000D_
[LOCID].[].[7K10]_x000D_
[PRDID].[].[10001020]_x000D_
[KEY_FIGURES].[].[ZINPUTSOFC]_x000D_
[LOCID].[].[7K10]_x000D_
[PRDID].[].[10001020]_x000D_
[KEY_FIGURES].[].[ZFORECASTOPENOUTPUT]_x000D_
[LOCID].[].[7K10]_x000D_
[PRDID].[].[10001020]_x000D_
[KEY_FIGURES].[].[ZACTUALSALES]_x000D_
[LOCID].[].[7K10]_x000D_
[PRDID].[].[10001020]_x000D_
[KEY_FIGURES].[].[ZCONSENSUSDEMAND]_x000D_
[LOCID].[].[7K10]_x000D_
[PRDID].[].[10001020]_x000D_
[KEY_FIGURES].[].[INDEPENDENTDEMAND]_x000D_
[LOCID].[].[7K10]_x000D_
[PRDID].[].[10001021]_x000D_
[KEY_FIGURES].[].[ZCONSENSUSDEMANDQTY]_x000D_
[LOCID].[].[7K10]_x000D_
[PRDID].[].[10001021]_x000D_
[KEY_FIGURES].[].[ZINPUTSOFC]_x000D_
[LOCID].[].[7K10]_x000D_
[PRDID].[].[10001021]_x000D_
[KEY_FIGURES].[].[ZFORECASTOPENOUTPUT]_x000D_
[LOCID].[].[7K10]_x000D_
[PRDID].[].[10001021]_x000D_
[KEY_FIGURES].[].[ZACTUALSALES]_x000D_
[LOCID].[].[7K10]_x000D_
[PRDID].[].[10001021]_x000D_
[KEY_FIGURES].[].[ZCONSENSUSDEMAND]_x000D_
[LOCID].[].[7K10]_x000D_
[PRDID].[].[10001021]_x000D_
[KEY_FIGURES].[].[INDEPENDENTDEMAND]_x000D_
[LOCID].[].[7K10]_x000D_
[PRDID].[].[10001022]_x000D_
[KEY_FIGURES].[].[ZCONSENSUSDEMANDQTY]_x000D_
[LOCID].[].[7K10]_x000D_
[PRDID].[].[10001022]_x000D_
[KEY_FIGURES].[].[ZINPUTSOFC]_x000D_
[LOCID].[].[7K10]_x000D_
[PRDID].[].[10001022]_x000D_
[KEY_FIGURES].[].[ZFORECASTOPENOUTPUT]_x000D_
[LOCID].[].[7K10]_x000D_
[PRDID].[].[10001022]_x000D_
[KEY_FIGURES].[].[ZACTUALSALES]_x000D_
[LOCID].[].[7K10]_x000D_
[PRDID].[].[10001022]_x000D_
[KEY_FIGURES].[].[ZCONSENSUSDEMAND]_x000D_
[LOCID].[].[7K10]_x000D_
[PRDID].[].[10001022]_x000D_
[KEY_FIGURES].[].[INDEPENDENTDEMAND]_x000D_
[LOCID].[].[7K10]_x000D_
[PRDID].[].[10001023]_x000D_
[KEY_FIGURES].[].[ZCONSENSUSDEMANDQTY]_x000D_
[LOCID].[].[7K10]_x000D_
[PRDID].[].[10001023]_x000D_
[KEY_FIGURES].[].[ZINPUTSOFC]_x000D_
[LOCID].[].[7K10]_x000D_
[PRDID].[].[10001023]_x000D_
[KEY_FIGURES].[].[ZFORECASTOPENOUTPUT]_x000D_
[LOCID].[].[7K10]_x000D_
[PRDID].[].[10001023]_x000D_
[KEY_FIGURES].[].[ZACTUALSALES]_x000D_
[LOCID].[].[7K10]_x000D_
[PRDID].[].[10001023]_x000D_
[KEY_FIGURES].[].[ZCONSENSUSDEMAND]_x000D_
[LOCID].[].[7K10]_x000D_
[PRDID].[].[10001023]_x000D_
[KEY_FIGURES].[].[INDEPENDENTDEMAND]_x000D_
[LOCID].[].[7K10]_x000D_
[PRDID].[].[10001025]_x000D_
[KEY_FIGURES].[].[ZCONSENSUSDEMANDQTY]_x000D_
[LOCID].[].[7K10]_x000D_
[PRDID].[].[10001025]_x000D_
[KEY_FIGURES].[].[ZINPUTSOFC]_x000D_
[LOCID].[].[7K10]_x000D_
[PRDID].[].[10001025]_x000D_
[KEY_FIGURES].[].[ZFORECASTOPENOUTPUT]_x000D_
[LOCID].[].[7K10]_x000D_
[PRDID].[].[10001025]_x000D_
[KEY_FIGURES].[].[ZACTUALSALES]_x000D_
[LOCID].[].[7K10]_x000D_
[PRDID].[].[10001025]_x000D_
[KEY_FIGURES].[].[ZCONSENSUSDEMAND]_x000D_
[LOCID].[].[7K10]_x000D_
[PRDID].[].[10001025]_x000D_
[KEY_FIGURES].[].[INDEPENDENTDEMAND]_x000D_
[LOCID].[].[7K10]_x000D_
[PRDID].[].[10001028]_x000D_
[KEY_FIGURES].[].[ZCONSENSUSDEMANDQTY]_x000D_
[LOCID].[].[7K10]_x000D_
[PRDID].[].[10001028]_x000D_
[KEY_FIGURES].[].[ZINPUTSOFC]_x000D_
[LOCID].[].[7K10]_x000D_
[PRDID].[].[10001028]</t>
  </si>
  <si>
    <t>[KEY_FIGURES].[].[ZFORECASTOPENOUTPUT]_x000D_
[LOCID].[].[7K10]_x000D_
[PRDID].[].[10001028]_x000D_
[KEY_FIGURES].[].[ZACTUALSALES]_x000D_
[LOCID].[].[7K10]_x000D_
[PRDID].[].[10001028]_x000D_
[KEY_FIGURES].[].[ZCONSENSUSDEMAND]_x000D_
[LOCID].[].[7K10]_x000D_
[PRDID].[].[10001028]_x000D_
[KEY_FIGURES].[].[INDEPENDENTDEMAND]_x000D_
[LOCID].[].[7K10]_x000D_
[PRDID].[].[10001029]_x000D_
[KEY_FIGURES].[].[ZCONSENSUSDEMANDQTY]_x000D_
[LOCID].[].[7K10]_x000D_
[PRDID].[].[10001029]_x000D_
[KEY_FIGURES].[].[ZINPUTSOFC]_x000D_
[LOCID].[].[7K10]_x000D_
[PRDID].[].[10001029]_x000D_
[KEY_FIGURES].[].[ZFORECASTOPENOUTPUT]_x000D_
[LOCID].[].[7K10]_x000D_
[PRDID].[].[10001029]_x000D_
[KEY_FIGURES].[].[ZACTUALSALES]_x000D_
[LOCID].[].[7K10]_x000D_
[PRDID].[].[10001029]_x000D_
[KEY_FIGURES].[].[ZCONSENSUSDEMAND]_x000D_
[LOCID].[].[7K10]_x000D_
[PRDID].[].[10001029]_x000D_
[KEY_FIGURES].[].[INDEPENDENTDEMAND]_x000D_
[LOCID].[].[7K10]_x000D_
[PRDID].[].[10001030]_x000D_
[KEY_FIGURES].[].[ZCONSENSUSDEMANDQTY]_x000D_
[LOCID].[].[7K10]_x000D_
[PRDID].[].[10001030]_x000D_
[KEY_FIGURES].[].[ZINPUTSOFC]_x000D_
[LOCID].[].[7K10]_x000D_
[PRDID].[].[10001030]_x000D_
[KEY_FIGURES].[].[ZFORECASTOPENOUTPUT]_x000D_
[LOCID].[].[7K10]_x000D_
[PRDID].[].[10001030]_x000D_
[KEY_FIGURES].[].[ZACTUALSALES]_x000D_
[LOCID].[].[7K10]_x000D_
[PRDID].[].[10001030]_x000D_
[KEY_FIGURES].[].[ZCONSENSUSDEMAND]_x000D_
[LOCID].[].[7K10]_x000D_
[PRDID].[].[10001030]_x000D_
[KEY_FIGURES].[].[INDEPENDENTDEMAND]_x000D_
[LOCID].[].[7K10]_x000D_
[PRDID].[].[10001031]_x000D_
[KEY_FIGURES].[].[ZCONSENSUSDEMANDQTY]_x000D_
[LOCID].[].[7K10]_x000D_
[PRDID].[].[10001031]_x000D_
[KEY_FIGURES].[].[ZINPUTSOFC]_x000D_
[LOCID].[].[7K10]_x000D_
[PRDID].[].[10001031]_x000D_
[KEY_FIGURES].[].[ZFORECASTOPENOUTPUT]_x000D_
[LOCID].[].[7K10]_x000D_
[PRDID].[].[10001031]_x000D_
[KEY_FIGURES].[].[ZACTUALSALES]_x000D_
[LOCID].[].[7K10]_x000D_
[PRDID].[].[10001031]_x000D_
[KEY_FIGURES].[].[ZCONSENSUSDEMAND]_x000D_
[LOCID].[].[7K10]_x000D_
[PRDID].[].[10001031]_x000D_
[KEY_FIGURES].[].[INDEPENDENTDEMAND]_x000D_
[LOCID].[].[7K10]_x000D_
[PRDID].[].[10001032]_x000D_
[KEY_FIGURES].[].[ZCONSENSUSDEMANDQTY]_x000D_
[LOCID].[].[7K10]_x000D_
[PRDID].[].[10001032]_x000D_
[KEY_FIGURES].[].[ZINPUTSOFC]_x000D_
[LOCID].[].[7K10]_x000D_
[PRDID].[].[10001032]_x000D_
[KEY_FIGURES].[].[ZFORECASTOPENOUTPUT]_x000D_
[LOCID].[].[7K10]_x000D_
[PRDID].[].[10001032]_x000D_
[KEY_FIGURES].[].[ZACTUALSALES]_x000D_
[LOCID].[].[7K10]_x000D_
[PRDID].[].[10001032]_x000D_
[KEY_FIGURES].[].[ZCONSENSUSDEMAND]_x000D_
[LOCID].[].[7K10]_x000D_
[PRDID].[].[10001032]_x000D_
[KEY_FIGURES].[].[INDEPENDENTDEMAND]_x000D_
[LOCID].[].[7K10]_x000D_
[PRDID].[].[10001033]_x000D_
[KEY_FIGURES].[].[ZCONSENSUSDEMANDQTY]_x000D_
[LOCID].[].[7K10]_x000D_
[PRDID].[].[10001033]_x000D_
[KEY_FIGURES].[].[ZINPUTSOFC]_x000D_
[LOCID].[].[7K10]_x000D_
[PRDID].[].[10001033]_x000D_
[KEY_FIGURES].[].[ZFORECASTOPENOUTPUT]_x000D_
[LOCID].[].[7K10]_x000D_
[PRDID].[].[10001033]_x000D_
[KEY_FIGURES].[].[ZACTUALSALES]_x000D_
[LOCID].[].[7K10]_x000D_
[PRDID].[].[10001033]_x000D_
[KEY_FIGURES].[].[ZCONSENSUSDEMAND]_x000D_
[LOCID].[].[7K10]_x000D_
[PRDID].[].[10001033]_x000D_
[KEY_FIGURES].[].[INDEPENDENTDEMAND]_x000D_
[LOCID].[].[7K10]_x000D_
[PRDID].[].[10001034]_x000D_
[KEY_FIGURES].[].[ZCONSENSUSDEMANDQTY]_x000D_
[LOCID].[].[7K10]_x000D_
[PRDID].[].[10001034]_x000D_
[KEY_FIGURES].[].[ZINPUTSOFC]_x000D_
[LOCID].[].[7K10]_x000D_
[PRDID].[].[10001034]_x000D_
[KEY_FIGURES].[].[ZFORECASTOPENOUTPUT]_x000D_
[LOCID].[].[7K10]_x000D_
[PRDID].[].[10001034]_x000D_
[KEY_FIGURES].[].[ZACTUALSALES]_x000D_
[LOCID].[].[7K10]_x000D_
[PRDID].[].[10001034]_x000D_
[KEY_FIGURES].[].[ZCONSENSUSDEMAND]_x000D_
[LOCID].[].[7K10]_x000D_
[PRDID].[].[10001034]_x000D_
[KEY_FIGURES].[].[INDEPENDENTDEMAND]_x000D_
[LOCID].[].[7K10]_x000D_
[PRDID].[].[10001035]_x000D_
[KEY_FIGURES].[].[ZCONSENSUSDEMANDQTY]_x000D_
[LOCID].[].[7K10]_x000D_
[PRDID].[].[10001035]_x000D_
[KEY_FIGURES].[].[ZINPUTSOFC]_x000D_
[LOCID].[].[7K10]_x000D_
[PRDID].[].[10001035]_x000D_
[KEY_FIGURES].[].[ZFORECASTOPENOUTPUT]_x000D_
[LOCID].[].[7K10]_x000D_
[PRDID].[].[10001035]_x000D_
[KEY_FIGURES].[].[ZACTUALSALES]_x000D_
[LOCID].[].[7K10]_x000D_
[PRDID].[].[10001035]_x000D_
[KEY_FIGURES].[].[ZCONSENSUSDEMAND]_x000D_
[LOCID].[].[7K10]_x000D_
[PRDID].[].[10001035]_x000D_
[KEY_FIGURES].[].[INDEPENDENTDEMAND]_x000D_
[LOCID].[].[7K10]_x000D_
[PRDID].[].[10001036]_x000D_
[KEY_FIGURES].[].[ZCONSENSUSDEMANDQTY]_x000D_
[LOCID].[].[7K10]_x000D_
[PRDID].[].[10001036]_x000D_
[KEY_FIGURES].[].[ZINPUTSOFC]_x000D_
[LOCID].[].[7K10]_x000D_
[PRDID].[].[10001036]_x000D_
[KEY_FIGURES].[].[ZFORECASTOPENOUTPUT]_x000D_
[LOCID].[].[7K10]_x000D_
[PRDID].[].[10001036]_x000D_
[KEY_FIGURES].[].[ZACTUALSALES]_x000D_
[LOCID].[].[7K10]_x000D_
[PRDID].[].[10001036]_x000D_
[KEY_FIGURES].[].[ZCONSENSUSDEMAND]_x000D_
[LOCID].[].[7K10]_x000D_
[PRDID].[].[10001036]_x000D_
[KEY_FIGURES].[].[INDEPENDENTDEMAND]_x000D_
[LOCID].[].[7K10]_x000D_
[PRDID].[].[10001037]_x000D_
[KEY_FIGURES].[].[ZCONSENSUSDEMANDQTY]_x000D_
[LOCID].[].[7K10]_x000D_
[PRDID].[].[10001037]_x000D_
[KEY_FIGURES].[].[ZINPUTSOFC]_x000D_
[LOCID].[].[7K10]_x000D_
[PRDID].[].[10001037]_x000D_
[KEY_FIGURES].[].[ZFORECASTOPENOUTPUT]_x000D_
[LOCID].[].[7K10]_x000D_
[PRDID].[].[10001037]_x000D_
[KEY_FIGURES].[].[ZACTUALSALES]_x000D_
[LOCID].[].[7K10]_x000D_
[PRDID].[].[10001037]_x000D_
[KEY_FIGURES].[].[ZCONSENSUSDEMAND]_x000D_
[LOCID].[].[7K10]_x000D_
[PRDID].[].[10001037]_x000D_
[KEY_FIGURES].[].[INDEPENDENTDEMAND]_x000D_
[LOCID].[].[7K10]_x000D_
[PRDID].[].[10001038]_x000D_
[KEY_FIGURES].[].[ZCONSENSUSDEMANDQTY]_x000D_
[LOCID].[].[7K10]_x000D_
[PRDID].[].[10001038]_x000D_
[KEY_FIGURES].[].[ZINPUTSOFC]_x000D_
[LOCID].[].[7K10]_x000D_
[PRDID].[].[10001038]_x000D_
[KEY_FIGURES].[].[ZFORECASTOPENOUTPUT]_x000D_
[LOCID].[].[7K10]_x000D_
[PRDID].[].[10001038]_x000D_
[KEY_FIGURES].[].[ZACTUALSALES]_x000D_
[LOCID].[].[7K10]_x000D_
[PRDID].[].[10001038]_x000D_
[KEY_FIGURES].[].[ZCONSENSUSDEMAND]_x000D_
[LOCID].[].[7K10]_x000D_
[PRDID].[].[10001038]_x000D_
[KEY_FIGURES].[].[INDEPENDENTDEMAND]_x000D_
[LOCID].[].[7K10]_x000D_
[PRDID].[].[10001039]_x000D_
[KEY_FIGURES].[].[ZCONSENSUSDEMANDQTY]_x000D_
[LOCID].[].[7K10]_x000D_
[PRDID].[].[10001039]_x000D_
[KEY_FIGURES].[].[ZINPUTSOFC]_x000D_
[LOCID].[].[7K10]_x000D_
[PRDID].[].[10001039]_x000D_
[KEY_FIGURES].[].[ZFORECASTOPENOUTPUT]_x000D_
[LOCID].[].[7K10]</t>
  </si>
  <si>
    <t>[PRDID].[].[10001039]_x000D_
[KEY_FIGURES].[].[ZACTUALSALES]_x000D_
[LOCID].[].[7K10]_x000D_
[PRDID].[].[10001039]_x000D_
[KEY_FIGURES].[].[ZCONSENSUSDEMAND]_x000D_
[LOCID].[].[7K10]_x000D_
[PRDID].[].[10001039]_x000D_
[KEY_FIGURES].[].[INDEPENDENTDEMAND]_x000D_
[LOCID].[].[7K10]_x000D_
[PRDID].[].[10001040]_x000D_
[KEY_FIGURES].[].[ZCONSENSUSDEMANDQTY]_x000D_
[LOCID].[].[7K10]_x000D_
[PRDID].[].[10001040]_x000D_
[KEY_FIGURES].[].[ZINPUTSOFC]_x000D_
[LOCID].[].[7K10]_x000D_
[PRDID].[].[10001040]_x000D_
[KEY_FIGURES].[].[ZFORECASTOPENOUTPUT]_x000D_
[LOCID].[].[7K10]_x000D_
[PRDID].[].[10001040]_x000D_
[KEY_FIGURES].[].[ZACTUALSALES]_x000D_
[LOCID].[].[7K10]_x000D_
[PRDID].[].[10001040]_x000D_
[KEY_FIGURES].[].[ZCONSENSUSDEMAND]_x000D_
[LOCID].[].[7K10]_x000D_
[PRDID].[].[10001040]_x000D_
[KEY_FIGURES].[].[INDEPENDENTDEMAND]_x000D_
[LOCID].[].[7K10]_x000D_
[PRDID].[].[10001041]_x000D_
[KEY_FIGURES].[].[ZCONSENSUSDEMANDQTY]_x000D_
[LOCID].[].[7K10]_x000D_
[PRDID].[].[10001041]_x000D_
[KEY_FIGURES].[].[ZINPUTSOFC]_x000D_
[LOCID].[].[7K10]_x000D_
[PRDID].[].[10001041]_x000D_
[KEY_FIGURES].[].[ZFORECASTOPENOUTPUT]_x000D_
[LOCID].[].[7K10]_x000D_
[PRDID].[].[10001041]_x000D_
[KEY_FIGURES].[].[ZACTUALSALES]_x000D_
[LOCID].[].[7K10]_x000D_
[PRDID].[].[10001041]_x000D_
[KEY_FIGURES].[].[ZCONSENSUSDEMAND]_x000D_
[LOCID].[].[7K10]_x000D_
[PRDID].[].[10001041]_x000D_
[KEY_FIGURES].[].[INDEPENDENTDEMAND]_x000D_
[LOCID].[].[7K10]_x000D_
[PRDID].[].[10001042]_x000D_
[KEY_FIGURES].[].[ZCONSENSUSDEMANDQTY]_x000D_
[LOCID].[].[7K10]_x000D_
[PRDID].[].[10001042]_x000D_
[KEY_FIGURES].[].[ZINPUTSOFC]_x000D_
[LOCID].[].[7K10]_x000D_
[PRDID].[].[10001042]_x000D_
[KEY_FIGURES].[].[ZFORECASTOPENOUTPUT]_x000D_
[LOCID].[].[7K10]_x000D_
[PRDID].[].[10001042]_x000D_
[KEY_FIGURES].[].[ZACTUALSALES]_x000D_
[LOCID].[].[7K10]_x000D_
[PRDID].[].[10001042]_x000D_
[KEY_FIGURES].[].[ZCONSENSUSDEMAND]_x000D_
[LOCID].[].[7K10]_x000D_
[PRDID].[].[10001042]_x000D_
[KEY_FIGURES].[].[INDEPENDENTDEMAND]_x000D_
[LOCID].[].[7K10]_x000D_
[PRDID].[].[10001043]_x000D_
[KEY_FIGURES].[].[ZCONSENSUSDEMANDQTY]_x000D_
[LOCID].[].[7K10]_x000D_
[PRDID].[].[10001043]_x000D_
[KEY_FIGURES].[].[ZINPUTSOFC]_x000D_
[LOCID].[].[7K10]_x000D_
[PRDID].[].[10001043]_x000D_
[KEY_FIGURES].[].[ZFORECASTOPENOUTPUT]_x000D_
[LOCID].[].[7K10]_x000D_
[PRDID].[].[10001043]_x000D_
[KEY_FIGURES].[].[ZACTUALSALES]_x000D_
[LOCID].[].[7K10]_x000D_
[PRDID].[].[10001043]_x000D_
[KEY_FIGURES].[].[ZCONSENSUSDEMAND]_x000D_
[LOCID].[].[7K10]_x000D_
[PRDID].[].[10001043]_x000D_
[KEY_FIGURES].[].[INDEPENDENTDEMAND]_x000D_
[LOCID].[].[7K10]_x000D_
[PRDID].[].[10001044]_x000D_
[KEY_FIGURES].[].[ZCONSENSUSDEMANDQTY]_x000D_
[LOCID].[].[7K10]_x000D_
[PRDID].[].[10001044]_x000D_
[KEY_FIGURES].[].[ZINPUTSOFC]_x000D_
[LOCID].[].[7K10]_x000D_
[PRDID].[].[10001044]_x000D_
[KEY_FIGURES].[].[ZFORECASTOPENOUTPUT]_x000D_
[LOCID].[].[7K10]_x000D_
[PRDID].[].[10001044]_x000D_
[KEY_FIGURES].[].[ZACTUALSALES]_x000D_
[LOCID].[].[7K10]_x000D_
[PRDID].[].[10001044]_x000D_
[KEY_FIGURES].[].[ZCONSENSUSDEMAND]_x000D_
[LOCID].[].[7K10]_x000D_
[PRDID].[].[10001044]_x000D_
[KEY_FIGURES].[].[INDEPENDENTDEMAND]_x000D_
[LOCID].[].[7K10]_x000D_
[PRDID].[].[10001045]_x000D_
[KEY_FIGURES].[].[ZCONSENSUSDEMANDQTY]_x000D_
[LOCID].[].[7K10]_x000D_
[PRDID].[].[10001045]_x000D_
[KEY_FIGURES].[].[ZINPUTSOFC]_x000D_
[LOCID].[].[7K10]_x000D_
[PRDID].[].[10001045]_x000D_
[KEY_FIGURES].[].[ZFORECASTOPENOUTPUT]_x000D_
[LOCID].[].[7K10]_x000D_
[PRDID].[].[10001045]_x000D_
[KEY_FIGURES].[].[ZACTUALSALES]_x000D_
[LOCID].[].[7K10]_x000D_
[PRDID].[].[10001045]_x000D_
[KEY_FIGURES].[].[ZCONSENSUSDEMAND]_x000D_
[LOCID].[].[7K10]_x000D_
[PRDID].[].[10001045]_x000D_
[KEY_FIGURES].[].[INDEPENDENTDEMAND]_x000D_
[LOCID].[].[7K10]_x000D_
[PRDID].[].[10001046]_x000D_
[KEY_FIGURES].[].[ZCONSENSUSDEMANDQTY]_x000D_
[LOCID].[].[7K10]_x000D_
[PRDID].[].[10001046]_x000D_
[KEY_FIGURES].[].[ZINPUTSOFC]_x000D_
[LOCID].[].[7K10]_x000D_
[PRDID].[].[10001046]_x000D_
[KEY_FIGURES].[].[ZFORECASTOPENOUTPUT]_x000D_
[LOCID].[].[7K10]_x000D_
[PRDID].[].[10001046]_x000D_
[KEY_FIGURES].[].[ZACTUALSALES]_x000D_
[LOCID].[].[7K10]_x000D_
[PRDID].[].[10001046]_x000D_
[KEY_FIGURES].[].[ZCONSENSUSDEMAND]_x000D_
[LOCID].[].[7K10]_x000D_
[PRDID].[].[10001046]_x000D_
[KEY_FIGURES].[].[INDEPENDENTDEMAND]_x000D_
[LOCID].[].[7K10]_x000D_
[PRDID].[].[10001047]_x000D_
[KEY_FIGURES].[].[ZCONSENSUSDEMANDQTY]_x000D_
[LOCID].[].[7K10]_x000D_
[PRDID].[].[10001047]_x000D_
[KEY_FIGURES].[].[ZINPUTSOFC]_x000D_
[LOCID].[].[7K10]_x000D_
[PRDID].[].[10001047]_x000D_
[KEY_FIGURES].[].[ZFORECASTOPENOUTPUT]_x000D_
[LOCID].[].[7K10]_x000D_
[PRDID].[].[10001047]_x000D_
[KEY_FIGURES].[].[ZACTUALSALES]_x000D_
[LOCID].[].[7K10]_x000D_
[PRDID].[].[10001047]_x000D_
[KEY_FIGURES].[].[ZCONSENSUSDEMAND]_x000D_
[LOCID].[].[7K10]_x000D_
[PRDID].[].[10001047]_x000D_
[KEY_FIGURES].[].[INDEPENDENTDEMAND]_x000D_
[LOCID].[].[7K10]_x000D_
[PRDID].[].[10001048]_x000D_
[KEY_FIGURES].[].[ZCONSENSUSDEMANDQTY]_x000D_
[LOCID].[].[7K10]_x000D_
[PRDID].[].[10001048]_x000D_
[KEY_FIGURES].[].[ZINPUTSOFC]_x000D_
[LOCID].[].[7K10]_x000D_
[PRDID].[].[10001048]_x000D_
[KEY_FIGURES].[].[ZFORECASTOPENOUTPUT]_x000D_
[LOCID].[].[7K10]_x000D_
[PRDID].[].[10001048]_x000D_
[KEY_FIGURES].[].[ZACTUALSALES]_x000D_
[LOCID].[].[7K10]_x000D_
[PRDID].[].[10001048]_x000D_
[KEY_FIGURES].[].[ZCONSENSUSDEMAND]_x000D_
[LOCID].[].[7K10]_x000D_
[PRDID].[].[10001048]_x000D_
[KEY_FIGURES].[].[INDEPENDENTDEMAND]_x000D_
[LOCID].[].[7K10]_x000D_
[PRDID].[].[10001049]_x000D_
[KEY_FIGURES].[].[ZCONSENSUSDEMANDQTY]_x000D_
[LOCID].[].[7K10]_x000D_
[PRDID].[].[10001049]_x000D_
[KEY_FIGURES].[].[ZINPUTSOFC]_x000D_
[LOCID].[].[7K10]_x000D_
[PRDID].[].[10001049]_x000D_
[KEY_FIGURES].[].[ZFORECASTOPENOUTPUT]_x000D_
[LOCID].[].[7K10]_x000D_
[PRDID].[].[10001049]_x000D_
[KEY_FIGURES].[].[ZACTUALSALES]_x000D_
[LOCID].[].[7K10]_x000D_
[PRDID].[].[10001049]_x000D_
[KEY_FIGURES].[].[ZCONSENSUSDEMAND]_x000D_
[LOCID].[].[7K10]_x000D_
[PRDID].[].[10001049]_x000D_
[KEY_FIGURES].[].[INDEPENDENTDEMAND]_x000D_
[LOCID].[].[7K10]_x000D_
[PRDID].[].[10001050]_x000D_
[KEY_FIGURES].[].[ZCONSENSUSDEMANDQTY]_x000D_
[LOCID].[].[7K10]_x000D_
[PRDID].[].[10001050]_x000D_
[KEY_FIGURES].[].[ZINPUTSOFC]_x000D_
[LOCID].[].[7K10]_x000D_
[PRDID].[].[10001050]_x000D_
[KEY_FIGURES].[].[ZFORECASTOPENOUTPUT]_x000D_
[LOCID].[].[7K10]_x000D_
[PRDID].[].[10001050]_x000D_
[KEY_FIGURES].[].[ZACTUALSALES]</t>
  </si>
  <si>
    <t>[LOCID].[].[7K10]_x000D_
[PRDID].[].[10001050]_x000D_
[KEY_FIGURES].[].[ZCONSENSUSDEMAND]_x000D_
[LOCID].[].[7K10]_x000D_
[PRDID].[].[10001050]_x000D_
[KEY_FIGURES].[].[INDEPENDENTDEMAND]_x000D_
[LOCID].[].[7K10]_x000D_
[PRDID].[].[10001051]_x000D_
[KEY_FIGURES].[].[ZCONSENSUSDEMANDQTY]_x000D_
[LOCID].[].[7K10]_x000D_
[PRDID].[].[10001051]_x000D_
[KEY_FIGURES].[].[ZINPUTSOFC]_x000D_
[LOCID].[].[7K10]_x000D_
[PRDID].[].[10001051]_x000D_
[KEY_FIGURES].[].[ZFORECASTOPENOUTPUT]_x000D_
[LOCID].[].[7K10]_x000D_
[PRDID].[].[10001051]_x000D_
[KEY_FIGURES].[].[ZACTUALSALES]_x000D_
[LOCID].[].[7K10]_x000D_
[PRDID].[].[10001051]_x000D_
[KEY_FIGURES].[].[ZCONSENSUSDEMAND]_x000D_
[LOCID].[].[7K10]_x000D_
[PRDID].[].[10001051]_x000D_
[KEY_FIGURES].[].[INDEPENDENTDEMAND]_x000D_
[LOCID].[].[7K10]_x000D_
[PRDID].[].[10001052]_x000D_
[KEY_FIGURES].[].[ZCONSENSUSDEMANDQTY]_x000D_
[LOCID].[].[7K10]_x000D_
[PRDID].[].[10001052]_x000D_
[KEY_FIGURES].[].[ZINPUTSOFC]_x000D_
[LOCID].[].[7K10]_x000D_
[PRDID].[].[10001052]_x000D_
[KEY_FIGURES].[].[ZFORECASTOPENOUTPUT]_x000D_
[LOCID].[].[7K10]_x000D_
[PRDID].[].[10001052]_x000D_
[KEY_FIGURES].[].[ZACTUALSALES]_x000D_
[LOCID].[].[7K10]_x000D_
[PRDID].[].[10001052]_x000D_
[KEY_FIGURES].[].[ZCONSENSUSDEMAND]_x000D_
[LOCID].[].[7K10]_x000D_
[PRDID].[].[10001052]_x000D_
[KEY_FIGURES].[].[INDEPENDENTDEMAND]_x000D_
[LOCID].[].[7K10]_x000D_
[PRDID].[].[10001053]_x000D_
[KEY_FIGURES].[].[ZCONSENSUSDEMANDQTY]_x000D_
[LOCID].[].[7K10]_x000D_
[PRDID].[].[10001053]_x000D_
[KEY_FIGURES].[].[ZINPUTSOFC]_x000D_
[LOCID].[].[7K10]_x000D_
[PRDID].[].[10001053]_x000D_
[KEY_FIGURES].[].[ZFORECASTOPENOUTPUT]_x000D_
[LOCID].[].[7K10]_x000D_
[PRDID].[].[10001053]_x000D_
[KEY_FIGURES].[].[ZACTUALSALES]_x000D_
[LOCID].[].[7K10]_x000D_
[PRDID].[].[10001053]_x000D_
[KEY_FIGURES].[].[ZCONSENSUSDEMAND]_x000D_
[LOCID].[].[7K10]_x000D_
[PRDID].[].[10001053]_x000D_
[KEY_FIGURES].[].[INDEPENDENTDEMAND]_x000D_
[LOCID].[].[7K10]_x000D_
[PRDID].[].[10001054]_x000D_
[KEY_FIGURES].[].[ZCONSENSUSDEMANDQTY]_x000D_
[LOCID].[].[7K10]_x000D_
[PRDID].[].[10001054]_x000D_
[KEY_FIGURES].[].[ZINPUTSOFC]_x000D_
[LOCID].[].[7K10]_x000D_
[PRDID].[].[10001054]_x000D_
[KEY_FIGURES].[].[ZFORECASTOPENOUTPUT]_x000D_
[LOCID].[].[7K10]_x000D_
[PRDID].[].[10001054]_x000D_
[KEY_FIGURES].[].[ZACTUALSALES]_x000D_
[LOCID].[].[7K10]_x000D_
[PRDID].[].[10001054]_x000D_
[KEY_FIGURES].[].[ZCONSENSUSDEMAND]_x000D_
[LOCID].[].[7K10]_x000D_
[PRDID].[].[10001054]_x000D_
[KEY_FIGURES].[].[INDEPENDENTDEMAND]_x000D_
[LOCID].[].[7K10]_x000D_
[PRDID].[].[10001055]_x000D_
[KEY_FIGURES].[].[ZCONSENSUSDEMANDQTY]_x000D_
[LOCID].[].[7K10]_x000D_
[PRDID].[].[10001055]_x000D_
[KEY_FIGURES].[].[ZINPUTSOFC]_x000D_
[LOCID].[].[7K10]_x000D_
[PRDID].[].[10001055]_x000D_
[KEY_FIGURES].[].[ZFORECASTOPENOUTPUT]_x000D_
[LOCID].[].[7K10]_x000D_
[PRDID].[].[10001055]_x000D_
[KEY_FIGURES].[].[ZACTUALSALES]_x000D_
[LOCID].[].[7K10]_x000D_
[PRDID].[].[10001055]_x000D_
[KEY_FIGURES].[].[ZCONSENSUSDEMAND]_x000D_
[LOCID].[].[7K10]_x000D_
[PRDID].[].[10001055]_x000D_
[KEY_FIGURES].[].[INDEPENDENTDEMAND]_x000D_
[LOCID].[].[7K10]_x000D_
[PRDID].[].[10001056]_x000D_
[KEY_FIGURES].[].[ZCONSENSUSDEMANDQTY]_x000D_
[LOCID].[].[7K10]_x000D_
[PRDID].[].[10001056]_x000D_
[KEY_FIGURES].[].[ZINPUTSOFC]_x000D_
[LOCID].[].[7K10]_x000D_
[PRDID].[].[10001056]_x000D_
[KEY_FIGURES].[].[ZFORECASTOPENOUTPUT]_x000D_
[LOCID].[].[7K10]_x000D_
[PRDID].[].[10001056]_x000D_
[KEY_FIGURES].[].[ZACTUALSALES]_x000D_
[LOCID].[].[7K10]_x000D_
[PRDID].[].[10001056]_x000D_
[KEY_FIGURES].[].[ZCONSENSUSDEMAND]_x000D_
[LOCID].[].[7K10]_x000D_
[PRDID].[].[10001056]_x000D_
[KEY_FIGURES].[].[INDEPENDENTDEMAND]_x000D_
[LOCID].[].[7K10]_x000D_
[PRDID].[].[10001060]_x000D_
[KEY_FIGURES].[].[ZCONSENSUSDEMANDQTY]_x000D_
[LOCID].[].[7K10]_x000D_
[PRDID].[].[10001060]_x000D_
[KEY_FIGURES].[].[ZINPUTSOFC]_x000D_
[LOCID].[].[7K10]_x000D_
[PRDID].[].[10001060]_x000D_
[KEY_FIGURES].[].[ZFORECASTOPENOUTPUT]_x000D_
[LOCID].[].[7K10]_x000D_
[PRDID].[].[10001060]_x000D_
[KEY_FIGURES].[].[ZACTUALSALES]_x000D_
[LOCID].[].[7K10]_x000D_
[PRDID].[].[10001060]_x000D_
[KEY_FIGURES].[].[ZCONSENSUSDEMAND]_x000D_
[LOCID].[].[7K10]_x000D_
[PRDID].[].[10001060]_x000D_
[KEY_FIGURES].[].[INDEPENDENTDEMAND]_x000D_
[LOCID].[].[7K10]_x000D_
[PRDID].[].[10001061]_x000D_
[KEY_FIGURES].[].[ZCONSENSUSDEMANDQTY]_x000D_
[LOCID].[].[7K10]_x000D_
[PRDID].[].[10001061]_x000D_
[KEY_FIGURES].[].[ZINPUTSOFC]_x000D_
[LOCID].[].[7K10]_x000D_
[PRDID].[].[10001061]_x000D_
[KEY_FIGURES].[].[ZFORECASTOPENOUTPUT]_x000D_
[LOCID].[].[7K10]_x000D_
[PRDID].[].[10001061]_x000D_
[KEY_FIGURES].[].[ZACTUALSALES]_x000D_
[LOCID].[].[7K10]_x000D_
[PRDID].[].[10001061]_x000D_
[KEY_FIGURES].[].[ZCONSENSUSDEMAND]_x000D_
[LOCID].[].[7K10]_x000D_
[PRDID].[].[10001061]_x000D_
[KEY_FIGURES].[].[INDEPENDENTDEMAND]_x000D_
[LOCID].[].[7K10]_x000D_
[PRDID].[].[10001062]_x000D_
[KEY_FIGURES].[].[ZCONSENSUSDEMANDQTY]_x000D_
[LOCID].[].[7K10]_x000D_
[PRDID].[].[10001062]_x000D_
[KEY_FIGURES].[].[ZINPUTSOFC]_x000D_
[LOCID].[].[7K10]_x000D_
[PRDID].[].[10001062]_x000D_
[KEY_FIGURES].[].[ZFORECASTOPENOUTPUT]_x000D_
[LOCID].[].[7K10]_x000D_
[PRDID].[].[10001062]_x000D_
[KEY_FIGURES].[].[ZACTUALSALES]_x000D_
[LOCID].[].[7K10]_x000D_
[PRDID].[].[10001062]_x000D_
[KEY_FIGURES].[].[ZCONSENSUSDEMAND]_x000D_
[LOCID].[].[7K10]_x000D_
[PRDID].[].[10001062]_x000D_
[KEY_FIGURES].[].[INDEPENDENTDEMAND]_x000D_
[LOCID].[].[7K10]_x000D_
[PRDID].[].[10001063]_x000D_
[KEY_FIGURES].[].[ZCONSENSUSDEMANDQTY]_x000D_
[LOCID].[].[7K10]_x000D_
[PRDID].[].[10001063]_x000D_
[KEY_FIGURES].[].[ZINPUTSOFC]_x000D_
[LOCID].[].[7K10]_x000D_
[PRDID].[].[10001063]_x000D_
[KEY_FIGURES].[].[ZFORECASTOPENOUTPUT]_x000D_
[LOCID].[].[7K10]_x000D_
[PRDID].[].[10001063]_x000D_
[KEY_FIGURES].[].[ZACTUALSALES]_x000D_
[LOCID].[].[7K10]_x000D_
[PRDID].[].[10001063]_x000D_
[KEY_FIGURES].[].[ZCONSENSUSDEMAND]_x000D_
[LOCID].[].[7K10]_x000D_
[PRDID].[].[10001063]_x000D_
[KEY_FIGURES].[].[INDEPENDENTDEMAND]_x000D_
[LOCID].[].[7K10]_x000D_
[PRDID].[].[10001064]_x000D_
[KEY_FIGURES].[].[ZCONSENSUSDEMANDQTY]_x000D_
[LOCID].[].[7K10]_x000D_
[PRDID].[].[10001064]_x000D_
[KEY_FIGURES].[].[ZINPUTSOFC]_x000D_
[LOCID].[].[7K10]_x000D_
[PRDID].[].[10001064]_x000D_
[KEY_FIGURES].[].[ZFORECASTOPENOUTPUT]_x000D_
[LOCID].[].[7K10]_x000D_
[PRDID].[].[10001064]_x000D_
[KEY_FIGURES].[].[ZACTUALSALES]_x000D_
[LOCID].[].[7K10]_x000D_
[PRDID].[].[10001064]</t>
  </si>
  <si>
    <t>[KEY_FIGURES].[].[ZCONSENSUSDEMAND]_x000D_
[LOCID].[].[7K10]_x000D_
[PRDID].[].[10001064]_x000D_
[KEY_FIGURES].[].[INDEPENDENTDEMAND]_x000D_
[LOCID].[].[7K10]_x000D_
[PRDID].[].[10001066]_x000D_
[KEY_FIGURES].[].[ZCONSENSUSDEMANDQTY]_x000D_
[LOCID].[].[7K10]_x000D_
[PRDID].[].[10001066]_x000D_
[KEY_FIGURES].[].[ZINPUTSOFC]_x000D_
[LOCID].[].[7K10]_x000D_
[PRDID].[].[10001066]_x000D_
[KEY_FIGURES].[].[ZFORECASTOPENOUTPUT]_x000D_
[LOCID].[].[7K10]_x000D_
[PRDID].[].[10001066]_x000D_
[KEY_FIGURES].[].[ZACTUALSALES]_x000D_
[LOCID].[].[7K10]_x000D_
[PRDID].[].[10001066]_x000D_
[KEY_FIGURES].[].[ZCONSENSUSDEMAND]_x000D_
[LOCID].[].[7K10]_x000D_
[PRDID].[].[10001066]_x000D_
[KEY_FIGURES].[].[INDEPENDENTDEMAND]_x000D_
[LOCID].[].[7K10]_x000D_
[PRDID].[].[10001067]_x000D_
[KEY_FIGURES].[].[ZCONSENSUSDEMANDQTY]_x000D_
[LOCID].[].[7K10]_x000D_
[PRDID].[].[10001067]_x000D_
[KEY_FIGURES].[].[ZINPUTSOFC]_x000D_
[LOCID].[].[7K10]_x000D_
[PRDID].[].[10001067]_x000D_
[KEY_FIGURES].[].[ZFORECASTOPENOUTPUT]_x000D_
[LOCID].[].[7K10]_x000D_
[PRDID].[].[10001067]_x000D_
[KEY_FIGURES].[].[ZACTUALSALES]_x000D_
[LOCID].[].[7K10]_x000D_
[PRDID].[].[10001067]_x000D_
[KEY_FIGURES].[].[ZCONSENSUSDEMAND]_x000D_
[LOCID].[].[7K10]_x000D_
[PRDID].[].[10001067]_x000D_
[KEY_FIGURES].[].[INDEPENDENTDEMAND]_x000D_
[LOCID].[].[7K10]_x000D_
[PRDID].[].[10001068]_x000D_
[KEY_FIGURES].[].[ZCONSENSUSDEMANDQTY]_x000D_
[LOCID].[].[7K10]_x000D_
[PRDID].[].[10001068]_x000D_
[KEY_FIGURES].[].[ZINPUTSOFC]_x000D_
[LOCID].[].[7K10]_x000D_
[PRDID].[].[10001068]_x000D_
[KEY_FIGURES].[].[ZFORECASTOPENOUTPUT]_x000D_
[LOCID].[].[7K10]_x000D_
[PRDID].[].[10001068]_x000D_
[KEY_FIGURES].[].[ZACTUALSALES]_x000D_
[LOCID].[].[7K10]_x000D_
[PRDID].[].[10001068]_x000D_
[KEY_FIGURES].[].[ZCONSENSUSDEMAND]_x000D_
[LOCID].[].[7K10]_x000D_
[PRDID].[].[10001068]_x000D_
[KEY_FIGURES].[].[INDEPENDENTDEMAND]_x000D_
[LOCID].[].[7K10]_x000D_
[PRDID].[].[10001069]_x000D_
[KEY_FIGURES].[].[ZCONSENSUSDEMANDQTY]_x000D_
[LOCID].[].[7K10]_x000D_
[PRDID].[].[10001069]_x000D_
[KEY_FIGURES].[].[ZINPUTSOFC]_x000D_
[LOCID].[].[7K10]_x000D_
[PRDID].[].[10001069]_x000D_
[KEY_FIGURES].[].[ZFORECASTOPENOUTPUT]_x000D_
[LOCID].[].[7K10]_x000D_
[PRDID].[].[10001069]_x000D_
[KEY_FIGURES].[].[ZACTUALSALES]_x000D_
[LOCID].[].[7K10]_x000D_
[PRDID].[].[10001069]_x000D_
[KEY_FIGURES].[].[ZCONSENSUSDEMAND]_x000D_
[LOCID].[].[7K10]_x000D_
[PRDID].[].[10001069]_x000D_
[KEY_FIGURES].[].[INDEPENDENTDEMAND]_x000D_
[LOCID].[].[7K10]_x000D_
[PRDID].[].[10001070]_x000D_
[KEY_FIGURES].[].[ZCONSENSUSDEMANDQTY]_x000D_
[LOCID].[].[7K10]_x000D_
[PRDID].[].[10001070]_x000D_
[KEY_FIGURES].[].[ZINPUTSOFC]_x000D_
[LOCID].[].[7K10]_x000D_
[PRDID].[].[10001070]_x000D_
[KEY_FIGURES].[].[ZFORECASTOPENOUTPUT]_x000D_
[LOCID].[].[7K10]_x000D_
[PRDID].[].[10001070]_x000D_
[KEY_FIGURES].[].[ZACTUALSALES]_x000D_
[LOCID].[].[7K10]_x000D_
[PRDID].[].[10001070]_x000D_
[KEY_FIGURES].[].[ZCONSENSUSDEMAND]_x000D_
[LOCID].[].[7K10]_x000D_
[PRDID].[].[10001070]_x000D_
[KEY_FIGURES].[].[INDEPENDENTDEMAND]_x000D_
[LOCID].[].[7K10]_x000D_
[PRDID].[].[10001071]_x000D_
[KEY_FIGURES].[].[ZCONSENSUSDEMANDQTY]_x000D_
[LOCID].[].[7K10]_x000D_
[PRDID].[].[10001071]_x000D_
[KEY_FIGURES].[].[ZINPUTSOFC]_x000D_
[LOCID].[].[7K10]_x000D_
[PRDID].[].[10001071]_x000D_
[KEY_FIGURES].[].[ZFORECASTOPENOUTPUT]_x000D_
[LOCID].[].[7K10]_x000D_
[PRDID].[].[10001071]_x000D_
[KEY_FIGURES].[].[ZACTUALSALES]_x000D_
[LOCID].[].[7K10]_x000D_
[PRDID].[].[10001071]_x000D_
[KEY_FIGURES].[].[ZCONSENSUSDEMAND]_x000D_
[LOCID].[].[7K10]_x000D_
[PRDID].[].[10001071]_x000D_
[KEY_FIGURES].[].[INDEPENDENTDEMAND]_x000D_
[LOCID].[].[7K10]_x000D_
[PRDID].[].[10001072]_x000D_
[KEY_FIGURES].[].[ZCONSENSUSDEMANDQTY]_x000D_
[LOCID].[].[7K10]_x000D_
[PRDID].[].[10001072]_x000D_
[KEY_FIGURES].[].[ZINPUTSOFC]_x000D_
[LOCID].[].[7K10]_x000D_
[PRDID].[].[10001072]_x000D_
[KEY_FIGURES].[].[ZFORECASTOPENOUTPUT]_x000D_
[LOCID].[].[7K10]_x000D_
[PRDID].[].[10001072]_x000D_
[KEY_FIGURES].[].[ZACTUALSALES]_x000D_
[LOCID].[].[7K10]_x000D_
[PRDID].[].[10001072]_x000D_
[KEY_FIGURES].[].[ZCONSENSUSDEMAND]_x000D_
[LOCID].[].[7K10]_x000D_
[PRDID].[].[10001072]_x000D_
[KEY_FIGURES].[].[INDEPENDENTDEMAND]_x000D_
[LOCID].[].[7K10]_x000D_
[PRDID].[].[10001073]_x000D_
[KEY_FIGURES].[].[ZCONSENSUSDEMANDQTY]_x000D_
[LOCID].[].[7K10]_x000D_
[PRDID].[].[10001073]_x000D_
[KEY_FIGURES].[].[ZINPUTSOFC]_x000D_
[LOCID].[].[7K10]_x000D_
[PRDID].[].[10001073]_x000D_
[KEY_FIGURES].[].[ZFORECASTOPENOUTPUT]_x000D_
[LOCID].[].[7K10]_x000D_
[PRDID].[].[10001073]_x000D_
[KEY_FIGURES].[].[ZACTUALSALES]_x000D_
[LOCID].[].[7K10]_x000D_
[PRDID].[].[10001073]_x000D_
[KEY_FIGURES].[].[ZCONSENSUSDEMAND]_x000D_
[LOCID].[].[7K10]_x000D_
[PRDID].[].[10001073]_x000D_
[KEY_FIGURES].[].[INDEPENDENTDEMAND]_x000D_
[LOCID].[].[7K10]_x000D_
[PRDID].[].[10001074]_x000D_
[KEY_FIGURES].[].[ZCONSENSUSDEMANDQTY]_x000D_
[LOCID].[].[7K10]_x000D_
[PRDID].[].[10001074]_x000D_
[KEY_FIGURES].[].[ZINPUTSOFC]_x000D_
[LOCID].[].[7K10]_x000D_
[PRDID].[].[10001074]_x000D_
[KEY_FIGURES].[].[ZFORECASTOPENOUTPUT]_x000D_
[LOCID].[].[7K10]_x000D_
[PRDID].[].[10001074]_x000D_
[KEY_FIGURES].[].[ZACTUALSALES]_x000D_
[LOCID].[].[7K10]_x000D_
[PRDID].[].[10001074]_x000D_
[KEY_FIGURES].[].[ZCONSENSUSDEMAND]_x000D_
[LOCID].[].[7K10]_x000D_
[PRDID].[].[10001074]_x000D_
[KEY_FIGURES].[].[INDEPENDENTDEMAND]_x000D_
[LOCID].[].[7K10]_x000D_
[PRDID].[].[10001075]_x000D_
[KEY_FIGURES].[].[ZCONSENSUSDEMANDQTY]_x000D_
[LOCID].[].[7K10]_x000D_
[PRDID].[].[10001075]_x000D_
[KEY_FIGURES].[].[ZINPUTSOFC]_x000D_
[LOCID].[].[7K10]_x000D_
[PRDID].[].[10001075]_x000D_
[KEY_FIGURES].[].[ZFORECASTOPENOUTPUT]_x000D_
[LOCID].[].[7K10]_x000D_
[PRDID].[].[10001075]_x000D_
[KEY_FIGURES].[].[ZACTUALSALES]_x000D_
[LOCID].[].[7K10]_x000D_
[PRDID].[].[10001075]_x000D_
[KEY_FIGURES].[].[ZCONSENSUSDEMAND]_x000D_
[LOCID].[].[7K10]_x000D_
[PRDID].[].[10001075]_x000D_
[KEY_FIGURES].[].[INDEPENDENTDEMAND]_x000D_
[LOCID].[].[7K10]_x000D_
[PRDID].[].[10001076]_x000D_
[KEY_FIGURES].[].[ZCONSENSUSDEMANDQTY]_x000D_
[LOCID].[].[7K10]_x000D_
[PRDID].[].[10001076]_x000D_
[KEY_FIGURES].[].[ZINPUTSOFC]_x000D_
[LOCID].[].[7K10]_x000D_
[PRDID].[].[10001076]_x000D_
[KEY_FIGURES].[].[ZFORECASTOPENOUTPUT]_x000D_
[LOCID].[].[7K10]_x000D_
[PRDID].[].[10001076]_x000D_
[KEY_FIGURES].[].[ZACTUALSALES]_x000D_
[LOCID].[].[7K10]_x000D_
[PRDID].[].[10001076]_x000D_
[KEY_FIGURES].[].[ZCONSENSUSDEMAND]_x000D_
[LOCID].[].[7K10]</t>
  </si>
  <si>
    <t>[PRDID].[].[10001076]_x000D_
[KEY_FIGURES].[].[INDEPENDENTDEMAND]_x000D_
[LOCID].[].[7K10]_x000D_
[PRDID].[].[10001077]_x000D_
[KEY_FIGURES].[].[ZCONSENSUSDEMANDQTY]_x000D_
[LOCID].[].[7K10]_x000D_
[PRDID].[].[10001077]_x000D_
[KEY_FIGURES].[].[ZINPUTSOFC]_x000D_
[LOCID].[].[7K10]_x000D_
[PRDID].[].[10001077]_x000D_
[KEY_FIGURES].[].[ZFORECASTOPENOUTPUT]_x000D_
[LOCID].[].[7K10]_x000D_
[PRDID].[].[10001077]_x000D_
[KEY_FIGURES].[].[ZACTUALSALES]_x000D_
[LOCID].[].[7K10]_x000D_
[PRDID].[].[10001077]_x000D_
[KEY_FIGURES].[].[ZCONSENSUSDEMAND]_x000D_
[LOCID].[].[7K10]_x000D_
[PRDID].[].[10001077]_x000D_
[KEY_FIGURES].[].[INDEPENDENTDEMAND]_x000D_
[LOCID].[].[7K10]_x000D_
[PRDID].[].[10001078]_x000D_
[KEY_FIGURES].[].[ZCONSENSUSDEMANDQTY]_x000D_
[LOCID].[].[7K10]_x000D_
[PRDID].[].[10001078]_x000D_
[KEY_FIGURES].[].[ZINPUTSOFC]_x000D_
[LOCID].[].[7K10]_x000D_
[PRDID].[].[10001078]_x000D_
[KEY_FIGURES].[].[ZFORECASTOPENOUTPUT]_x000D_
[LOCID].[].[7K10]_x000D_
[PRDID].[].[10001078]_x000D_
[KEY_FIGURES].[].[ZACTUALSALES]_x000D_
[LOCID].[].[7K10]_x000D_
[PRDID].[].[10001078]_x000D_
[KEY_FIGURES].[].[ZCONSENSUSDEMAND]_x000D_
[LOCID].[].[7K10]_x000D_
[PRDID].[].[10001078]_x000D_
[KEY_FIGURES].[].[INDEPENDENTDEMAND]_x000D_
[LOCID].[].[7K10]_x000D_
[PRDID].[].[10001079]_x000D_
[KEY_FIGURES].[].[ZCONSENSUSDEMANDQTY]_x000D_
[LOCID].[].[7K10]_x000D_
[PRDID].[].[10001079]_x000D_
[KEY_FIGURES].[].[ZINPUTSOFC]_x000D_
[LOCID].[].[7K10]_x000D_
[PRDID].[].[10001079]_x000D_
[KEY_FIGURES].[].[ZFORECASTOPENOUTPUT]_x000D_
[LOCID].[].[7K10]_x000D_
[PRDID].[].[10001079]_x000D_
[KEY_FIGURES].[].[ZACTUALSALES]_x000D_
[LOCID].[].[7K10]_x000D_
[PRDID].[].[10001079]_x000D_
[KEY_FIGURES].[].[ZCONSENSUSDEMAND]_x000D_
[LOCID].[].[7K10]_x000D_
[PRDID].[].[10001079]_x000D_
[KEY_FIGURES].[].[INDEPENDENTDEMAND]_x000D_
[LOCID].[].[7K10]_x000D_
[PRDID].[].[10001080]_x000D_
[KEY_FIGURES].[].[ZCONSENSUSDEMANDQTY]_x000D_
[LOCID].[].[7K10]_x000D_
[PRDID].[].[10001080]_x000D_
[KEY_FIGURES].[].[ZINPUTSOFC]_x000D_
[LOCID].[].[7K10]_x000D_
[PRDID].[].[10001080]_x000D_
[KEY_FIGURES].[].[ZFORECASTOPENOUTPUT]_x000D_
[LOCID].[].[7K10]_x000D_
[PRDID].[].[10001080]_x000D_
[KEY_FIGURES].[].[ZACTUALSALES]_x000D_
[LOCID].[].[7K10]_x000D_
[PRDID].[].[10001080]_x000D_
[KEY_FIGURES].[].[ZCONSENSUSDEMAND]_x000D_
[LOCID].[].[7K10]_x000D_
[PRDID].[].[10001080]_x000D_
[KEY_FIGURES].[].[INDEPENDENTDEMAND]_x000D_
[LOCID].[].[7K10]_x000D_
[PRDID].[].[10001081]_x000D_
[KEY_FIGURES].[].[ZCONSENSUSDEMANDQTY]_x000D_
[LOCID].[].[7K10]_x000D_
[PRDID].[].[10001081]_x000D_
[KEY_FIGURES].[].[ZINPUTSOFC]_x000D_
[LOCID].[].[7K10]_x000D_
[PRDID].[].[10001081]_x000D_
[KEY_FIGURES].[].[ZFORECASTOPENOUTPUT]_x000D_
[LOCID].[].[7K10]_x000D_
[PRDID].[].[10001081]_x000D_
[KEY_FIGURES].[].[ZACTUALSALES]_x000D_
[LOCID].[].[7K10]_x000D_
[PRDID].[].[10001081]_x000D_
[KEY_FIGURES].[].[ZCONSENSUSDEMAND]_x000D_
[LOCID].[].[7K10]_x000D_
[PRDID].[].[10001081]_x000D_
[KEY_FIGURES].[].[INDEPENDENTDEMAND]_x000D_
[LOCID].[].[7K10]_x000D_
[PRDID].[].[10001082]_x000D_
[KEY_FIGURES].[].[ZCONSENSUSDEMANDQTY]_x000D_
[LOCID].[].[7K10]_x000D_
[PRDID].[].[10001082]_x000D_
[KEY_FIGURES].[].[ZINPUTSOFC]_x000D_
[LOCID].[].[7K10]_x000D_
[PRDID].[].[10001082]_x000D_
[KEY_FIGURES].[].[ZFORECASTOPENOUTPUT]_x000D_
[LOCID].[].[7K10]_x000D_
[PRDID].[].[10001082]_x000D_
[KEY_FIGURES].[].[ZACTUALSALES]_x000D_
[LOCID].[].[7K10]_x000D_
[PRDID].[].[10001082]_x000D_
[KEY_FIGURES].[].[ZCONSENSUSDEMAND]_x000D_
[LOCID].[].[7K10]_x000D_
[PRDID].[].[10001082]_x000D_
[KEY_FIGURES].[].[INDEPENDENTDEMAND]_x000D_
[LOCID].[].[7K10]_x000D_
[PRDID].[].[10001083]_x000D_
[KEY_FIGURES].[].[ZCONSENSUSDEMANDQTY]_x000D_
[LOCID].[].[7K10]_x000D_
[PRDID].[].[10001083]_x000D_
[KEY_FIGURES].[].[ZINPUTSOFC]_x000D_
[LOCID].[].[7K10]_x000D_
[PRDID].[].[10001083]_x000D_
[KEY_FIGURES].[].[ZFORECASTOPENOUTPUT]_x000D_
[LOCID].[].[7K10]_x000D_
[PRDID].[].[10001083]_x000D_
[KEY_FIGURES].[].[ZACTUALSALES]_x000D_
[LOCID].[].[7K10]_x000D_
[PRDID].[].[10001083]_x000D_
[KEY_FIGURES].[].[ZCONSENSUSDEMAND]_x000D_
[LOCID].[].[7K10]_x000D_
[PRDID].[].[10001083]_x000D_
[KEY_FIGURES].[].[INDEPENDENTDEMAND]_x000D_
[LOCID].[].[7K10]_x000D_
[PRDID].[].[10001084]_x000D_
[KEY_FIGURES].[].[ZCONSENSUSDEMANDQTY]_x000D_
[LOCID].[].[7K10]_x000D_
[PRDID].[].[10001084]_x000D_
[KEY_FIGURES].[].[ZINPUTSOFC]_x000D_
[LOCID].[].[7K10]_x000D_
[PRDID].[].[10001084]_x000D_
[KEY_FIGURES].[].[ZFORECASTOPENOUTPUT]_x000D_
[LOCID].[].[7K10]_x000D_
[PRDID].[].[10001084]_x000D_
[KEY_FIGURES].[].[ZACTUALSALES]_x000D_
[LOCID].[].[7K10]_x000D_
[PRDID].[].[10001084]_x000D_
[KEY_FIGURES].[].[ZCONSENSUSDEMAND]_x000D_
[LOCID].[].[7K10]_x000D_
[PRDID].[].[10001084]_x000D_
[KEY_FIGURES].[].[INDEPENDENTDEMAND]_x000D_
[LOCID].[].[7K10]_x000D_
[PRDID].[].[10001085]_x000D_
[KEY_FIGURES].[].[ZCONSENSUSDEMANDQTY]_x000D_
[LOCID].[].[7K10]_x000D_
[PRDID].[].[10001085]_x000D_
[KEY_FIGURES].[].[ZINPUTSOFC]_x000D_
[LOCID].[].[7K10]_x000D_
[PRDID].[].[10001085]_x000D_
[KEY_FIGURES].[].[ZFORECASTOPENOUTPUT]_x000D_
[LOCID].[].[7K10]_x000D_
[PRDID].[].[10001085]_x000D_
[KEY_FIGURES].[].[ZACTUALSALES]_x000D_
[LOCID].[].[7K10]_x000D_
[PRDID].[].[10001085]_x000D_
[KEY_FIGURES].[].[ZCONSENSUSDEMAND]_x000D_
[LOCID].[].[7K10]_x000D_
[PRDID].[].[10001085]_x000D_
[KEY_FIGURES].[].[INDEPENDENTDEMAND]_x000D_
[LOCID].[].[7K10]_x000D_
[PRDID].[].[10001086]_x000D_
[KEY_FIGURES].[].[ZCONSENSUSDEMANDQTY]_x000D_
[LOCID].[].[7K10]_x000D_
[PRDID].[].[10001086]_x000D_
[KEY_FIGURES].[].[ZINPUTSOFC]_x000D_
[LOCID].[].[7K10]_x000D_
[PRDID].[].[10001086]_x000D_
[KEY_FIGURES].[].[ZFORECASTOPENOUTPUT]_x000D_
[LOCID].[].[7K10]_x000D_
[PRDID].[].[10001086]_x000D_
[KEY_FIGURES].[].[ZACTUALSALES]_x000D_
[LOCID].[].[7K10]_x000D_
[PRDID].[].[10001086]_x000D_
[KEY_FIGURES].[].[ZCONSENSUSDEMAND]_x000D_
[LOCID].[].[7K10]_x000D_
[PRDID].[].[10001086]_x000D_
[KEY_FIGURES].[].[INDEPENDENTDEMAND]_x000D_
[LOCID].[].[7K10]_x000D_
[PRDID].[].[10001087]_x000D_
[KEY_FIGURES].[].[ZCONSENSUSDEMANDQTY]_x000D_
[LOCID].[].[7K10]_x000D_
[PRDID].[].[10001087]_x000D_
[KEY_FIGURES].[].[ZINPUTSOFC]_x000D_
[LOCID].[].[7K10]_x000D_
[PRDID].[].[10001087]_x000D_
[KEY_FIGURES].[].[ZFORECASTOPENOUTPUT]_x000D_
[LOCID].[].[7K10]_x000D_
[PRDID].[].[10001087]_x000D_
[KEY_FIGURES].[].[ZACTUALSALES]_x000D_
[LOCID].[].[7K10]_x000D_
[PRDID].[].[10001087]_x000D_
[KEY_FIGURES].[].[ZCONSENSUSDEMAND]_x000D_
[LOCID].[].[7K10]_x000D_
[PRDID].[].[10001087]_x000D_
[KEY_FIGURES].[].[INDEPENDENTDEMAND]</t>
  </si>
  <si>
    <t>[LOCID].[].[7K10]_x000D_
[PRDID].[].[10001088]_x000D_
[KEY_FIGURES].[].[ZCONSENSUSDEMANDQTY]_x000D_
[LOCID].[].[7K10]_x000D_
[PRDID].[].[10001088]_x000D_
[KEY_FIGURES].[].[ZINPUTSOFC]_x000D_
[LOCID].[].[7K10]_x000D_
[PRDID].[].[10001088]_x000D_
[KEY_FIGURES].[].[ZFORECASTOPENOUTPUT]_x000D_
[LOCID].[].[7K10]_x000D_
[PRDID].[].[10001088]_x000D_
[KEY_FIGURES].[].[ZACTUALSALES]_x000D_
[LOCID].[].[7K10]_x000D_
[PRDID].[].[10001088]_x000D_
[KEY_FIGURES].[].[ZCONSENSUSDEMAND]_x000D_
[LOCID].[].[7K10]_x000D_
[PRDID].[].[10001088]_x000D_
[KEY_FIGURES].[].[INDEPENDENTDEMAND]_x000D_
[LOCID].[].[7K10]_x000D_
[PRDID].[].[10001089]_x000D_
[KEY_FIGURES].[].[ZCONSENSUSDEMANDQTY]_x000D_
[LOCID].[].[7K10]_x000D_
[PRDID].[].[10001089]_x000D_
[KEY_FIGURES].[].[ZINPUTSOFC]_x000D_
[LOCID].[].[7K10]_x000D_
[PRDID].[].[10001089]_x000D_
[KEY_FIGURES].[].[ZFORECASTOPENOUTPUT]_x000D_
[LOCID].[].[7K10]_x000D_
[PRDID].[].[10001089]_x000D_
[KEY_FIGURES].[].[ZACTUALSALES]_x000D_
[LOCID].[].[7K10]_x000D_
[PRDID].[].[10001089]_x000D_
[KEY_FIGURES].[].[ZCONSENSUSDEMAND]_x000D_
[LOCID].[].[7K10]_x000D_
[PRDID].[].[10001089]_x000D_
[KEY_FIGURES].[].[INDEPENDENTDEMAND]_x000D_
[LOCID].[].[7K10]_x000D_
[PRDID].[].[10001090]_x000D_
[KEY_FIGURES].[].[ZCONSENSUSDEMANDQTY]_x000D_
[LOCID].[].[7K10]_x000D_
[PRDID].[].[10001090]_x000D_
[KEY_FIGURES].[].[ZINPUTSOFC]_x000D_
[LOCID].[].[7K10]_x000D_
[PRDID].[].[10001090]_x000D_
[KEY_FIGURES].[].[ZFORECASTOPENOUTPUT]_x000D_
[LOCID].[].[7K10]_x000D_
[PRDID].[].[10001090]_x000D_
[KEY_FIGURES].[].[ZACTUALSALES]_x000D_
[LOCID].[].[7K10]_x000D_
[PRDID].[].[10001090]_x000D_
[KEY_FIGURES].[].[ZCONSENSUSDEMAND]_x000D_
[LOCID].[].[7K10]_x000D_
[PRDID].[].[10001090]_x000D_
[KEY_FIGURES].[].[INDEPENDENTDEMAND]_x000D_
[LOCID].[].[7K10]_x000D_
[PRDID].[].[10001093]_x000D_
[KEY_FIGURES].[].[ZCONSENSUSDEMANDQTY]_x000D_
[LOCID].[].[7K10]_x000D_
[PRDID].[].[10001093]_x000D_
[KEY_FIGURES].[].[ZINPUTSOFC]_x000D_
[LOCID].[].[7K10]_x000D_
[PRDID].[].[10001093]_x000D_
[KEY_FIGURES].[].[ZFORECASTOPENOUTPUT]_x000D_
[LOCID].[].[7K10]_x000D_
[PRDID].[].[10001093]_x000D_
[KEY_FIGURES].[].[ZACTUALSALES]_x000D_
[LOCID].[].[7K10]_x000D_
[PRDID].[].[10001093]_x000D_
[KEY_FIGURES].[].[ZCONSENSUSDEMAND]_x000D_
[LOCID].[].[7K10]_x000D_
[PRDID].[].[10001093]_x000D_
[KEY_FIGURES].[].[INDEPENDENTDEMAND]_x000D_
[LOCID].[].[7K10]_x000D_
[PRDID].[].[10001094]_x000D_
[KEY_FIGURES].[].[ZCONSENSUSDEMANDQTY]_x000D_
[LOCID].[].[7K10]_x000D_
[PRDID].[].[10001094]_x000D_
[KEY_FIGURES].[].[ZINPUTSOFC]_x000D_
[LOCID].[].[7K10]_x000D_
[PRDID].[].[10001094]_x000D_
[KEY_FIGURES].[].[ZFORECASTOPENOUTPUT]_x000D_
[LOCID].[].[7K10]_x000D_
[PRDID].[].[10001094]_x000D_
[KEY_FIGURES].[].[ZACTUALSALES]_x000D_
[LOCID].[].[7K10]_x000D_
[PRDID].[].[10001094]_x000D_
[KEY_FIGURES].[].[ZCONSENSUSDEMAND]_x000D_
[LOCID].[].[7K10]_x000D_
[PRDID].[].[10001094]_x000D_
[KEY_FIGURES].[].[INDEPENDENTDEMAND]_x000D_
[LOCID].[].[7K10]_x000D_
[PRDID].[].[10001095]_x000D_
[KEY_FIGURES].[].[ZCONSENSUSDEMANDQTY]_x000D_
[LOCID].[].[7K10]_x000D_
[PRDID].[].[10001095]_x000D_
[KEY_FIGURES].[].[ZINPUTSOFC]_x000D_
[LOCID].[].[7K10]_x000D_
[PRDID].[].[10001095]_x000D_
[KEY_FIGURES].[].[ZFORECASTOPENOUTPUT]_x000D_
[LOCID].[].[7K10]_x000D_
[PRDID].[].[10001095]_x000D_
[KEY_FIGURES].[].[ZACTUALSALES]_x000D_
[LOCID].[].[7K10]_x000D_
[PRDID].[].[10001095]_x000D_
[KEY_FIGURES].[].[ZCONSENSUSDEMAND]_x000D_
[LOCID].[].[7K10]_x000D_
[PRDID].[].[10001095]_x000D_
[KEY_FIGURES].[].[INDEPENDENTDEMAND]_x000D_
[LOCID].[].[7K10]_x000D_
[PRDID].[].[10001096]_x000D_
[KEY_FIGURES].[].[ZCONSENSUSDEMANDQTY]_x000D_
[LOCID].[].[7K10]_x000D_
[PRDID].[].[10001096]_x000D_
[KEY_FIGURES].[].[ZINPUTSOFC]_x000D_
[LOCID].[].[7K10]_x000D_
[PRDID].[].[10001096]_x000D_
[KEY_FIGURES].[].[ZFORECASTOPENOUTPUT]_x000D_
[LOCID].[].[7K10]_x000D_
[PRDID].[].[10001096]_x000D_
[KEY_FIGURES].[].[ZACTUALSALES]_x000D_
[LOCID].[].[7K10]_x000D_
[PRDID].[].[10001096]_x000D_
[KEY_FIGURES].[].[ZCONSENSUSDEMAND]_x000D_
[LOCID].[].[7K10]_x000D_
[PRDID].[].[10001096]_x000D_
[KEY_FIGURES].[].[INDEPENDENTDEMAND]_x000D_
[LOCID].[].[7K10]_x000D_
[PRDID].[].[10001097]_x000D_
[KEY_FIGURES].[].[ZCONSENSUSDEMANDQTY]_x000D_
[LOCID].[].[7K10]_x000D_
[PRDID].[].[10001097]_x000D_
[KEY_FIGURES].[].[ZINPUTSOFC]_x000D_
[LOCID].[].[7K10]_x000D_
[PRDID].[].[10001097]_x000D_
[KEY_FIGURES].[].[ZFORECASTOPENOUTPUT]_x000D_
[LOCID].[].[7K10]_x000D_
[PRDID].[].[10001097]_x000D_
[KEY_FIGURES].[].[ZACTUALSALES]_x000D_
[LOCID].[].[7K10]_x000D_
[PRDID].[].[10001097]_x000D_
[KEY_FIGURES].[].[ZCONSENSUSDEMAND]_x000D_
[LOCID].[].[7K10]_x000D_
[PRDID].[].[10001097]_x000D_
[KEY_FIGURES].[].[INDEPENDENTDEMAND]_x000D_
[LOCID].[].[7K10]_x000D_
[PRDID].[].[10001099]_x000D_
[KEY_FIGURES].[].[ZCONSENSUSDEMANDQTY]_x000D_
[LOCID].[].[7K10]_x000D_
[PRDID].[].[10001099]_x000D_
[KEY_FIGURES].[].[ZINPUTSOFC]_x000D_
[LOCID].[].[7K10]_x000D_
[PRDID].[].[10001099]_x000D_
[KEY_FIGURES].[].[ZFORECASTOPENOUTPUT]_x000D_
[LOCID].[].[7K10]_x000D_
[PRDID].[].[10001099]_x000D_
[KEY_FIGURES].[].[ZACTUALSALES]_x000D_
[LOCID].[].[7K10]_x000D_
[PRDID].[].[10001099]_x000D_
[KEY_FIGURES].[].[ZCONSENSUSDEMAND]_x000D_
[LOCID].[].[7K10]_x000D_
[PRDID].[].[10001099]_x000D_
[KEY_FIGURES].[].[INDEPENDENTDEMAND]_x000D_
[LOCID].[].[7K10]_x000D_
[PRDID].[].[10001103]_x000D_
[KEY_FIGURES].[].[ZCONSENSUSDEMANDQTY]_x000D_
[LOCID].[].[7K10]_x000D_
[PRDID].[].[10001103]_x000D_
[KEY_FIGURES].[].[ZINPUTSOFC]_x000D_
[LOCID].[].[7K10]_x000D_
[PRDID].[].[10001103]_x000D_
[KEY_FIGURES].[].[ZFORECASTOPENOUTPUT]_x000D_
[LOCID].[].[7K10]_x000D_
[PRDID].[].[10001103]_x000D_
[KEY_FIGURES].[].[ZACTUALSALES]_x000D_
[LOCID].[].[7K10]_x000D_
[PRDID].[].[10001103]_x000D_
[KEY_FIGURES].[].[ZCONSENSUSDEMAND]_x000D_
[LOCID].[].[7K10]_x000D_
[PRDID].[].[10001103]_x000D_
[KEY_FIGURES].[].[INDEPENDENTDEMAND]_x000D_
[LOCID].[].[7K10]_x000D_
[PRDID].[].[10001107]_x000D_
[KEY_FIGURES].[].[ZCONSENSUSDEMANDQTY]_x000D_
[LOCID].[].[7K10]_x000D_
[PRDID].[].[10001107]_x000D_
[KEY_FIGURES].[].[ZINPUTSOFC]_x000D_
[LOCID].[].[7K10]_x000D_
[PRDID].[].[10001107]_x000D_
[KEY_FIGURES].[].[ZFORECASTOPENOUTPUT]_x000D_
[LOCID].[].[7K10]_x000D_
[PRDID].[].[10001107]_x000D_
[KEY_FIGURES].[].[ZACTUALSALES]_x000D_
[LOCID].[].[7K10]_x000D_
[PRDID].[].[10001107]_x000D_
[KEY_FIGURES].[].[ZCONSENSUSDEMAND]_x000D_
[LOCID].[].[7K10]_x000D_
[PRDID].[].[10001107]_x000D_
[KEY_FIGURES].[].[INDEPENDENTDEMAND]_x000D_
[LOCID].[].[7K10]_x000D_
[PRDID].[].[10001108]</t>
  </si>
  <si>
    <t>[KEY_FIGURES].[].[ZCONSENSUSDEMANDQTY]_x000D_
[LOCID].[].[7K10]_x000D_
[PRDID].[].[10001108]_x000D_
[KEY_FIGURES].[].[ZINPUTSOFC]_x000D_
[LOCID].[].[7K10]_x000D_
[PRDID].[].[10001108]_x000D_
[KEY_FIGURES].[].[ZFORECASTOPENOUTPUT]_x000D_
[LOCID].[].[7K10]_x000D_
[PRDID].[].[10001108]_x000D_
[KEY_FIGURES].[].[ZACTUALSALES]_x000D_
[LOCID].[].[7K10]_x000D_
[PRDID].[].[10001108]_x000D_
[KEY_FIGURES].[].[ZCONSENSUSDEMAND]_x000D_
[LOCID].[].[7K10]_x000D_
[PRDID].[].[10001108]_x000D_
[KEY_FIGURES].[].[INDEPENDENTDEMAND]_x000D_
[LOCID].[].[7K10]_x000D_
[PRDID].[].[10001109]_x000D_
[KEY_FIGURES].[].[ZCONSENSUSDEMANDQTY]_x000D_
[LOCID].[].[7K10]_x000D_
[PRDID].[].[10001109]_x000D_
[KEY_FIGURES].[].[ZINPUTSOFC]_x000D_
[LOCID].[].[7K10]_x000D_
[PRDID].[].[10001109]_x000D_
[KEY_FIGURES].[].[ZFORECASTOPENOUTPUT]_x000D_
[LOCID].[].[7K10]_x000D_
[PRDID].[].[10001109]_x000D_
[KEY_FIGURES].[].[ZACTUALSALES]_x000D_
[LOCID].[].[7K10]_x000D_
[PRDID].[].[10001109]_x000D_
[KEY_FIGURES].[].[ZCONSENSUSDEMAND]_x000D_
[LOCID].[].[7K10]_x000D_
[PRDID].[].[10001109]_x000D_
[KEY_FIGURES].[].[INDEPENDENTDEMAND]_x000D_
[LOCID].[].[7K10]_x000D_
[PRDID].[].[10001110]_x000D_
[KEY_FIGURES].[].[ZCONSENSUSDEMANDQTY]_x000D_
[LOCID].[].[7K10]_x000D_
[PRDID].[].[10001110]_x000D_
[KEY_FIGURES].[].[ZINPUTSOFC]_x000D_
[LOCID].[].[7K10]_x000D_
[PRDID].[].[10001110]_x000D_
[KEY_FIGURES].[].[ZFORECASTOPENOUTPUT]_x000D_
[LOCID].[].[7K10]_x000D_
[PRDID].[].[10001110]_x000D_
[KEY_FIGURES].[].[ZACTUALSALES]_x000D_
[LOCID].[].[7K10]_x000D_
[PRDID].[].[10001110]_x000D_
[KEY_FIGURES].[].[ZCONSENSUSDEMAND]_x000D_
[LOCID].[].[7K10]_x000D_
[PRDID].[].[10001110]_x000D_
[KEY_FIGURES].[].[INDEPENDENTDEMAND]_x000D_
[LOCID].[].[7K10]_x000D_
[PRDID].[].[10001111]_x000D_
[KEY_FIGURES].[].[ZCONSENSUSDEMANDQTY]_x000D_
[LOCID].[].[7K10]_x000D_
[PRDID].[].[10001111]_x000D_
[KEY_FIGURES].[].[ZINPUTSOFC]_x000D_
[LOCID].[].[7K10]_x000D_
[PRDID].[].[10001111]_x000D_
[KEY_FIGURES].[].[ZFORECASTOPENOUTPUT]_x000D_
[LOCID].[].[7K10]_x000D_
[PRDID].[].[10001111]_x000D_
[KEY_FIGURES].[].[ZACTUALSALES]_x000D_
[LOCID].[].[7K10]_x000D_
[PRDID].[].[10001111]_x000D_
[KEY_FIGURES].[].[ZCONSENSUSDEMAND]_x000D_
[LOCID].[].[7K10]_x000D_
[PRDID].[].[10001111]_x000D_
[KEY_FIGURES].[].[INDEPENDENTDEMAND]_x000D_
[LOCID].[].[7K10]_x000D_
[PRDID].[].[10001112]_x000D_
[KEY_FIGURES].[].[ZCONSENSUSDEMANDQTY]_x000D_
[LOCID].[].[7K10]_x000D_
[PRDID].[].[10001112]_x000D_
[KEY_FIGURES].[].[ZINPUTSOFC]_x000D_
[LOCID].[].[7K10]_x000D_
[PRDID].[].[10001112]_x000D_
[KEY_FIGURES].[].[ZFORECASTOPENOUTPUT]_x000D_
[LOCID].[].[7K10]_x000D_
[PRDID].[].[10001112]_x000D_
[KEY_FIGURES].[].[ZACTUALSALES]_x000D_
[LOCID].[].[7K10]_x000D_
[PRDID].[].[10001112]_x000D_
[KEY_FIGURES].[].[ZCONSENSUSDEMAND]_x000D_
[LOCID].[].[7K10]_x000D_
[PRDID].[].[10001112]_x000D_
[KEY_FIGURES].[].[INDEPENDENTDEMAND]_x000D_
[LOCID].[].[7K10]_x000D_
[PRDID].[].[10001113]_x000D_
[KEY_FIGURES].[].[ZCONSENSUSDEMANDQTY]_x000D_
[LOCID].[].[7K10]_x000D_
[PRDID].[].[10001113]_x000D_
[KEY_FIGURES].[].[ZINPUTSOFC]_x000D_
[LOCID].[].[7K10]_x000D_
[PRDID].[].[10001113]_x000D_
[KEY_FIGURES].[].[ZFORECASTOPENOUTPUT]_x000D_
[LOCID].[].[7K10]_x000D_
[PRDID].[].[10001113]_x000D_
[KEY_FIGURES].[].[ZACTUALSALES]_x000D_
[LOCID].[].[7K10]_x000D_
[PRDID].[].[10001113]_x000D_
[KEY_FIGURES].[].[ZCONSENSUSDEMAND]_x000D_
[LOCID].[].[7K10]_x000D_
[PRDID].[].[10001113]_x000D_
[KEY_FIGURES].[].[INDEPENDENTDEMAND]_x000D_
[LOCID].[].[7K10]_x000D_
[PRDID].[].[10001114]_x000D_
[KEY_FIGURES].[].[ZCONSENSUSDEMANDQTY]_x000D_
[LOCID].[].[7K10]_x000D_
[PRDID].[].[10001114]_x000D_
[KEY_FIGURES].[].[ZINPUTSOFC]_x000D_
[LOCID].[].[7K10]_x000D_
[PRDID].[].[10001114]_x000D_
[KEY_FIGURES].[].[ZFORECASTOPENOUTPUT]_x000D_
[LOCID].[].[7K10]_x000D_
[PRDID].[].[10001114]_x000D_
[KEY_FIGURES].[].[ZACTUALSALES]_x000D_
[LOCID].[].[7K10]_x000D_
[PRDID].[].[10001114]_x000D_
[KEY_FIGURES].[].[ZCONSENSUSDEMAND]_x000D_
[LOCID].[].[7K10]_x000D_
[PRDID].[].[10001114]_x000D_
[KEY_FIGURES].[].[INDEPENDENTDEMAND]_x000D_
[LOCID].[].[7K10]_x000D_
[PRDID].[].[10001115]_x000D_
[KEY_FIGURES].[].[ZCONSENSUSDEMANDQTY]_x000D_
[LOCID].[].[7K10]_x000D_
[PRDID].[].[10001115]_x000D_
[KEY_FIGURES].[].[ZINPUTSOFC]_x000D_
[LOCID].[].[7K10]_x000D_
[PRDID].[].[10001115]_x000D_
[KEY_FIGURES].[].[ZFORECASTOPENOUTPUT]_x000D_
[LOCID].[].[7K10]_x000D_
[PRDID].[].[10001115]_x000D_
[KEY_FIGURES].[].[ZACTUALSALES]_x000D_
[LOCID].[].[7K10]_x000D_
[PRDID].[].[10001115]_x000D_
[KEY_FIGURES].[].[ZCONSENSUSDEMAND]_x000D_
[LOCID].[].[7K10]_x000D_
[PRDID].[].[10001115]_x000D_
[KEY_FIGURES].[].[INDEPENDENTDEMAND]_x000D_
[LOCID].[].[7K10]_x000D_
[PRDID].[].[10001116]_x000D_
[KEY_FIGURES].[].[ZCONSENSUSDEMANDQTY]_x000D_
[LOCID].[].[7K10]_x000D_
[PRDID].[].[10001116]_x000D_
[KEY_FIGURES].[].[ZINPUTSOFC]_x000D_
[LOCID].[].[7K10]_x000D_
[PRDID].[].[10001116]_x000D_
[KEY_FIGURES].[].[ZFORECASTOPENOUTPUT]_x000D_
[LOCID].[].[7K10]_x000D_
[PRDID].[].[10001116]_x000D_
[KEY_FIGURES].[].[ZACTUALSALES]_x000D_
[LOCID].[].[7K10]_x000D_
[PRDID].[].[10001116]_x000D_
[KEY_FIGURES].[].[ZCONSENSUSDEMAND]_x000D_
[LOCID].[].[7K10]_x000D_
[PRDID].[].[10001116]_x000D_
[KEY_FIGURES].[].[INDEPENDENTDEMAND]_x000D_
[LOCID].[].[7K10]_x000D_
[PRDID].[].[10001117]_x000D_
[KEY_FIGURES].[].[ZCONSENSUSDEMANDQTY]_x000D_
[LOCID].[].[7K10]_x000D_
[PRDID].[].[10001117]_x000D_
[KEY_FIGURES].[].[ZINPUTSOFC]_x000D_
[LOCID].[].[7K10]_x000D_
[PRDID].[].[10001117]_x000D_
[KEY_FIGURES].[].[ZFORECASTOPENOUTPUT]_x000D_
[LOCID].[].[7K10]_x000D_
[PRDID].[].[10001117]_x000D_
[KEY_FIGURES].[].[ZACTUALSALES]_x000D_
[LOCID].[].[7K10]_x000D_
[PRDID].[].[10001117]_x000D_
[KEY_FIGURES].[].[ZCONSENSUSDEMAND]_x000D_
[LOCID].[].[7K10]_x000D_
[PRDID].[].[10001117]_x000D_
[KEY_FIGURES].[].[INDEPENDENTDEMAND]_x000D_
[LOCID].[].[7K10]_x000D_
[PRDID].[].[10001118]_x000D_
[KEY_FIGURES].[].[ZCONSENSUSDEMANDQTY]_x000D_
[LOCID].[].[7K10]_x000D_
[PRDID].[].[10001118]_x000D_
[KEY_FIGURES].[].[ZINPUTSOFC]_x000D_
[LOCID].[].[7K10]_x000D_
[PRDID].[].[10001118]_x000D_
[KEY_FIGURES].[].[ZFORECASTOPENOUTPUT]_x000D_
[LOCID].[].[7K10]_x000D_
[PRDID].[].[10001118]_x000D_
[KEY_FIGURES].[].[ZACTUALSALES]_x000D_
[LOCID].[].[7K10]_x000D_
[PRDID].[].[10001118]_x000D_
[KEY_FIGURES].[].[ZCONSENSUSDEMAND]_x000D_
[LOCID].[].[7K10]_x000D_
[PRDID].[].[10001118]_x000D_
[KEY_FIGURES].[].[INDEPENDENTDEMAND]_x000D_
[LOCID].[].[7K10]_x000D_
[PRDID].[].[10001119]_x000D_
[KEY_FIGURES].[].[ZCONSENSUSDEMANDQTY]_x000D_
[LOCID].[].[7K10]</t>
  </si>
  <si>
    <t>[PRDID].[].[10001119]_x000D_
[KEY_FIGURES].[].[ZINPUTSOFC]_x000D_
[LOCID].[].[7K10]_x000D_
[PRDID].[].[10001119]_x000D_
[KEY_FIGURES].[].[ZFORECASTOPENOUTPUT]_x000D_
[LOCID].[].[7K10]_x000D_
[PRDID].[].[10001119]_x000D_
[KEY_FIGURES].[].[ZACTUALSALES]_x000D_
[LOCID].[].[7K10]_x000D_
[PRDID].[].[10001119]_x000D_
[KEY_FIGURES].[].[ZCONSENSUSDEMAND]_x000D_
[LOCID].[].[7K10]_x000D_
[PRDID].[].[10001119]_x000D_
[KEY_FIGURES].[].[INDEPENDENTDEMAND]_x000D_
[LOCID].[].[7K10]_x000D_
[PRDID].[].[10001120]_x000D_
[KEY_FIGURES].[].[ZCONSENSUSDEMANDQTY]_x000D_
[LOCID].[].[7K10]_x000D_
[PRDID].[].[10001120]_x000D_
[KEY_FIGURES].[].[ZINPUTSOFC]_x000D_
[LOCID].[].[7K10]_x000D_
[PRDID].[].[10001120]_x000D_
[KEY_FIGURES].[].[ZFORECASTOPENOUTPUT]_x000D_
[LOCID].[].[7K10]_x000D_
[PRDID].[].[10001120]_x000D_
[KEY_FIGURES].[].[ZACTUALSALES]_x000D_
[LOCID].[].[7K10]_x000D_
[PRDID].[].[10001120]_x000D_
[KEY_FIGURES].[].[ZCONSENSUSDEMAND]_x000D_
[LOCID].[].[7K10]_x000D_
[PRDID].[].[10001120]_x000D_
[KEY_FIGURES].[].[INDEPENDENTDEMAND]_x000D_
[LOCID].[].[7K10]_x000D_
[PRDID].[].[10001121]_x000D_
[KEY_FIGURES].[].[ZCONSENSUSDEMANDQTY]_x000D_
[LOCID].[].[7K10]_x000D_
[PRDID].[].[10001121]_x000D_
[KEY_FIGURES].[].[ZINPUTSOFC]_x000D_
[LOCID].[].[7K10]_x000D_
[PRDID].[].[10001121]_x000D_
[KEY_FIGURES].[].[ZFORECASTOPENOUTPUT]_x000D_
[LOCID].[].[7K10]_x000D_
[PRDID].[].[10001121]_x000D_
[KEY_FIGURES].[].[ZACTUALSALES]_x000D_
[LOCID].[].[7K10]_x000D_
[PRDID].[].[10001121]_x000D_
[KEY_FIGURES].[].[ZCONSENSUSDEMAND]_x000D_
[LOCID].[].[7K10]_x000D_
[PRDID].[].[10001121]_x000D_
[KEY_FIGURES].[].[INDEPENDENTDEMAND]_x000D_
[LOCID].[].[7K10]_x000D_
[PRDID].[].[10001122]_x000D_
[KEY_FIGURES].[].[ZCONSENSUSDEMANDQTY]_x000D_
[LOCID].[].[7K10]_x000D_
[PRDID].[].[10001122]_x000D_
[KEY_FIGURES].[].[ZINPUTSOFC]_x000D_
[LOCID].[].[7K10]_x000D_
[PRDID].[].[10001122]_x000D_
[KEY_FIGURES].[].[ZFORECASTOPENOUTPUT]_x000D_
[LOCID].[].[7K10]_x000D_
[PRDID].[].[10001122]_x000D_
[KEY_FIGURES].[].[ZACTUALSALES]_x000D_
[LOCID].[].[7K10]_x000D_
[PRDID].[].[10001122]_x000D_
[KEY_FIGURES].[].[ZCONSENSUSDEMAND]_x000D_
[LOCID].[].[7K10]_x000D_
[PRDID].[].[10001122]_x000D_
[KEY_FIGURES].[].[INDEPENDENTDEMAND]_x000D_
[LOCID].[].[7K10]_x000D_
[PRDID].[].[10001124]_x000D_
[KEY_FIGURES].[].[ZCONSENSUSDEMANDQTY]_x000D_
[LOCID].[].[7K10]_x000D_
[PRDID].[].[10001124]_x000D_
[KEY_FIGURES].[].[ZINPUTSOFC]_x000D_
[LOCID].[].[7K10]_x000D_
[PRDID].[].[10001124]_x000D_
[KEY_FIGURES].[].[ZFORECASTOPENOUTPUT]_x000D_
[LOCID].[].[7K10]_x000D_
[PRDID].[].[10001124]_x000D_
[KEY_FIGURES].[].[ZACTUALSALES]_x000D_
[LOCID].[].[7K10]_x000D_
[PRDID].[].[10001124]_x000D_
[KEY_FIGURES].[].[ZCONSENSUSDEMAND]_x000D_
[LOCID].[].[7K10]_x000D_
[PRDID].[].[10001124]_x000D_
[KEY_FIGURES].[].[INDEPENDENTDEMAND]_x000D_
[LOCID].[].[7K10]_x000D_
[PRDID].[].[10001125]_x000D_
[KEY_FIGURES].[].[ZCONSENSUSDEMANDQTY]_x000D_
[LOCID].[].[7K10]_x000D_
[PRDID].[].[10001125]_x000D_
[KEY_FIGURES].[].[ZINPUTSOFC]_x000D_
[LOCID].[].[7K10]_x000D_
[PRDID].[].[10001125]_x000D_
[KEY_FIGURES].[].[ZFORECASTOPENOUTPUT]_x000D_
[LOCID].[].[7K10]_x000D_
[PRDID].[].[10001125]_x000D_
[KEY_FIGURES].[].[ZACTUALSALES]_x000D_
[LOCID].[].[7K10]_x000D_
[PRDID].[].[10001125]_x000D_
[KEY_FIGURES].[].[ZCONSENSUSDEMAND]_x000D_
[LOCID].[].[7K10]_x000D_
[PRDID].[].[10001125]_x000D_
[KEY_FIGURES].[].[INDEPENDENTDEMAND]_x000D_
[LOCID].[].[7K10]_x000D_
[PRDID].[].[10001126]_x000D_
[KEY_FIGURES].[].[ZCONSENSUSDEMANDQTY]_x000D_
[LOCID].[].[7K10]_x000D_
[PRDID].[].[10001126]_x000D_
[KEY_FIGURES].[].[ZINPUTSOFC]_x000D_
[LOCID].[].[7K10]_x000D_
[PRDID].[].[10001126]_x000D_
[KEY_FIGURES].[].[ZFORECASTOPENOUTPUT]_x000D_
[LOCID].[].[7K10]_x000D_
[PRDID].[].[10001126]_x000D_
[KEY_FIGURES].[].[ZACTUALSALES]_x000D_
[LOCID].[].[7K10]_x000D_
[PRDID].[].[10001126]_x000D_
[KEY_FIGURES].[].[ZCONSENSUSDEMAND]_x000D_
[LOCID].[].[7K10]_x000D_
[PRDID].[].[10001126]_x000D_
[KEY_FIGURES].[].[INDEPENDENTDEMAND]_x000D_
[LOCID].[].[7K10]_x000D_
[PRDID].[].[10001127]_x000D_
[KEY_FIGURES].[].[ZCONSENSUSDEMANDQTY]_x000D_
[LOCID].[].[7K10]_x000D_
[PRDID].[].[10001127]_x000D_
[KEY_FIGURES].[].[ZINPUTSOFC]_x000D_
[LOCID].[].[7K10]_x000D_
[PRDID].[].[10001127]_x000D_
[KEY_FIGURES].[].[ZFORECASTOPENOUTPUT]_x000D_
[LOCID].[].[7K10]_x000D_
[PRDID].[].[10001127]_x000D_
[KEY_FIGURES].[].[ZACTUALSALES]_x000D_
[LOCID].[].[7K10]_x000D_
[PRDID].[].[10001127]_x000D_
[KEY_FIGURES].[].[ZCONSENSUSDEMAND]_x000D_
[LOCID].[].[7K10]_x000D_
[PRDID].[].[10001127]_x000D_
[KEY_FIGURES].[].[INDEPENDENTDEMAND]_x000D_
[LOCID].[].[7K10]_x000D_
[PRDID].[].[10001128]_x000D_
[KEY_FIGURES].[].[ZCONSENSUSDEMANDQTY]_x000D_
[LOCID].[].[7K10]_x000D_
[PRDID].[].[10001128]_x000D_
[KEY_FIGURES].[].[ZINPUTSOFC]_x000D_
[LOCID].[].[7K10]_x000D_
[PRDID].[].[10001128]_x000D_
[KEY_FIGURES].[].[ZFORECASTOPENOUTPUT]_x000D_
[LOCID].[].[7K10]_x000D_
[PRDID].[].[10001128]_x000D_
[KEY_FIGURES].[].[ZACTUALSALES]_x000D_
[LOCID].[].[7K10]_x000D_
[PRDID].[].[10001128]_x000D_
[KEY_FIGURES].[].[ZCONSENSUSDEMAND]_x000D_
[LOCID].[].[7K10]_x000D_
[PRDID].[].[10001128]_x000D_
[KEY_FIGURES].[].[INDEPENDENTDEMAND]_x000D_
[LOCID].[].[7K10]_x000D_
[PRDID].[].[10001129]_x000D_
[KEY_FIGURES].[].[ZCONSENSUSDEMANDQTY]_x000D_
[LOCID].[].[7K10]_x000D_
[PRDID].[].[10001129]_x000D_
[KEY_FIGURES].[].[ZINPUTSOFC]_x000D_
[LOCID].[].[7K10]_x000D_
[PRDID].[].[10001129]_x000D_
[KEY_FIGURES].[].[ZFORECASTOPENOUTPUT]_x000D_
[LOCID].[].[7K10]_x000D_
[PRDID].[].[10001129]_x000D_
[KEY_FIGURES].[].[ZACTUALSALES]_x000D_
[LOCID].[].[7K10]_x000D_
[PRDID].[].[10001129]_x000D_
[KEY_FIGURES].[].[ZCONSENSUSDEMAND]_x000D_
[LOCID].[].[7K10]_x000D_
[PRDID].[].[10001129]_x000D_
[KEY_FIGURES].[].[INDEPENDENTDEMAND]_x000D_
[LOCID].[].[7K10]_x000D_
[PRDID].[].[10001135]_x000D_
[KEY_FIGURES].[].[ZCONSENSUSDEMANDQTY]_x000D_
[LOCID].[].[7K10]_x000D_
[PRDID].[].[10001135]_x000D_
[KEY_FIGURES].[].[ZINPUTSOFC]_x000D_
[LOCID].[].[7K10]_x000D_
[PRDID].[].[10001135]_x000D_
[KEY_FIGURES].[].[ZFORECASTOPENOUTPUT]_x000D_
[LOCID].[].[7K10]_x000D_
[PRDID].[].[10001135]_x000D_
[KEY_FIGURES].[].[ZACTUALSALES]_x000D_
[LOCID].[].[7K10]_x000D_
[PRDID].[].[10001135]_x000D_
[KEY_FIGURES].[].[ZCONSENSUSDEMAND]_x000D_
[LOCID].[].[7K10]_x000D_
[PRDID].[].[10001135]_x000D_
[KEY_FIGURES].[].[INDEPENDENTDEMAND]_x000D_
[LOCID].[].[7K10]_x000D_
[PRDID].[].[10001137]_x000D_
[KEY_FIGURES].[].[ZCONSENSUSDEMANDQTY]_x000D_
[LOCID].[].[7K10]_x000D_
[PRDID].[].[10001137]_x000D_
[KEY_FIGURES].[].[ZINPUTSOFC]</t>
  </si>
  <si>
    <t>[LOCID].[].[7K10]_x000D_
[PRDID].[].[10001137]_x000D_
[KEY_FIGURES].[].[ZFORECASTOPENOUTPUT]_x000D_
[LOCID].[].[7K10]_x000D_
[PRDID].[].[10001137]_x000D_
[KEY_FIGURES].[].[ZACTUALSALES]_x000D_
[LOCID].[].[7K10]_x000D_
[PRDID].[].[10001137]_x000D_
[KEY_FIGURES].[].[ZCONSENSUSDEMAND]_x000D_
[LOCID].[].[7K10]_x000D_
[PRDID].[].[10001137]_x000D_
[KEY_FIGURES].[].[INDEPENDENTDEMAND]_x000D_
[LOCID].[].[7K10]_x000D_
[PRDID].[].[10001138]_x000D_
[KEY_FIGURES].[].[ZCONSENSUSDEMANDQTY]_x000D_
[LOCID].[].[7K10]_x000D_
[PRDID].[].[10001138]_x000D_
[KEY_FIGURES].[].[ZINPUTSOFC]_x000D_
[LOCID].[].[7K10]_x000D_
[PRDID].[].[10001138]_x000D_
[KEY_FIGURES].[].[ZFORECASTOPENOUTPUT]_x000D_
[LOCID].[].[7K10]_x000D_
[PRDID].[].[10001138]_x000D_
[KEY_FIGURES].[].[ZACTUALSALES]_x000D_
[LOCID].[].[7K10]_x000D_
[PRDID].[].[10001138]_x000D_
[KEY_FIGURES].[].[ZCONSENSUSDEMAND]_x000D_
[LOCID].[].[7K10]_x000D_
[PRDID].[].[10001138]_x000D_
[KEY_FIGURES].[].[INDEPENDENTDEMAND]_x000D_
[LOCID].[].[7K10]_x000D_
[PRDID].[].[10001139]_x000D_
[KEY_FIGURES].[].[ZCONSENSUSDEMANDQTY]_x000D_
[LOCID].[].[7K10]_x000D_
[PRDID].[].[10001139]_x000D_
[KEY_FIGURES].[].[ZINPUTSOFC]_x000D_
[LOCID].[].[7K10]_x000D_
[PRDID].[].[10001139]_x000D_
[KEY_FIGURES].[].[ZFORECASTOPENOUTPUT]_x000D_
[LOCID].[].[7K10]_x000D_
[PRDID].[].[10001139]_x000D_
[KEY_FIGURES].[].[ZACTUALSALES]_x000D_
[LOCID].[].[7K10]_x000D_
[PRDID].[].[10001139]_x000D_
[KEY_FIGURES].[].[ZCONSENSUSDEMAND]_x000D_
[LOCID].[].[7K10]_x000D_
[PRDID].[].[10001139]_x000D_
[KEY_FIGURES].[].[INDEPENDENTDEMAND]_x000D_
[LOCID].[].[7K10]_x000D_
[PRDID].[].[10001142]_x000D_
[KEY_FIGURES].[].[ZCONSENSUSDEMANDQTY]_x000D_
[LOCID].[].[7K10]_x000D_
[PRDID].[].[10001142]_x000D_
[KEY_FIGURES].[].[ZINPUTSOFC]_x000D_
[LOCID].[].[7K10]_x000D_
[PRDID].[].[10001142]_x000D_
[KEY_FIGURES].[].[ZFORECASTOPENOUTPUT]_x000D_
[LOCID].[].[7K10]_x000D_
[PRDID].[].[10001142]_x000D_
[KEY_FIGURES].[].[ZACTUALSALES]_x000D_
[LOCID].[].[7K10]_x000D_
[PRDID].[].[10001142]_x000D_
[KEY_FIGURES].[].[ZCONSENSUSDEMAND]_x000D_
[LOCID].[].[7K10]_x000D_
[PRDID].[].[10001142]_x000D_
[KEY_FIGURES].[].[INDEPENDENTDEMAND]_x000D_
[LOCID].[].[7K10]_x000D_
[PRDID].[].[10001143]_x000D_
[KEY_FIGURES].[].[ZCONSENSUSDEMANDQTY]_x000D_
[LOCID].[].[7K10]_x000D_
[PRDID].[].[10001143]_x000D_
[KEY_FIGURES].[].[ZINPUTSOFC]_x000D_
[LOCID].[].[7K10]_x000D_
[PRDID].[].[10001143]_x000D_
[KEY_FIGURES].[].[ZFORECASTOPENOUTPUT]_x000D_
[LOCID].[].[7K10]_x000D_
[PRDID].[].[10001143]_x000D_
[KEY_FIGURES].[].[ZACTUALSALES]_x000D_
[LOCID].[].[7K10]_x000D_
[PRDID].[].[10001143]_x000D_
[KEY_FIGURES].[].[ZCONSENSUSDEMAND]_x000D_
[LOCID].[].[7K10]_x000D_
[PRDID].[].[10001143]_x000D_
[KEY_FIGURES].[].[INDEPENDENTDEMAND]_x000D_
[LOCID].[].[7K10]_x000D_
[PRDID].[].[10001144]_x000D_
[KEY_FIGURES].[].[ZCONSENSUSDEMANDQTY]_x000D_
[LOCID].[].[7K10]_x000D_
[PRDID].[].[10001144]_x000D_
[KEY_FIGURES].[].[ZINPUTSOFC]_x000D_
[LOCID].[].[7K10]_x000D_
[PRDID].[].[10001144]_x000D_
[KEY_FIGURES].[].[ZFORECASTOPENOUTPUT]_x000D_
[LOCID].[].[7K10]_x000D_
[PRDID].[].[10001144]_x000D_
[KEY_FIGURES].[].[ZACTUALSALES]_x000D_
[LOCID].[].[7K10]_x000D_
[PRDID].[].[10001144]_x000D_
[KEY_FIGURES].[].[ZCONSENSUSDEMAND]_x000D_
[LOCID].[].[7K10]_x000D_
[PRDID].[].[10001144]_x000D_
[KEY_FIGURES].[].[INDEPENDENTDEMAND]_x000D_
[LOCID].[].[7K10]_x000D_
[PRDID].[].[10001145]_x000D_
[KEY_FIGURES].[].[ZCONSENSUSDEMANDQTY]_x000D_
[LOCID].[].[7K10]_x000D_
[PRDID].[].[10001145]_x000D_
[KEY_FIGURES].[].[ZINPUTSOFC]_x000D_
[LOCID].[].[7K10]_x000D_
[PRDID].[].[10001145]_x000D_
[KEY_FIGURES].[].[ZFORECASTOPENOUTPUT]_x000D_
[LOCID].[].[7K10]_x000D_
[PRDID].[].[10001145]_x000D_
[KEY_FIGURES].[].[ZACTUALSALES]_x000D_
[LOCID].[].[7K10]_x000D_
[PRDID].[].[10001145]_x000D_
[KEY_FIGURES].[].[ZCONSENSUSDEMAND]_x000D_
[LOCID].[].[7K10]_x000D_
[PRDID].[].[10001145]_x000D_
[KEY_FIGURES].[].[INDEPENDENTDEMAND]_x000D_
[LOCID].[].[7K10]_x000D_
[PRDID].[].[10001146]_x000D_
[KEY_FIGURES].[].[ZCONSENSUSDEMANDQTY]_x000D_
[LOCID].[].[7K10]_x000D_
[PRDID].[].[10001146]_x000D_
[KEY_FIGURES].[].[ZINPUTSOFC]_x000D_
[LOCID].[].[7K10]_x000D_
[PRDID].[].[10001146]_x000D_
[KEY_FIGURES].[].[ZFORECASTOPENOUTPUT]_x000D_
[LOCID].[].[7K10]_x000D_
[PRDID].[].[10001146]_x000D_
[KEY_FIGURES].[].[ZACTUALSALES]_x000D_
[LOCID].[].[7K10]_x000D_
[PRDID].[].[10001146]_x000D_
[KEY_FIGURES].[].[ZCONSENSUSDEMAND]_x000D_
[LOCID].[].[7K10]_x000D_
[PRDID].[].[10001146]_x000D_
[KEY_FIGURES].[].[INDEPENDENTDEMAND]_x000D_
[LOCID].[].[7K10]_x000D_
[PRDID].[].[10001147]_x000D_
[KEY_FIGURES].[].[ZCONSENSUSDEMANDQTY]_x000D_
[LOCID].[].[7K10]_x000D_
[PRDID].[].[10001147]_x000D_
[KEY_FIGURES].[].[ZINPUTSOFC]_x000D_
[LOCID].[].[7K10]_x000D_
[PRDID].[].[10001147]_x000D_
[KEY_FIGURES].[].[ZFORECASTOPENOUTPUT]_x000D_
[LOCID].[].[7K10]_x000D_
[PRDID].[].[10001147]_x000D_
[KEY_FIGURES].[].[ZACTUALSALES]_x000D_
[LOCID].[].[7K10]_x000D_
[PRDID].[].[10001147]_x000D_
[KEY_FIGURES].[].[ZCONSENSUSDEMAND]_x000D_
[LOCID].[].[7K10]_x000D_
[PRDID].[].[10001147]_x000D_
[KEY_FIGURES].[].[INDEPENDENTDEMAND]_x000D_
[LOCID].[].[7K10]_x000D_
[PRDID].[].[10001148]_x000D_
[KEY_FIGURES].[].[ZCONSENSUSDEMANDQTY]_x000D_
[LOCID].[].[7K10]_x000D_
[PRDID].[].[10001148]_x000D_
[KEY_FIGURES].[].[ZINPUTSOFC]_x000D_
[LOCID].[].[7K10]_x000D_
[PRDID].[].[10001148]_x000D_
[KEY_FIGURES].[].[ZFORECASTOPENOUTPUT]_x000D_
[LOCID].[].[7K10]_x000D_
[PRDID].[].[10001148]_x000D_
[KEY_FIGURES].[].[ZACTUALSALES]_x000D_
[LOCID].[].[7K10]_x000D_
[PRDID].[].[10001148]_x000D_
[KEY_FIGURES].[].[ZCONSENSUSDEMAND]_x000D_
[LOCID].[].[7K10]_x000D_
[PRDID].[].[10001148]_x000D_
[KEY_FIGURES].[].[INDEPENDENTDEMAND]_x000D_
[LOCID].[].[7K10]_x000D_
[PRDID].[].[10001149]_x000D_
[KEY_FIGURES].[].[ZCONSENSUSDEMANDQTY]_x000D_
[LOCID].[].[7K10]_x000D_
[PRDID].[].[10001149]_x000D_
[KEY_FIGURES].[].[ZINPUTSOFC]_x000D_
[LOCID].[].[7K10]_x000D_
[PRDID].[].[10001149]_x000D_
[KEY_FIGURES].[].[ZFORECASTOPENOUTPUT]_x000D_
[LOCID].[].[7K10]_x000D_
[PRDID].[].[10001149]_x000D_
[KEY_FIGURES].[].[ZACTUALSALES]_x000D_
[LOCID].[].[7K10]_x000D_
[PRDID].[].[10001149]_x000D_
[KEY_FIGURES].[].[ZCONSENSUSDEMAND]_x000D_
[LOCID].[].[7K10]_x000D_
[PRDID].[].[10001149]_x000D_
[KEY_FIGURES].[].[INDEPENDENTDEMAND]_x000D_
[LOCID].[].[7K10]_x000D_
[PRDID].[].[10001150]_x000D_
[KEY_FIGURES].[].[ZCONSENSUSDEMANDQTY]_x000D_
[LOCID].[].[7K10]_x000D_
[PRDID].[].[10001150]_x000D_
[KEY_FIGURES].[].[ZINPUTSOFC]_x000D_
[LOCID].[].[7K10]_x000D_
[PRDID].[].[10001150]</t>
  </si>
  <si>
    <t>[KEY_FIGURES].[].[ZFORECASTOPENOUTPUT]_x000D_
[LOCID].[].[7K10]_x000D_
[PRDID].[].[10001150]_x000D_
[KEY_FIGURES].[].[ZACTUALSALES]_x000D_
[LOCID].[].[7K10]_x000D_
[PRDID].[].[10001150]_x000D_
[KEY_FIGURES].[].[ZCONSENSUSDEMAND]_x000D_
[LOCID].[].[7K10]_x000D_
[PRDID].[].[10001150]_x000D_
[KEY_FIGURES].[].[INDEPENDENTDEMAND]_x000D_
[LOCID].[].[7K10]_x000D_
[PRDID].[].[10001151]_x000D_
[KEY_FIGURES].[].[ZCONSENSUSDEMANDQTY]_x000D_
[LOCID].[].[7K10]_x000D_
[PRDID].[].[10001151]_x000D_
[KEY_FIGURES].[].[ZINPUTSOFC]_x000D_
[LOCID].[].[7K10]_x000D_
[PRDID].[].[10001151]_x000D_
[KEY_FIGURES].[].[ZFORECASTOPENOUTPUT]_x000D_
[LOCID].[].[7K10]_x000D_
[PRDID].[].[10001151]_x000D_
[KEY_FIGURES].[].[ZACTUALSALES]_x000D_
[LOCID].[].[7K10]_x000D_
[PRDID].[].[10001151]_x000D_
[KEY_FIGURES].[].[ZCONSENSUSDEMAND]_x000D_
[LOCID].[].[7K10]_x000D_
[PRDID].[].[10001151]_x000D_
[KEY_FIGURES].[].[INDEPENDENTDEMAND]_x000D_
[LOCID].[].[7K10]_x000D_
[PRDID].[].[10001152]_x000D_
[KEY_FIGURES].[].[ZCONSENSUSDEMANDQTY]_x000D_
[LOCID].[].[7K10]_x000D_
[PRDID].[].[10001152]_x000D_
[KEY_FIGURES].[].[ZINPUTSOFC]_x000D_
[LOCID].[].[7K10]_x000D_
[PRDID].[].[10001152]_x000D_
[KEY_FIGURES].[].[ZFORECASTOPENOUTPUT]_x000D_
[LOCID].[].[7K10]_x000D_
[PRDID].[].[10001152]_x000D_
[KEY_FIGURES].[].[ZACTUALSALES]_x000D_
[LOCID].[].[7K10]_x000D_
[PRDID].[].[10001152]_x000D_
[KEY_FIGURES].[].[ZCONSENSUSDEMAND]_x000D_
[LOCID].[].[7K10]_x000D_
[PRDID].[].[10001152]_x000D_
[KEY_FIGURES].[].[INDEPENDENTDEMAND]_x000D_
[LOCID].[].[7K10]_x000D_
[PRDID].[].[10001153]_x000D_
[KEY_FIGURES].[].[ZCONSENSUSDEMANDQTY]_x000D_
[LOCID].[].[7K10]_x000D_
[PRDID].[].[10001153]_x000D_
[KEY_FIGURES].[].[ZINPUTSOFC]_x000D_
[LOCID].[].[7K10]_x000D_
[PRDID].[].[10001153]_x000D_
[KEY_FIGURES].[].[ZFORECASTOPENOUTPUT]_x000D_
[LOCID].[].[7K10]_x000D_
[PRDID].[].[10001153]_x000D_
[KEY_FIGURES].[].[ZACTUALSALES]_x000D_
[LOCID].[].[7K10]_x000D_
[PRDID].[].[10001153]_x000D_
[KEY_FIGURES].[].[ZCONSENSUSDEMAND]_x000D_
[LOCID].[].[7K10]_x000D_
[PRDID].[].[10001153]_x000D_
[KEY_FIGURES].[].[INDEPENDENTDEMAND]_x000D_
[LOCID].[].[7K10]_x000D_
[PRDID].[].[10001154]_x000D_
[KEY_FIGURES].[].[ZCONSENSUSDEMANDQTY]_x000D_
[LOCID].[].[7K10]_x000D_
[PRDID].[].[10001154]_x000D_
[KEY_FIGURES].[].[ZINPUTSOFC]_x000D_
[LOCID].[].[7K10]_x000D_
[PRDID].[].[10001154]_x000D_
[KEY_FIGURES].[].[ZFORECASTOPENOUTPUT]_x000D_
[LOCID].[].[7K10]_x000D_
[PRDID].[].[10001154]_x000D_
[KEY_FIGURES].[].[ZACTUALSALES]_x000D_
[LOCID].[].[7K10]_x000D_
[PRDID].[].[10001154]_x000D_
[KEY_FIGURES].[].[ZCONSENSUSDEMAND]_x000D_
[LOCID].[].[7K10]_x000D_
[PRDID].[].[10001154]_x000D_
[KEY_FIGURES].[].[INDEPENDENTDEMAND]_x000D_
[LOCID].[].[7K10]_x000D_
[PRDID].[].[10001155]_x000D_
[KEY_FIGURES].[].[ZCONSENSUSDEMANDQTY]_x000D_
[LOCID].[].[7K10]_x000D_
[PRDID].[].[10001155]_x000D_
[KEY_FIGURES].[].[ZINPUTSOFC]_x000D_
[LOCID].[].[7K10]_x000D_
[PRDID].[].[10001155]_x000D_
[KEY_FIGURES].[].[ZFORECASTOPENOUTPUT]_x000D_
[LOCID].[].[7K10]_x000D_
[PRDID].[].[10001155]_x000D_
[KEY_FIGURES].[].[ZACTUALSALES]_x000D_
[LOCID].[].[7K10]_x000D_
[PRDID].[].[10001155]_x000D_
[KEY_FIGURES].[].[ZCONSENSUSDEMAND]_x000D_
[LOCID].[].[7K10]_x000D_
[PRDID].[].[10001155]_x000D_
[KEY_FIGURES].[].[INDEPENDENTDEMAND]_x000D_
[LOCID].[].[7K10]_x000D_
[PRDID].[].[10001156]_x000D_
[KEY_FIGURES].[].[ZCONSENSUSDEMANDQTY]_x000D_
[LOCID].[].[7K10]_x000D_
[PRDID].[].[10001156]_x000D_
[KEY_FIGURES].[].[ZINPUTSOFC]_x000D_
[LOCID].[].[7K10]_x000D_
[PRDID].[].[10001156]_x000D_
[KEY_FIGURES].[].[ZFORECASTOPENOUTPUT]_x000D_
[LOCID].[].[7K10]_x000D_
[PRDID].[].[10001156]_x000D_
[KEY_FIGURES].[].[ZACTUALSALES]_x000D_
[LOCID].[].[7K10]_x000D_
[PRDID].[].[10001156]_x000D_
[KEY_FIGURES].[].[ZCONSENSUSDEMAND]_x000D_
[LOCID].[].[7K10]_x000D_
[PRDID].[].[10001156]_x000D_
[KEY_FIGURES].[].[INDEPENDENTDEMAND]_x000D_
[LOCID].[].[7K10]_x000D_
[PRDID].[].[10001157]_x000D_
[KEY_FIGURES].[].[ZCONSENSUSDEMANDQTY]_x000D_
[LOCID].[].[7K10]_x000D_
[PRDID].[].[10001157]_x000D_
[KEY_FIGURES].[].[ZINPUTSOFC]_x000D_
[LOCID].[].[7K10]_x000D_
[PRDID].[].[10001157]_x000D_
[KEY_FIGURES].[].[ZFORECASTOPENOUTPUT]_x000D_
[LOCID].[].[7K10]_x000D_
[PRDID].[].[10001157]_x000D_
[KEY_FIGURES].[].[ZACTUALSALES]_x000D_
[LOCID].[].[7K10]_x000D_
[PRDID].[].[10001157]_x000D_
[KEY_FIGURES].[].[ZCONSENSUSDEMAND]_x000D_
[LOCID].[].[7K10]_x000D_
[PRDID].[].[10001157]_x000D_
[KEY_FIGURES].[].[INDEPENDENTDEMAND]_x000D_
[LOCID].[].[7K10]_x000D_
[PRDID].[].[10001158]_x000D_
[KEY_FIGURES].[].[ZCONSENSUSDEMANDQTY]_x000D_
[LOCID].[].[7K10]_x000D_
[PRDID].[].[10001158]_x000D_
[KEY_FIGURES].[].[ZINPUTSOFC]_x000D_
[LOCID].[].[7K10]_x000D_
[PRDID].[].[10001158]_x000D_
[KEY_FIGURES].[].[ZFORECASTOPENOUTPUT]_x000D_
[LOCID].[].[7K10]_x000D_
[PRDID].[].[10001158]_x000D_
[KEY_FIGURES].[].[ZACTUALSALES]_x000D_
[LOCID].[].[7K10]_x000D_
[PRDID].[].[10001158]_x000D_
[KEY_FIGURES].[].[ZCONSENSUSDEMAND]_x000D_
[LOCID].[].[7K10]_x000D_
[PRDID].[].[10001158]_x000D_
[KEY_FIGURES].[].[INDEPENDENTDEMAND]_x000D_
[LOCID].[].[7K10]_x000D_
[PRDID].[].[10001159]_x000D_
[KEY_FIGURES].[].[ZCONSENSUSDEMANDQTY]_x000D_
[LOCID].[].[7K10]_x000D_
[PRDID].[].[10001159]_x000D_
[KEY_FIGURES].[].[ZINPUTSOFC]_x000D_
[LOCID].[].[7K10]_x000D_
[PRDID].[].[10001159]_x000D_
[KEY_FIGURES].[].[ZFORECASTOPENOUTPUT]_x000D_
[LOCID].[].[7K10]_x000D_
[PRDID].[].[10001159]_x000D_
[KEY_FIGURES].[].[ZACTUALSALES]_x000D_
[LOCID].[].[7K10]_x000D_
[PRDID].[].[10001159]_x000D_
[KEY_FIGURES].[].[ZCONSENSUSDEMAND]_x000D_
[LOCID].[].[7K10]_x000D_
[PRDID].[].[10001159]_x000D_
[KEY_FIGURES].[].[INDEPENDENTDEMAND]_x000D_
[LOCID].[].[7K10]_x000D_
[PRDID].[].[10001160]_x000D_
[KEY_FIGURES].[].[ZCONSENSUSDEMANDQTY]_x000D_
[LOCID].[].[7K10]_x000D_
[PRDID].[].[10001160]_x000D_
[KEY_FIGURES].[].[ZINPUTSOFC]_x000D_
[LOCID].[].[7K10]_x000D_
[PRDID].[].[10001160]_x000D_
[KEY_FIGURES].[].[ZFORECASTOPENOUTPUT]_x000D_
[LOCID].[].[7K10]_x000D_
[PRDID].[].[10001160]_x000D_
[KEY_FIGURES].[].[ZACTUALSALES]_x000D_
[LOCID].[].[7K10]_x000D_
[PRDID].[].[10001160]_x000D_
[KEY_FIGURES].[].[ZCONSENSUSDEMAND]_x000D_
[LOCID].[].[7K10]_x000D_
[PRDID].[].[10001160]_x000D_
[KEY_FIGURES].[].[INDEPENDENTDEMAND]_x000D_
[LOCID].[].[7K10]_x000D_
[PRDID].[].[10001161]_x000D_
[KEY_FIGURES].[].[ZCONSENSUSDEMANDQTY]_x000D_
[LOCID].[].[7K10]_x000D_
[PRDID].[].[10001161]_x000D_
[KEY_FIGURES].[].[ZINPUTSOFC]_x000D_
[LOCID].[].[7K10]_x000D_
[PRDID].[].[10001161]_x000D_
[KEY_FIGURES].[].[ZFORECASTOPENOUTPUT]_x000D_
[LOCID].[].[7K10]</t>
  </si>
  <si>
    <t>[PRDID].[].[10001161]_x000D_
[KEY_FIGURES].[].[ZACTUALSALES]_x000D_
[LOCID].[].[7K10]_x000D_
[PRDID].[].[10001161]_x000D_
[KEY_FIGURES].[].[ZCONSENSUSDEMAND]_x000D_
[LOCID].[].[7K10]_x000D_
[PRDID].[].[10001161]_x000D_
[KEY_FIGURES].[].[INDEPENDENTDEMAND]_x000D_
[LOCID].[].[7K10]_x000D_
[PRDID].[].[10001162]_x000D_
[KEY_FIGURES].[].[ZCONSENSUSDEMANDQTY]_x000D_
[LOCID].[].[7K10]_x000D_
[PRDID].[].[10001162]_x000D_
[KEY_FIGURES].[].[ZINPUTSOFC]_x000D_
[LOCID].[].[7K10]_x000D_
[PRDID].[].[10001162]_x000D_
[KEY_FIGURES].[].[ZFORECASTOPENOUTPUT]_x000D_
[LOCID].[].[7K10]_x000D_
[PRDID].[].[10001162]_x000D_
[KEY_FIGURES].[].[ZACTUALSALES]_x000D_
[LOCID].[].[7K10]_x000D_
[PRDID].[].[10001162]_x000D_
[KEY_FIGURES].[].[ZCONSENSUSDEMAND]_x000D_
[LOCID].[].[7K10]_x000D_
[PRDID].[].[10001162]_x000D_
[KEY_FIGURES].[].[INDEPENDENTDEMAND]_x000D_
[LOCID].[].[7K10]_x000D_
[PRDID].[].[10001163]_x000D_
[KEY_FIGURES].[].[ZCONSENSUSDEMANDQTY]_x000D_
[LOCID].[].[7K10]_x000D_
[PRDID].[].[10001163]_x000D_
[KEY_FIGURES].[].[ZINPUTSOFC]_x000D_
[LOCID].[].[7K10]_x000D_
[PRDID].[].[10001163]_x000D_
[KEY_FIGURES].[].[ZFORECASTOPENOUTPUT]_x000D_
[LOCID].[].[7K10]_x000D_
[PRDID].[].[10001163]_x000D_
[KEY_FIGURES].[].[ZACTUALSALES]_x000D_
[LOCID].[].[7K10]_x000D_
[PRDID].[].[10001163]_x000D_
[KEY_FIGURES].[].[ZCONSENSUSDEMAND]_x000D_
[LOCID].[].[7K10]_x000D_
[PRDID].[].[10001163]_x000D_
[KEY_FIGURES].[].[INDEPENDENTDEMAND]_x000D_
[LOCID].[].[7K10]_x000D_
[PRDID].[].[10001164]_x000D_
[KEY_FIGURES].[].[ZCONSENSUSDEMANDQTY]_x000D_
[LOCID].[].[7K10]_x000D_
[PRDID].[].[10001164]_x000D_
[KEY_FIGURES].[].[ZINPUTSOFC]_x000D_
[LOCID].[].[7K10]_x000D_
[PRDID].[].[10001164]_x000D_
[KEY_FIGURES].[].[ZFORECASTOPENOUTPUT]_x000D_
[LOCID].[].[7K10]_x000D_
[PRDID].[].[10001164]_x000D_
[KEY_FIGURES].[].[ZACTUALSALES]_x000D_
[LOCID].[].[7K10]_x000D_
[PRDID].[].[10001164]_x000D_
[KEY_FIGURES].[].[ZCONSENSUSDEMAND]_x000D_
[LOCID].[].[7K10]_x000D_
[PRDID].[].[10001164]_x000D_
[KEY_FIGURES].[].[INDEPENDENTDEMAND]_x000D_
[LOCID].[].[7K10]_x000D_
[PRDID].[].[10001165]_x000D_
[KEY_FIGURES].[].[ZCONSENSUSDEMANDQTY]_x000D_
[LOCID].[].[7K10]_x000D_
[PRDID].[].[10001165]_x000D_
[KEY_FIGURES].[].[ZINPUTSOFC]_x000D_
[LOCID].[].[7K10]_x000D_
[PRDID].[].[10001165]_x000D_
[KEY_FIGURES].[].[ZFORECASTOPENOUTPUT]_x000D_
[LOCID].[].[7K10]_x000D_
[PRDID].[].[10001165]_x000D_
[KEY_FIGURES].[].[ZACTUALSALES]_x000D_
[LOCID].[].[7K10]_x000D_
[PRDID].[].[10001165]_x000D_
[KEY_FIGURES].[].[ZCONSENSUSDEMAND]_x000D_
[LOCID].[].[7K10]_x000D_
[PRDID].[].[10001165]_x000D_
[KEY_FIGURES].[].[INDEPENDENTDEMAND]_x000D_
[LOCID].[].[7K10]_x000D_
[PRDID].[].[10001166]_x000D_
[KEY_FIGURES].[].[ZCONSENSUSDEMANDQTY]_x000D_
[LOCID].[].[7K10]_x000D_
[PRDID].[].[10001166]_x000D_
[KEY_FIGURES].[].[ZINPUTSOFC]_x000D_
[LOCID].[].[7K10]_x000D_
[PRDID].[].[10001166]_x000D_
[KEY_FIGURES].[].[ZFORECASTOPENOUTPUT]_x000D_
[LOCID].[].[7K10]_x000D_
[PRDID].[].[10001166]_x000D_
[KEY_FIGURES].[].[ZACTUALSALES]_x000D_
[LOCID].[].[7K10]_x000D_
[PRDID].[].[10001166]_x000D_
[KEY_FIGURES].[].[ZCONSENSUSDEMAND]_x000D_
[LOCID].[].[7K10]_x000D_
[PRDID].[].[10001166]_x000D_
[KEY_FIGURES].[].[INDEPENDENTDEMAND]_x000D_
[LOCID].[].[7K10]_x000D_
[PRDID].[].[10001167]_x000D_
[KEY_FIGURES].[].[ZCONSENSUSDEMANDQTY]_x000D_
[LOCID].[].[7K10]_x000D_
[PRDID].[].[10001167]_x000D_
[KEY_FIGURES].[].[ZINPUTSOFC]_x000D_
[LOCID].[].[7K10]_x000D_
[PRDID].[].[10001167]_x000D_
[KEY_FIGURES].[].[ZFORECASTOPENOUTPUT]_x000D_
[LOCID].[].[7K10]_x000D_
[PRDID].[].[10001167]_x000D_
[KEY_FIGURES].[].[ZACTUALSALES]_x000D_
[LOCID].[].[7K10]_x000D_
[PRDID].[].[10001167]_x000D_
[KEY_FIGURES].[].[ZCONSENSUSDEMAND]_x000D_
[LOCID].[].[7K10]_x000D_
[PRDID].[].[10001167]_x000D_
[KEY_FIGURES].[].[INDEPENDENTDEMAND]_x000D_
[LOCID].[].[7K10]_x000D_
[PRDID].[].[10001168]_x000D_
[KEY_FIGURES].[].[ZCONSENSUSDEMANDQTY]_x000D_
[LOCID].[].[7K10]_x000D_
[PRDID].[].[10001168]_x000D_
[KEY_FIGURES].[].[ZINPUTSOFC]_x000D_
[LOCID].[].[7K10]_x000D_
[PRDID].[].[10001168]_x000D_
[KEY_FIGURES].[].[ZFORECASTOPENOUTPUT]_x000D_
[LOCID].[].[7K10]_x000D_
[PRDID].[].[10001168]_x000D_
[KEY_FIGURES].[].[ZACTUALSALES]_x000D_
[LOCID].[].[7K10]_x000D_
[PRDID].[].[10001168]_x000D_
[KEY_FIGURES].[].[ZCONSENSUSDEMAND]_x000D_
[LOCID].[].[7K10]_x000D_
[PRDID].[].[10001168]_x000D_
[KEY_FIGURES].[].[INDEPENDENTDEMAND]_x000D_
[LOCID].[].[7K10]_x000D_
[PRDID].[].[10001170]_x000D_
[KEY_FIGURES].[].[ZCONSENSUSDEMANDQTY]_x000D_
[LOCID].[].[7K10]_x000D_
[PRDID].[].[10001170]_x000D_
[KEY_FIGURES].[].[ZINPUTSOFC]_x000D_
[LOCID].[].[7K10]_x000D_
[PRDID].[].[10001170]_x000D_
[KEY_FIGURES].[].[ZFORECASTOPENOUTPUT]_x000D_
[LOCID].[].[7K10]_x000D_
[PRDID].[].[10001170]_x000D_
[KEY_FIGURES].[].[ZACTUALSALES]_x000D_
[LOCID].[].[7K10]_x000D_
[PRDID].[].[10001170]_x000D_
[KEY_FIGURES].[].[ZCONSENSUSDEMAND]_x000D_
[LOCID].[].[7K10]_x000D_
[PRDID].[].[10001170]_x000D_
[KEY_FIGURES].[].[INDEPENDENTDEMAND]_x000D_
[LOCID].[].[7K10]_x000D_
[PRDID].[].[10001171]_x000D_
[KEY_FIGURES].[].[ZCONSENSUSDEMANDQTY]_x000D_
[LOCID].[].[7K10]_x000D_
[PRDID].[].[10001171]_x000D_
[KEY_FIGURES].[].[ZINPUTSOFC]_x000D_
[LOCID].[].[7K10]_x000D_
[PRDID].[].[10001171]_x000D_
[KEY_FIGURES].[].[ZFORECASTOPENOUTPUT]_x000D_
[LOCID].[].[7K10]_x000D_
[PRDID].[].[10001171]_x000D_
[KEY_FIGURES].[].[ZACTUALSALES]_x000D_
[LOCID].[].[7K10]_x000D_
[PRDID].[].[10001171]_x000D_
[KEY_FIGURES].[].[ZCONSENSUSDEMAND]_x000D_
[LOCID].[].[7K10]_x000D_
[PRDID].[].[10001171]_x000D_
[KEY_FIGURES].[].[INDEPENDENTDEMAND]_x000D_
[LOCID].[].[7K10]_x000D_
[PRDID].[].[10001172]_x000D_
[KEY_FIGURES].[].[ZCONSENSUSDEMANDQTY]_x000D_
[LOCID].[].[7K10]_x000D_
[PRDID].[].[10001172]_x000D_
[KEY_FIGURES].[].[ZINPUTSOFC]_x000D_
[LOCID].[].[7K10]_x000D_
[PRDID].[].[10001172]_x000D_
[KEY_FIGURES].[].[ZFORECASTOPENOUTPUT]_x000D_
[LOCID].[].[7K10]_x000D_
[PRDID].[].[10001172]_x000D_
[KEY_FIGURES].[].[ZACTUALSALES]_x000D_
[LOCID].[].[7K10]_x000D_
[PRDID].[].[10001172]_x000D_
[KEY_FIGURES].[].[ZCONSENSUSDEMAND]_x000D_
[LOCID].[].[7K10]_x000D_
[PRDID].[].[10001172]_x000D_
[KEY_FIGURES].[].[INDEPENDENTDEMAND]_x000D_
[LOCID].[].[7K10]_x000D_
[PRDID].[].[10001173]_x000D_
[KEY_FIGURES].[].[ZCONSENSUSDEMANDQTY]_x000D_
[LOCID].[].[7K10]_x000D_
[PRDID].[].[10001173]_x000D_
[KEY_FIGURES].[].[ZINPUTSOFC]_x000D_
[LOCID].[].[7K10]_x000D_
[PRDID].[].[10001173]_x000D_
[KEY_FIGURES].[].[ZFORECASTOPENOUTPUT]_x000D_
[LOCID].[].[7K10]_x000D_
[PRDID].[].[10001173]_x000D_
[KEY_FIGURES].[].[ZACTUALSALES]</t>
  </si>
  <si>
    <t>[LOCID].[].[7K10]_x000D_
[PRDID].[].[10001173]_x000D_
[KEY_FIGURES].[].[ZCONSENSUSDEMAND]_x000D_
[LOCID].[].[7K10]_x000D_
[PRDID].[].[10001173]_x000D_
[KEY_FIGURES].[].[INDEPENDENTDEMAND]_x000D_
[LOCID].[].[7K10]_x000D_
[PRDID].[].[10001174]_x000D_
[KEY_FIGURES].[].[ZCONSENSUSDEMANDQTY]_x000D_
[LOCID].[].[7K10]_x000D_
[PRDID].[].[10001174]_x000D_
[KEY_FIGURES].[].[ZINPUTSOFC]_x000D_
[LOCID].[].[7K10]_x000D_
[PRDID].[].[10001174]_x000D_
[KEY_FIGURES].[].[ZFORECASTOPENOUTPUT]_x000D_
[LOCID].[].[7K10]_x000D_
[PRDID].[].[10001174]_x000D_
[KEY_FIGURES].[].[ZACTUALSALES]_x000D_
[LOCID].[].[7K10]_x000D_
[PRDID].[].[10001174]_x000D_
[KEY_FIGURES].[].[ZCONSENSUSDEMAND]_x000D_
[LOCID].[].[7K10]_x000D_
[PRDID].[].[10001174]_x000D_
[KEY_FIGURES].[].[INDEPENDENTDEMAND]_x000D_
[LOCID].[].[7K10]_x000D_
[PRDID].[].[10001175]_x000D_
[KEY_FIGURES].[].[ZCONSENSUSDEMANDQTY]_x000D_
[LOCID].[].[7K10]_x000D_
[PRDID].[].[10001175]_x000D_
[KEY_FIGURES].[].[ZINPUTSOFC]_x000D_
[LOCID].[].[7K10]_x000D_
[PRDID].[].[10001175]_x000D_
[KEY_FIGURES].[].[ZFORECASTOPENOUTPUT]_x000D_
[LOCID].[].[7K10]_x000D_
[PRDID].[].[10001175]_x000D_
[KEY_FIGURES].[].[ZACTUALSALES]_x000D_
[LOCID].[].[7K10]_x000D_
[PRDID].[].[10001175]_x000D_
[KEY_FIGURES].[].[ZCONSENSUSDEMAND]_x000D_
[LOCID].[].[7K10]_x000D_
[PRDID].[].[10001175]_x000D_
[KEY_FIGURES].[].[INDEPENDENTDEMAND]_x000D_
[LOCID].[].[7K10]_x000D_
[PRDID].[].[10001176]_x000D_
[KEY_FIGURES].[].[ZCONSENSUSDEMANDQTY]_x000D_
[LOCID].[].[7K10]_x000D_
[PRDID].[].[10001176]_x000D_
[KEY_FIGURES].[].[ZINPUTSOFC]_x000D_
[LOCID].[].[7K10]_x000D_
[PRDID].[].[10001176]_x000D_
[KEY_FIGURES].[].[ZFORECASTOPENOUTPUT]_x000D_
[LOCID].[].[7K10]_x000D_
[PRDID].[].[10001176]_x000D_
[KEY_FIGURES].[].[ZACTUALSALES]_x000D_
[LOCID].[].[7K10]_x000D_
[PRDID].[].[10001176]_x000D_
[KEY_FIGURES].[].[ZCONSENSUSDEMAND]_x000D_
[LOCID].[].[7K10]_x000D_
[PRDID].[].[10001176]_x000D_
[KEY_FIGURES].[].[INDEPENDENTDEMAND]_x000D_
[LOCID].[].[7K10]_x000D_
[PRDID].[].[10001177]_x000D_
[KEY_FIGURES].[].[ZCONSENSUSDEMANDQTY]_x000D_
[LOCID].[].[7K10]_x000D_
[PRDID].[].[10001177]_x000D_
[KEY_FIGURES].[].[ZINPUTSOFC]_x000D_
[LOCID].[].[7K10]_x000D_
[PRDID].[].[10001177]_x000D_
[KEY_FIGURES].[].[ZFORECASTOPENOUTPUT]_x000D_
[LOCID].[].[7K10]_x000D_
[PRDID].[].[10001177]_x000D_
[KEY_FIGURES].[].[ZACTUALSALES]_x000D_
[LOCID].[].[7K10]_x000D_
[PRDID].[].[10001177]_x000D_
[KEY_FIGURES].[].[ZCONSENSUSDEMAND]_x000D_
[LOCID].[].[7K10]_x000D_
[PRDID].[].[10001177]_x000D_
[KEY_FIGURES].[].[INDEPENDENTDEMAND]_x000D_
[LOCID].[].[7K10]_x000D_
[PRDID].[].[10001178]_x000D_
[KEY_FIGURES].[].[ZCONSENSUSDEMANDQTY]_x000D_
[LOCID].[].[7K10]_x000D_
[PRDID].[].[10001178]_x000D_
[KEY_FIGURES].[].[ZINPUTSOFC]_x000D_
[LOCID].[].[7K10]_x000D_
[PRDID].[].[10001178]_x000D_
[KEY_FIGURES].[].[ZFORECASTOPENOUTPUT]_x000D_
[LOCID].[].[7K10]_x000D_
[PRDID].[].[10001178]_x000D_
[KEY_FIGURES].[].[ZACTUALSALES]_x000D_
[LOCID].[].[7K10]_x000D_
[PRDID].[].[10001178]_x000D_
[KEY_FIGURES].[].[ZCONSENSUSDEMAND]_x000D_
[LOCID].[].[7K10]_x000D_
[PRDID].[].[10001178]_x000D_
[KEY_FIGURES].[].[INDEPENDENTDEMAND]_x000D_
[LOCID].[].[7K10]_x000D_
[PRDID].[].[10001179]_x000D_
[KEY_FIGURES].[].[ZCONSENSUSDEMANDQTY]_x000D_
[LOCID].[].[7K10]_x000D_
[PRDID].[].[10001179]_x000D_
[KEY_FIGURES].[].[ZINPUTSOFC]_x000D_
[LOCID].[].[7K10]_x000D_
[PRDID].[].[10001179]_x000D_
[KEY_FIGURES].[].[ZFORECASTOPENOUTPUT]_x000D_
[LOCID].[].[7K10]_x000D_
[PRDID].[].[10001179]_x000D_
[KEY_FIGURES].[].[ZACTUALSALES]_x000D_
[LOCID].[].[7K10]_x000D_
[PRDID].[].[10001179]_x000D_
[KEY_FIGURES].[].[ZCONSENSUSDEMAND]_x000D_
[LOCID].[].[7K10]_x000D_
[PRDID].[].[10001179]_x000D_
[KEY_FIGURES].[].[INDEPENDENTDEMAND]_x000D_
[LOCID].[].[7K10]_x000D_
[PRDID].[].[10001180]_x000D_
[KEY_FIGURES].[].[ZCONSENSUSDEMANDQTY]_x000D_
[LOCID].[].[7K10]_x000D_
[PRDID].[].[10001180]_x000D_
[KEY_FIGURES].[].[ZINPUTSOFC]_x000D_
[LOCID].[].[7K10]_x000D_
[PRDID].[].[10001180]_x000D_
[KEY_FIGURES].[].[ZFORECASTOPENOUTPUT]_x000D_
[LOCID].[].[7K10]_x000D_
[PRDID].[].[10001180]_x000D_
[KEY_FIGURES].[].[ZACTUALSALES]_x000D_
[LOCID].[].[7K10]_x000D_
[PRDID].[].[10001180]_x000D_
[KEY_FIGURES].[].[ZCONSENSUSDEMAND]_x000D_
[LOCID].[].[7K10]_x000D_
[PRDID].[].[10001180]_x000D_
[KEY_FIGURES].[].[INDEPENDENTDEMAND]_x000D_
[LOCID].[].[7K10]_x000D_
[PRDID].[].[10001181]_x000D_
[KEY_FIGURES].[].[ZCONSENSUSDEMANDQTY]_x000D_
[LOCID].[].[7K10]_x000D_
[PRDID].[].[10001181]_x000D_
[KEY_FIGURES].[].[ZINPUTSOFC]_x000D_
[LOCID].[].[7K10]_x000D_
[PRDID].[].[10001181]_x000D_
[KEY_FIGURES].[].[ZFORECASTOPENOUTPUT]_x000D_
[LOCID].[].[7K10]_x000D_
[PRDID].[].[10001181]_x000D_
[KEY_FIGURES].[].[ZACTUALSALES]_x000D_
[LOCID].[].[7K10]_x000D_
[PRDID].[].[10001181]_x000D_
[KEY_FIGURES].[].[ZCONSENSUSDEMAND]_x000D_
[LOCID].[].[7K10]_x000D_
[PRDID].[].[10001181]_x000D_
[KEY_FIGURES].[].[INDEPENDENTDEMAND]_x000D_
[LOCID].[].[7K10]_x000D_
[PRDID].[].[10001182]_x000D_
[KEY_FIGURES].[].[ZCONSENSUSDEMANDQTY]_x000D_
[LOCID].[].[7K10]_x000D_
[PRDID].[].[10001182]_x000D_
[KEY_FIGURES].[].[ZINPUTSOFC]_x000D_
[LOCID].[].[7K10]_x000D_
[PRDID].[].[10001182]_x000D_
[KEY_FIGURES].[].[ZFORECASTOPENOUTPUT]_x000D_
[LOCID].[].[7K10]_x000D_
[PRDID].[].[10001182]_x000D_
[KEY_FIGURES].[].[ZACTUALSALES]_x000D_
[LOCID].[].[7K10]_x000D_
[PRDID].[].[10001182]_x000D_
[KEY_FIGURES].[].[ZCONSENSUSDEMAND]_x000D_
[LOCID].[].[7K10]_x000D_
[PRDID].[].[10001182]_x000D_
[KEY_FIGURES].[].[INDEPENDENTDEMAND]_x000D_
[LOCID].[].[7K10]_x000D_
[PRDID].[].[10001183]_x000D_
[KEY_FIGURES].[].[ZCONSENSUSDEMANDQTY]_x000D_
[LOCID].[].[7K10]_x000D_
[PRDID].[].[10001183]_x000D_
[KEY_FIGURES].[].[ZINPUTSOFC]_x000D_
[LOCID].[].[7K10]_x000D_
[PRDID].[].[10001183]_x000D_
[KEY_FIGURES].[].[ZFORECASTOPENOUTPUT]_x000D_
[LOCID].[].[7K10]_x000D_
[PRDID].[].[10001183]_x000D_
[KEY_FIGURES].[].[ZACTUALSALES]_x000D_
[LOCID].[].[7K10]_x000D_
[PRDID].[].[10001183]_x000D_
[KEY_FIGURES].[].[ZCONSENSUSDEMAND]_x000D_
[LOCID].[].[7K10]_x000D_
[PRDID].[].[10001183]_x000D_
[KEY_FIGURES].[].[INDEPENDENTDEMAND]_x000D_
[LOCID].[].[7K10]_x000D_
[PRDID].[].[10001184]_x000D_
[KEY_FIGURES].[].[ZCONSENSUSDEMANDQTY]_x000D_
[LOCID].[].[7K10]_x000D_
[PRDID].[].[10001184]_x000D_
[KEY_FIGURES].[].[ZINPUTSOFC]_x000D_
[LOCID].[].[7K10]_x000D_
[PRDID].[].[10001184]_x000D_
[KEY_FIGURES].[].[ZFORECASTOPENOUTPUT]_x000D_
[LOCID].[].[7K10]_x000D_
[PRDID].[].[10001184]_x000D_
[KEY_FIGURES].[].[ZACTUALSALES]_x000D_
[LOCID].[].[7K10]_x000D_
[PRDID].[].[10001184]</t>
  </si>
  <si>
    <t>[KEY_FIGURES].[].[ZCONSENSUSDEMAND]_x000D_
[LOCID].[].[7K10]_x000D_
[PRDID].[].[10001184]_x000D_
[KEY_FIGURES].[].[INDEPENDENTDEMAND]_x000D_
[LOCID].[].[7K10]_x000D_
[PRDID].[].[10001185]_x000D_
[KEY_FIGURES].[].[ZCONSENSUSDEMANDQTY]_x000D_
[LOCID].[].[7K10]_x000D_
[PRDID].[].[10001185]_x000D_
[KEY_FIGURES].[].[ZINPUTSOFC]_x000D_
[LOCID].[].[7K10]_x000D_
[PRDID].[].[10001185]_x000D_
[KEY_FIGURES].[].[ZFORECASTOPENOUTPUT]_x000D_
[LOCID].[].[7K10]_x000D_
[PRDID].[].[10001185]_x000D_
[KEY_FIGURES].[].[ZACTUALSALES]_x000D_
[LOCID].[].[7K10]_x000D_
[PRDID].[].[10001185]_x000D_
[KEY_FIGURES].[].[ZCONSENSUSDEMAND]_x000D_
[LOCID].[].[7K10]_x000D_
[PRDID].[].[10001185]_x000D_
[KEY_FIGURES].[].[INDEPENDENTDEMAND]_x000D_
[LOCID].[].[7K10]_x000D_
[PRDID].[].[10001186]_x000D_
[KEY_FIGURES].[].[ZCONSENSUSDEMANDQTY]_x000D_
[LOCID].[].[7K10]_x000D_
[PRDID].[].[10001186]_x000D_
[KEY_FIGURES].[].[ZINPUTSOFC]_x000D_
[LOCID].[].[7K10]_x000D_
[PRDID].[].[10001186]_x000D_
[KEY_FIGURES].[].[ZFORECASTOPENOUTPUT]_x000D_
[LOCID].[].[7K10]_x000D_
[PRDID].[].[10001186]_x000D_
[KEY_FIGURES].[].[ZACTUALSALES]_x000D_
[LOCID].[].[7K10]_x000D_
[PRDID].[].[10001186]_x000D_
[KEY_FIGURES].[].[ZCONSENSUSDEMAND]_x000D_
[LOCID].[].[7K10]_x000D_
[PRDID].[].[10001186]_x000D_
[KEY_FIGURES].[].[INDEPENDENTDEMAND]_x000D_
[LOCID].[].[7K10]_x000D_
[PRDID].[].[10001187]_x000D_
[KEY_FIGURES].[].[ZCONSENSUSDEMANDQTY]_x000D_
[LOCID].[].[7K10]_x000D_
[PRDID].[].[10001187]_x000D_
[KEY_FIGURES].[].[ZINPUTSOFC]_x000D_
[LOCID].[].[7K10]_x000D_
[PRDID].[].[10001187]_x000D_
[KEY_FIGURES].[].[ZFORECASTOPENOUTPUT]_x000D_
[LOCID].[].[7K10]_x000D_
[PRDID].[].[10001187]_x000D_
[KEY_FIGURES].[].[ZACTUALSALES]_x000D_
[LOCID].[].[7K10]_x000D_
[PRDID].[].[10001187]_x000D_
[KEY_FIGURES].[].[ZCONSENSUSDEMAND]_x000D_
[LOCID].[].[7K10]_x000D_
[PRDID].[].[10001187]_x000D_
[KEY_FIGURES].[].[INDEPENDENTDEMAND]_x000D_
[LOCID].[].[7K10]_x000D_
[PRDID].[].[10001188]_x000D_
[KEY_FIGURES].[].[ZCONSENSUSDEMANDQTY]_x000D_
[LOCID].[].[7K10]_x000D_
[PRDID].[].[10001188]_x000D_
[KEY_FIGURES].[].[ZINPUTSOFC]_x000D_
[LOCID].[].[7K10]_x000D_
[PRDID].[].[10001188]_x000D_
[KEY_FIGURES].[].[ZFORECASTOPENOUTPUT]_x000D_
[LOCID].[].[7K10]_x000D_
[PRDID].[].[10001188]_x000D_
[KEY_FIGURES].[].[ZACTUALSALES]_x000D_
[LOCID].[].[7K10]_x000D_
[PRDID].[].[10001188]_x000D_
[KEY_FIGURES].[].[ZCONSENSUSDEMAND]_x000D_
[LOCID].[].[7K10]_x000D_
[PRDID].[].[10001188]_x000D_
[KEY_FIGURES].[].[INDEPENDENTDEMAND]_x000D_
[LOCID].[].[7K10]_x000D_
[PRDID].[].[10001190]_x000D_
[KEY_FIGURES].[].[ZCONSENSUSDEMANDQTY]_x000D_
[LOCID].[].[7K10]_x000D_
[PRDID].[].[10001190]_x000D_
[KEY_FIGURES].[].[ZINPUTSOFC]_x000D_
[LOCID].[].[7K10]_x000D_
[PRDID].[].[10001190]_x000D_
[KEY_FIGURES].[].[ZFORECASTOPENOUTPUT]_x000D_
[LOCID].[].[7K10]_x000D_
[PRDID].[].[10001190]_x000D_
[KEY_FIGURES].[].[ZACTUALSALES]_x000D_
[LOCID].[].[7K10]_x000D_
[PRDID].[].[10001190]_x000D_
[KEY_FIGURES].[].[ZCONSENSUSDEMAND]_x000D_
[LOCID].[].[7K10]_x000D_
[PRDID].[].[10001190]_x000D_
[KEY_FIGURES].[].[INDEPENDENTDEMAND]_x000D_
[LOCID].[].[7K10]_x000D_
[PRDID].[].[10001191]_x000D_
[KEY_FIGURES].[].[ZCONSENSUSDEMANDQTY]_x000D_
[LOCID].[].[7K10]_x000D_
[PRDID].[].[10001191]_x000D_
[KEY_FIGURES].[].[ZINPUTSOFC]_x000D_
[LOCID].[].[7K10]_x000D_
[PRDID].[].[10001191]_x000D_
[KEY_FIGURES].[].[ZFORECASTOPENOUTPUT]_x000D_
[LOCID].[].[7K10]_x000D_
[PRDID].[].[10001191]_x000D_
[KEY_FIGURES].[].[ZACTUALSALES]_x000D_
[LOCID].[].[7K10]_x000D_
[PRDID].[].[10001191]_x000D_
[KEY_FIGURES].[].[ZCONSENSUSDEMAND]_x000D_
[LOCID].[].[7K10]_x000D_
[PRDID].[].[10001191]_x000D_
[KEY_FIGURES].[].[INDEPENDENTDEMAND]_x000D_
[LOCID].[].[7K10]_x000D_
[PRDID].[].[10001193]_x000D_
[KEY_FIGURES].[].[ZCONSENSUSDEMANDQTY]_x000D_
[LOCID].[].[7K10]_x000D_
[PRDID].[].[10001193]_x000D_
[KEY_FIGURES].[].[ZINPUTSOFC]_x000D_
[LOCID].[].[7K10]_x000D_
[PRDID].[].[10001193]_x000D_
[KEY_FIGURES].[].[ZFORECASTOPENOUTPUT]_x000D_
[LOCID].[].[7K10]_x000D_
[PRDID].[].[10001193]_x000D_
[KEY_FIGURES].[].[ZACTUALSALES]_x000D_
[LOCID].[].[7K10]_x000D_
[PRDID].[].[10001193]_x000D_
[KEY_FIGURES].[].[ZCONSENSUSDEMAND]_x000D_
[LOCID].[].[7K10]_x000D_
[PRDID].[].[10001193]_x000D_
[KEY_FIGURES].[].[INDEPENDENTDEMAND]_x000D_
[LOCID].[].[7K10]_x000D_
[PRDID].[].[10001194]_x000D_
[KEY_FIGURES].[].[ZCONSENSUSDEMANDQTY]_x000D_
[LOCID].[].[7K10]_x000D_
[PRDID].[].[10001194]_x000D_
[KEY_FIGURES].[].[ZINPUTSOFC]_x000D_
[LOCID].[].[7K10]_x000D_
[PRDID].[].[10001194]_x000D_
[KEY_FIGURES].[].[ZFORECASTOPENOUTPUT]_x000D_
[LOCID].[].[7K10]_x000D_
[PRDID].[].[10001194]_x000D_
[KEY_FIGURES].[].[ZACTUALSALES]_x000D_
[LOCID].[].[7K10]_x000D_
[PRDID].[].[10001194]_x000D_
[KEY_FIGURES].[].[ZCONSENSUSDEMAND]_x000D_
[LOCID].[].[7K10]_x000D_
[PRDID].[].[10001194]_x000D_
[KEY_FIGURES].[].[INDEPENDENTDEMAND]_x000D_
[LOCID].[].[7K10]_x000D_
[PRDID].[].[10001195]_x000D_
[KEY_FIGURES].[].[ZCONSENSUSDEMANDQTY]_x000D_
[LOCID].[].[7K10]_x000D_
[PRDID].[].[10001195]_x000D_
[KEY_FIGURES].[].[ZINPUTSOFC]_x000D_
[LOCID].[].[7K10]_x000D_
[PRDID].[].[10001195]_x000D_
[KEY_FIGURES].[].[ZFORECASTOPENOUTPUT]_x000D_
[LOCID].[].[7K10]_x000D_
[PRDID].[].[10001195]_x000D_
[KEY_FIGURES].[].[ZACTUALSALES]_x000D_
[LOCID].[].[7K10]_x000D_
[PRDID].[].[10001195]_x000D_
[KEY_FIGURES].[].[ZCONSENSUSDEMAND]_x000D_
[LOCID].[].[7K10]_x000D_
[PRDID].[].[10001195]_x000D_
[KEY_FIGURES].[].[INDEPENDENTDEMAND]_x000D_
[LOCID].[].[7K10]_x000D_
[PRDID].[].[10001196]_x000D_
[KEY_FIGURES].[].[ZCONSENSUSDEMANDQTY]_x000D_
[LOCID].[].[7K10]_x000D_
[PRDID].[].[10001196]_x000D_
[KEY_FIGURES].[].[ZINPUTSOFC]_x000D_
[LOCID].[].[7K10]_x000D_
[PRDID].[].[10001196]_x000D_
[KEY_FIGURES].[].[ZFORECASTOPENOUTPUT]_x000D_
[LOCID].[].[7K10]_x000D_
[PRDID].[].[10001196]_x000D_
[KEY_FIGURES].[].[ZACTUALSALES]_x000D_
[LOCID].[].[7K10]_x000D_
[PRDID].[].[10001196]_x000D_
[KEY_FIGURES].[].[ZCONSENSUSDEMAND]_x000D_
[LOCID].[].[7K10]_x000D_
[PRDID].[].[10001196]_x000D_
[KEY_FIGURES].[].[INDEPENDENTDEMAND]_x000D_
[LOCID].[].[7K10]_x000D_
[PRDID].[].[10001197]_x000D_
[KEY_FIGURES].[].[ZCONSENSUSDEMANDQTY]_x000D_
[LOCID].[].[7K10]_x000D_
[PRDID].[].[10001197]_x000D_
[KEY_FIGURES].[].[ZINPUTSOFC]_x000D_
[LOCID].[].[7K10]_x000D_
[PRDID].[].[10001197]_x000D_
[KEY_FIGURES].[].[ZFORECASTOPENOUTPUT]_x000D_
[LOCID].[].[7K10]_x000D_
[PRDID].[].[10001197]_x000D_
[KEY_FIGURES].[].[ZACTUALSALES]_x000D_
[LOCID].[].[7K10]_x000D_
[PRDID].[].[10001197]_x000D_
[KEY_FIGURES].[].[ZCONSENSUSDEMAND]_x000D_
[LOCID].[].[7K10]</t>
  </si>
  <si>
    <t>[PRDID].[].[10001197]_x000D_
[KEY_FIGURES].[].[INDEPENDENTDEMAND]_x000D_
[LOCID].[].[7K10]_x000D_
[PRDID].[].[10001198]_x000D_
[KEY_FIGURES].[].[ZCONSENSUSDEMANDQTY]_x000D_
[LOCID].[].[7K10]_x000D_
[PRDID].[].[10001198]_x000D_
[KEY_FIGURES].[].[ZINPUTSOFC]_x000D_
[LOCID].[].[7K10]_x000D_
[PRDID].[].[10001198]_x000D_
[KEY_FIGURES].[].[ZFORECASTOPENOUTPUT]_x000D_
[LOCID].[].[7K10]_x000D_
[PRDID].[].[10001198]_x000D_
[KEY_FIGURES].[].[ZACTUALSALES]_x000D_
[LOCID].[].[7K10]_x000D_
[PRDID].[].[10001198]_x000D_
[KEY_FIGURES].[].[ZCONSENSUSDEMAND]_x000D_
[LOCID].[].[7K10]_x000D_
[PRDID].[].[10001198]_x000D_
[KEY_FIGURES].[].[INDEPENDENTDEMAND]_x000D_
[LOCID].[].[7K10]_x000D_
[PRDID].[].[10001199]_x000D_
[KEY_FIGURES].[].[ZCONSENSUSDEMANDQTY]_x000D_
[LOCID].[].[7K10]_x000D_
[PRDID].[].[10001199]_x000D_
[KEY_FIGURES].[].[ZINPUTSOFC]_x000D_
[LOCID].[].[7K10]_x000D_
[PRDID].[].[10001199]_x000D_
[KEY_FIGURES].[].[ZFORECASTOPENOUTPUT]_x000D_
[LOCID].[].[7K10]_x000D_
[PRDID].[].[10001199]_x000D_
[KEY_FIGURES].[].[ZACTUALSALES]_x000D_
[LOCID].[].[7K10]_x000D_
[PRDID].[].[10001199]_x000D_
[KEY_FIGURES].[].[ZCONSENSUSDEMAND]_x000D_
[LOCID].[].[7K10]_x000D_
[PRDID].[].[10001199]_x000D_
[KEY_FIGURES].[].[INDEPENDENTDEMAND]_x000D_
[LOCID].[].[7K10]_x000D_
[PRDID].[].[10001200]_x000D_
[KEY_FIGURES].[].[ZCONSENSUSDEMANDQTY]_x000D_
[LOCID].[].[7K10]_x000D_
[PRDID].[].[10001200]_x000D_
[KEY_FIGURES].[].[ZINPUTSOFC]_x000D_
[LOCID].[].[7K10]_x000D_
[PRDID].[].[10001200]_x000D_
[KEY_FIGURES].[].[ZFORECASTOPENOUTPUT]_x000D_
[LOCID].[].[7K10]_x000D_
[PRDID].[].[10001200]_x000D_
[KEY_FIGURES].[].[ZACTUALSALES]_x000D_
[LOCID].[].[7K10]_x000D_
[PRDID].[].[10001200]_x000D_
[KEY_FIGURES].[].[ZCONSENSUSDEMAND]_x000D_
[LOCID].[].[7K10]_x000D_
[PRDID].[].[10001200]_x000D_
[KEY_FIGURES].[].[INDEPENDENTDEMAND]_x000D_
[LOCID].[].[7K10]_x000D_
[PRDID].[].[10001203]_x000D_
[KEY_FIGURES].[].[ZCONSENSUSDEMANDQTY]_x000D_
[LOCID].[].[7K10]_x000D_
[PRDID].[].[10001203]_x000D_
[KEY_FIGURES].[].[ZINPUTSOFC]_x000D_
[LOCID].[].[7K10]_x000D_
[PRDID].[].[10001203]_x000D_
[KEY_FIGURES].[].[ZFORECASTOPENOUTPUT]_x000D_
[LOCID].[].[7K10]_x000D_
[PRDID].[].[10001203]_x000D_
[KEY_FIGURES].[].[ZACTUALSALES]_x000D_
[LOCID].[].[7K10]_x000D_
[PRDID].[].[10001203]_x000D_
[KEY_FIGURES].[].[ZCONSENSUSDEMAND]_x000D_
[LOCID].[].[7K10]_x000D_
[PRDID].[].[10001203]_x000D_
[KEY_FIGURES].[].[INDEPENDENTDEMAND]_x000D_
[LOCID].[].[7K10]_x000D_
[PRDID].[].[10001212]_x000D_
[KEY_FIGURES].[].[ZCONSENSUSDEMANDQTY]_x000D_
[LOCID].[].[7K10]_x000D_
[PRDID].[].[10001212]_x000D_
[KEY_FIGURES].[].[ZINPUTSOFC]_x000D_
[LOCID].[].[7K10]_x000D_
[PRDID].[].[10001212]_x000D_
[KEY_FIGURES].[].[ZFORECASTOPENOUTPUT]_x000D_
[LOCID].[].[7K10]_x000D_
[PRDID].[].[10001212]_x000D_
[KEY_FIGURES].[].[ZACTUALSALES]_x000D_
[LOCID].[].[7K10]_x000D_
[PRDID].[].[10001212]_x000D_
[KEY_FIGURES].[].[ZCONSENSUSDEMAND]_x000D_
[LOCID].[].[7K10]_x000D_
[PRDID].[].[10001212]_x000D_
[KEY_FIGURES].[].[INDEPENDENTDEMAND]_x000D_
[LOCID].[].[7K10]_x000D_
[PRDID].[].[10001213]_x000D_
[KEY_FIGURES].[].[ZCONSENSUSDEMANDQTY]_x000D_
[LOCID].[].[7K10]_x000D_
[PRDID].[].[10001213]_x000D_
[KEY_FIGURES].[].[ZINPUTSOFC]_x000D_
[LOCID].[].[7K10]_x000D_
[PRDID].[].[10001213]_x000D_
[KEY_FIGURES].[].[ZFORECASTOPENOUTPUT]_x000D_
[LOCID].[].[7K10]_x000D_
[PRDID].[].[10001213]_x000D_
[KEY_FIGURES].[].[ZACTUALSALES]_x000D_
[LOCID].[].[7K10]_x000D_
[PRDID].[].[10001213]_x000D_
[KEY_FIGURES].[].[ZCONSENSUSDEMAND]_x000D_
[LOCID].[].[7K10]_x000D_
[PRDID].[].[10001213]_x000D_
[KEY_FIGURES].[].[INDEPENDENTDEMAND]_x000D_
[LOCID].[].[7K10]_x000D_
[PRDID].[].[10001214]_x000D_
[KEY_FIGURES].[].[ZCONSENSUSDEMANDQTY]_x000D_
[LOCID].[].[7K10]_x000D_
[PRDID].[].[10001214]_x000D_
[KEY_FIGURES].[].[ZINPUTSOFC]_x000D_
[LOCID].[].[7K10]_x000D_
[PRDID].[].[10001214]_x000D_
[KEY_FIGURES].[].[ZFORECASTOPENOUTPUT]_x000D_
[LOCID].[].[7K10]_x000D_
[PRDID].[].[10001214]_x000D_
[KEY_FIGURES].[].[ZACTUALSALES]_x000D_
[LOCID].[].[7K10]_x000D_
[PRDID].[].[10001214]_x000D_
[KEY_FIGURES].[].[ZCONSENSUSDEMAND]_x000D_
[LOCID].[].[7K10]_x000D_
[PRDID].[].[10001214]_x000D_
[KEY_FIGURES].[].[INDEPENDENTDEMAND]_x000D_
[LOCID].[].[7K10]_x000D_
[PRDID].[].[10001215]_x000D_
[KEY_FIGURES].[].[ZCONSENSUSDEMANDQTY]_x000D_
[LOCID].[].[7K10]_x000D_
[PRDID].[].[10001215]_x000D_
[KEY_FIGURES].[].[ZINPUTSOFC]_x000D_
[LOCID].[].[7K10]_x000D_
[PRDID].[].[10001215]_x000D_
[KEY_FIGURES].[].[ZFORECASTOPENOUTPUT]_x000D_
[LOCID].[].[7K10]_x000D_
[PRDID].[].[10001215]_x000D_
[KEY_FIGURES].[].[ZACTUALSALES]_x000D_
[LOCID].[].[7K10]_x000D_
[PRDID].[].[10001215]_x000D_
[KEY_FIGURES].[].[ZCONSENSUSDEMAND]_x000D_
[LOCID].[].[7K10]_x000D_
[PRDID].[].[10001215]_x000D_
[KEY_FIGURES].[].[INDEPENDENTDEMAND]_x000D_
[LOCID].[].[7K10]_x000D_
[PRDID].[].[10001225]_x000D_
[KEY_FIGURES].[].[ZCONSENSUSDEMANDQTY]_x000D_
[LOCID].[].[7K10]_x000D_
[PRDID].[].[10001225]_x000D_
[KEY_FIGURES].[].[ZINPUTSOFC]_x000D_
[LOCID].[].[7K10]_x000D_
[PRDID].[].[10001225]_x000D_
[KEY_FIGURES].[].[ZFORECASTOPENOUTPUT]_x000D_
[LOCID].[].[7K10]_x000D_
[PRDID].[].[10001225]_x000D_
[KEY_FIGURES].[].[ZACTUALSALES]_x000D_
[LOCID].[].[7K10]_x000D_
[PRDID].[].[10001225]_x000D_
[KEY_FIGURES].[].[ZCONSENSUSDEMAND]_x000D_
[LOCID].[].[7K10]_x000D_
[PRDID].[].[10001225]_x000D_
[KEY_FIGURES].[].[INDEPENDENTDEMAND]_x000D_
[LOCID].[].[7K10]_x000D_
[PRDID].[].[10001226]_x000D_
[KEY_FIGURES].[].[ZCONSENSUSDEMANDQTY]_x000D_
[LOCID].[].[7K10]_x000D_
[PRDID].[].[10001226]_x000D_
[KEY_FIGURES].[].[ZINPUTSOFC]_x000D_
[LOCID].[].[7K10]_x000D_
[PRDID].[].[10001226]_x000D_
[KEY_FIGURES].[].[ZFORECASTOPENOUTPUT]_x000D_
[LOCID].[].[7K10]_x000D_
[PRDID].[].[10001226]_x000D_
[KEY_FIGURES].[].[ZACTUALSALES]_x000D_
[LOCID].[].[7K10]_x000D_
[PRDID].[].[10001226]_x000D_
[KEY_FIGURES].[].[ZCONSENSUSDEMAND]_x000D_
[LOCID].[].[7K10]_x000D_
[PRDID].[].[10001226]_x000D_
[KEY_FIGURES].[].[INDEPENDENTDEMAND]_x000D_
[LOCID].[].[7K10]_x000D_
[PRDID].[].[10001227]_x000D_
[KEY_FIGURES].[].[ZCONSENSUSDEMANDQTY]_x000D_
[LOCID].[].[7K10]_x000D_
[PRDID].[].[10001227]_x000D_
[KEY_FIGURES].[].[ZINPUTSOFC]_x000D_
[LOCID].[].[7K10]_x000D_
[PRDID].[].[10001227]_x000D_
[KEY_FIGURES].[].[ZFORECASTOPENOUTPUT]_x000D_
[LOCID].[].[7K10]_x000D_
[PRDID].[].[10001227]_x000D_
[KEY_FIGURES].[].[ZACTUALSALES]_x000D_
[LOCID].[].[7K10]_x000D_
[PRDID].[].[10001227]_x000D_
[KEY_FIGURES].[].[ZCONSENSUSDEMAND]_x000D_
[LOCID].[].[7K10]_x000D_
[PRDID].[].[10001227]_x000D_
[KEY_FIGURES].[].[INDEPENDENTDEMAND]</t>
  </si>
  <si>
    <t>[LOCID].[].[7K10]_x000D_
[PRDID].[].[10001228]_x000D_
[KEY_FIGURES].[].[ZCONSENSUSDEMANDQTY]_x000D_
[LOCID].[].[7K10]_x000D_
[PRDID].[].[10001228]_x000D_
[KEY_FIGURES].[].[ZINPUTSOFC]_x000D_
[LOCID].[].[7K10]_x000D_
[PRDID].[].[10001228]_x000D_
[KEY_FIGURES].[].[ZFORECASTOPENOUTPUT]_x000D_
[LOCID].[].[7K10]_x000D_
[PRDID].[].[10001228]_x000D_
[KEY_FIGURES].[].[ZACTUALSALES]_x000D_
[LOCID].[].[7K10]_x000D_
[PRDID].[].[10001228]_x000D_
[KEY_FIGURES].[].[ZCONSENSUSDEMAND]_x000D_
[LOCID].[].[7K10]_x000D_
[PRDID].[].[10001228]_x000D_
[KEY_FIGURES].[].[INDEPENDENTDEMAND]_x000D_
[LOCID].[].[7K10]_x000D_
[PRDID].[].[10001229]_x000D_
[KEY_FIGURES].[].[ZCONSENSUSDEMANDQTY]_x000D_
[LOCID].[].[7K10]_x000D_
[PRDID].[].[10001229]_x000D_
[KEY_FIGURES].[].[ZINPUTSOFC]_x000D_
[LOCID].[].[7K10]_x000D_
[PRDID].[].[10001229]_x000D_
[KEY_FIGURES].[].[ZFORECASTOPENOUTPUT]_x000D_
[LOCID].[].[7K10]_x000D_
[PRDID].[].[10001229]_x000D_
[KEY_FIGURES].[].[ZACTUALSALES]_x000D_
[LOCID].[].[7K10]_x000D_
[PRDID].[].[10001229]_x000D_
[KEY_FIGURES].[].[ZCONSENSUSDEMAND]_x000D_
[LOCID].[].[7K10]_x000D_
[PRDID].[].[10001229]_x000D_
[KEY_FIGURES].[].[INDEPENDENTDEMAND]_x000D_
[LOCID].[].[7K10]_x000D_
[PRDID].[].[10001230]_x000D_
[KEY_FIGURES].[].[ZCONSENSUSDEMANDQTY]_x000D_
[LOCID].[].[7K10]_x000D_
[PRDID].[].[10001230]_x000D_
[KEY_FIGURES].[].[ZINPUTSOFC]_x000D_
[LOCID].[].[7K10]_x000D_
[PRDID].[].[10001230]_x000D_
[KEY_FIGURES].[].[ZFORECASTOPENOUTPUT]_x000D_
[LOCID].[].[7K10]_x000D_
[PRDID].[].[10001230]_x000D_
[KEY_FIGURES].[].[ZACTUALSALES]_x000D_
[LOCID].[].[7K10]_x000D_
[PRDID].[].[10001230]_x000D_
[KEY_FIGURES].[].[ZCONSENSUSDEMAND]_x000D_
[LOCID].[].[7K10]_x000D_
[PRDID].[].[10001230]_x000D_
[KEY_FIGURES].[].[INDEPENDENTDEMAND]_x000D_
[LOCID].[].[7K10]_x000D_
[PRDID].[].[10001231]_x000D_
[KEY_FIGURES].[].[ZCONSENSUSDEMANDQTY]_x000D_
[LOCID].[].[7K10]_x000D_
[PRDID].[].[10001231]_x000D_
[KEY_FIGURES].[].[ZINPUTSOFC]_x000D_
[LOCID].[].[7K10]_x000D_
[PRDID].[].[10001231]_x000D_
[KEY_FIGURES].[].[ZFORECASTOPENOUTPUT]_x000D_
[LOCID].[].[7K10]_x000D_
[PRDID].[].[10001231]_x000D_
[KEY_FIGURES].[].[ZACTUALSALES]_x000D_
[LOCID].[].[7K10]_x000D_
[PRDID].[].[10001231]_x000D_
[KEY_FIGURES].[].[ZCONSENSUSDEMAND]_x000D_
[LOCID].[].[7K10]_x000D_
[PRDID].[].[10001231]_x000D_
[KEY_FIGURES].[].[INDEPENDENTDEMAND]_x000D_
[LOCID].[].[7K10]_x000D_
[PRDID].[].[10001232]_x000D_
[KEY_FIGURES].[].[ZCONSENSUSDEMANDQTY]_x000D_
[LOCID].[].[7K10]_x000D_
[PRDID].[].[10001232]_x000D_
[KEY_FIGURES].[].[ZINPUTSOFC]_x000D_
[LOCID].[].[7K10]_x000D_
[PRDID].[].[10001232]_x000D_
[KEY_FIGURES].[].[ZFORECASTOPENOUTPUT]_x000D_
[LOCID].[].[7K10]_x000D_
[PRDID].[].[10001232]_x000D_
[KEY_FIGURES].[].[ZACTUALSALES]_x000D_
[LOCID].[].[7K10]_x000D_
[PRDID].[].[10001232]_x000D_
[KEY_FIGURES].[].[ZCONSENSUSDEMAND]_x000D_
[LOCID].[].[7K10]_x000D_
[PRDID].[].[10001232]_x000D_
[KEY_FIGURES].[].[INDEPENDENTDEMAND]_x000D_
[LOCID].[].[7K10]_x000D_
[PRDID].[].[10001233]_x000D_
[KEY_FIGURES].[].[ZCONSENSUSDEMANDQTY]_x000D_
[LOCID].[].[7K10]_x000D_
[PRDID].[].[10001233]_x000D_
[KEY_FIGURES].[].[ZINPUTSOFC]_x000D_
[LOCID].[].[7K10]_x000D_
[PRDID].[].[10001233]_x000D_
[KEY_FIGURES].[].[ZFORECASTOPENOUTPUT]_x000D_
[LOCID].[].[7K10]_x000D_
[PRDID].[].[10001233]_x000D_
[KEY_FIGURES].[].[ZACTUALSALES]_x000D_
[LOCID].[].[7K10]_x000D_
[PRDID].[].[10001233]_x000D_
[KEY_FIGURES].[].[ZCONSENSUSDEMAND]_x000D_
[LOCID].[].[7K10]_x000D_
[PRDID].[].[10001233]_x000D_
[KEY_FIGURES].[].[INDEPENDENTDEMAND]_x000D_
[LOCID].[].[7K10]_x000D_
[PRDID].[].[10001234]_x000D_
[KEY_FIGURES].[].[ZCONSENSUSDEMANDQTY]_x000D_
[LOCID].[].[7K10]_x000D_
[PRDID].[].[10001234]_x000D_
[KEY_FIGURES].[].[ZINPUTSOFC]_x000D_
[LOCID].[].[7K10]_x000D_
[PRDID].[].[10001234]_x000D_
[KEY_FIGURES].[].[ZFORECASTOPENOUTPUT]_x000D_
[LOCID].[].[7K10]_x000D_
[PRDID].[].[10001234]_x000D_
[KEY_FIGURES].[].[ZACTUALSALES]_x000D_
[LOCID].[].[7K10]_x000D_
[PRDID].[].[10001234]_x000D_
[KEY_FIGURES].[].[ZCONSENSUSDEMAND]_x000D_
[LOCID].[].[7K10]_x000D_
[PRDID].[].[10001234]_x000D_
[KEY_FIGURES].[].[INDEPENDENTDEMAND]_x000D_
[LOCID].[].[7K10]_x000D_
[PRDID].[].[10001235]_x000D_
[KEY_FIGURES].[].[ZCONSENSUSDEMANDQTY]_x000D_
[LOCID].[].[7K10]_x000D_
[PRDID].[].[10001235]_x000D_
[KEY_FIGURES].[].[ZINPUTSOFC]_x000D_
[LOCID].[].[7K10]_x000D_
[PRDID].[].[10001235]_x000D_
[KEY_FIGURES].[].[ZFORECASTOPENOUTPUT]_x000D_
[LOCID].[].[7K10]_x000D_
[PRDID].[].[10001235]_x000D_
[KEY_FIGURES].[].[ZACTUALSALES]_x000D_
[LOCID].[].[7K10]_x000D_
[PRDID].[].[10001235]_x000D_
[KEY_FIGURES].[].[ZCONSENSUSDEMAND]_x000D_
[LOCID].[].[7K10]_x000D_
[PRDID].[].[10001235]_x000D_
[KEY_FIGURES].[].[INDEPENDENTDEMAND]_x000D_
[LOCID].[].[7K10]_x000D_
[PRDID].[].[10001236]_x000D_
[KEY_FIGURES].[].[ZCONSENSUSDEMANDQTY]_x000D_
[LOCID].[].[7K10]_x000D_
[PRDID].[].[10001236]_x000D_
[KEY_FIGURES].[].[ZINPUTSOFC]_x000D_
[LOCID].[].[7K10]_x000D_
[PRDID].[].[10001236]_x000D_
[KEY_FIGURES].[].[ZFORECASTOPENOUTPUT]_x000D_
[LOCID].[].[7K10]_x000D_
[PRDID].[].[10001236]_x000D_
[KEY_FIGURES].[].[ZACTUALSALES]_x000D_
[LOCID].[].[7K10]_x000D_
[PRDID].[].[10001236]_x000D_
[KEY_FIGURES].[].[ZCONSENSUSDEMAND]_x000D_
[LOCID].[].[7K10]_x000D_
[PRDID].[].[10001236]_x000D_
[KEY_FIGURES].[].[INDEPENDENTDEMAND]_x000D_
[LOCID].[].[7K10]_x000D_
[PRDID].[].[10001237]_x000D_
[KEY_FIGURES].[].[ZCONSENSUSDEMANDQTY]_x000D_
[LOCID].[].[7K10]_x000D_
[PRDID].[].[10001237]_x000D_
[KEY_FIGURES].[].[ZINPUTSOFC]_x000D_
[LOCID].[].[7K10]_x000D_
[PRDID].[].[10001237]_x000D_
[KEY_FIGURES].[].[ZFORECASTOPENOUTPUT]_x000D_
[LOCID].[].[7K10]_x000D_
[PRDID].[].[10001237]_x000D_
[KEY_FIGURES].[].[ZACTUALSALES]_x000D_
[LOCID].[].[7K10]_x000D_
[PRDID].[].[10001237]_x000D_
[KEY_FIGURES].[].[ZCONSENSUSDEMAND]_x000D_
[LOCID].[].[7K10]_x000D_
[PRDID].[].[10001237]_x000D_
[KEY_FIGURES].[].[INDEPENDENTDEMAND]_x000D_
[LOCID].[].[7K10]_x000D_
[PRDID].[].[10001238]_x000D_
[KEY_FIGURES].[].[ZCONSENSUSDEMANDQTY]_x000D_
[LOCID].[].[7K10]_x000D_
[PRDID].[].[10001238]_x000D_
[KEY_FIGURES].[].[ZINPUTSOFC]_x000D_
[LOCID].[].[7K10]_x000D_
[PRDID].[].[10001238]_x000D_
[KEY_FIGURES].[].[ZFORECASTOPENOUTPUT]_x000D_
[LOCID].[].[7K10]_x000D_
[PRDID].[].[10001238]_x000D_
[KEY_FIGURES].[].[ZACTUALSALES]_x000D_
[LOCID].[].[7K10]_x000D_
[PRDID].[].[10001238]_x000D_
[KEY_FIGURES].[].[ZCONSENSUSDEMAND]_x000D_
[LOCID].[].[7K10]_x000D_
[PRDID].[].[10001238]_x000D_
[KEY_FIGURES].[].[INDEPENDENTDEMAND]_x000D_
[LOCID].[].[7K10]_x000D_
[PRDID].[].[10001239]</t>
  </si>
  <si>
    <t>[KEY_FIGURES].[].[ZCONSENSUSDEMANDQTY]_x000D_
[LOCID].[].[7K10]_x000D_
[PRDID].[].[10001239]_x000D_
[KEY_FIGURES].[].[ZINPUTSOFC]_x000D_
[LOCID].[].[7K10]_x000D_
[PRDID].[].[10001239]_x000D_
[KEY_FIGURES].[].[ZFORECASTOPENOUTPUT]_x000D_
[LOCID].[].[7K10]_x000D_
[PRDID].[].[10001239]_x000D_
[KEY_FIGURES].[].[ZACTUALSALES]_x000D_
[LOCID].[].[7K10]_x000D_
[PRDID].[].[10001239]_x000D_
[KEY_FIGURES].[].[ZCONSENSUSDEMAND]_x000D_
[LOCID].[].[7K10]_x000D_
[PRDID].[].[10001239]_x000D_
[KEY_FIGURES].[].[INDEPENDENTDEMAND]_x000D_
[LOCID].[].[7K10]_x000D_
[PRDID].[].[10001240]_x000D_
[KEY_FIGURES].[].[ZCONSENSUSDEMANDQTY]_x000D_
[LOCID].[].[7K10]_x000D_
[PRDID].[].[10001240]_x000D_
[KEY_FIGURES].[].[ZINPUTSOFC]_x000D_
[LOCID].[].[7K10]_x000D_
[PRDID].[].[10001240]_x000D_
[KEY_FIGURES].[].[ZFORECASTOPENOUTPUT]_x000D_
[LOCID].[].[7K10]_x000D_
[PRDID].[].[10001240]_x000D_
[KEY_FIGURES].[].[ZACTUALSALES]_x000D_
[LOCID].[].[7K10]_x000D_
[PRDID].[].[10001240]_x000D_
[KEY_FIGURES].[].[ZCONSENSUSDEMAND]_x000D_
[LOCID].[].[7K10]_x000D_
[PRDID].[].[10001240]_x000D_
[KEY_FIGURES].[].[INDEPENDENTDEMAND]_x000D_
[LOCID].[].[7K10]_x000D_
[PRDID].[].[10001241]_x000D_
[KEY_FIGURES].[].[ZCONSENSUSDEMANDQTY]_x000D_
[LOCID].[].[7K10]_x000D_
[PRDID].[].[10001241]_x000D_
[KEY_FIGURES].[].[ZINPUTSOFC]_x000D_
[LOCID].[].[7K10]_x000D_
[PRDID].[].[10001241]_x000D_
[KEY_FIGURES].[].[ZFORECASTOPENOUTPUT]_x000D_
[LOCID].[].[7K10]_x000D_
[PRDID].[].[10001241]_x000D_
[KEY_FIGURES].[].[ZACTUALSALES]_x000D_
[LOCID].[].[7K10]_x000D_
[PRDID].[].[10001241]_x000D_
[KEY_FIGURES].[].[ZCONSENSUSDEMAND]_x000D_
[LOCID].[].[7K10]_x000D_
[PRDID].[].[10001241]_x000D_
[KEY_FIGURES].[].[INDEPENDENTDEMAND]_x000D_
[LOCID].[].[7K10]_x000D_
[PRDID].[].[10001242]_x000D_
[KEY_FIGURES].[].[ZCONSENSUSDEMANDQTY]_x000D_
[LOCID].[].[7K10]_x000D_
[PRDID].[].[10001242]_x000D_
[KEY_FIGURES].[].[ZINPUTSOFC]_x000D_
[LOCID].[].[7K10]_x000D_
[PRDID].[].[10001242]_x000D_
[KEY_FIGURES].[].[ZFORECASTOPENOUTPUT]_x000D_
[LOCID].[].[7K10]_x000D_
[PRDID].[].[10001242]_x000D_
[KEY_FIGURES].[].[ZACTUALSALES]_x000D_
[LOCID].[].[7K10]_x000D_
[PRDID].[].[10001242]_x000D_
[KEY_FIGURES].[].[ZCONSENSUSDEMAND]_x000D_
[LOCID].[].[7K10]_x000D_
[PRDID].[].[10001242]_x000D_
[KEY_FIGURES].[].[INDEPENDENTDEMAND]_x000D_
[LOCID].[].[7K10]_x000D_
[PRDID].[].[10001243]_x000D_
[KEY_FIGURES].[].[ZCONSENSUSDEMANDQTY]_x000D_
[LOCID].[].[7K10]_x000D_
[PRDID].[].[10001243]_x000D_
[KEY_FIGURES].[].[ZINPUTSOFC]_x000D_
[LOCID].[].[7K10]_x000D_
[PRDID].[].[10001243]_x000D_
[KEY_FIGURES].[].[ZFORECASTOPENOUTPUT]_x000D_
[LOCID].[].[7K10]_x000D_
[PRDID].[].[10001243]_x000D_
[KEY_FIGURES].[].[ZACTUALSALES]_x000D_
[LOCID].[].[7K10]_x000D_
[PRDID].[].[10001243]_x000D_
[KEY_FIGURES].[].[ZCONSENSUSDEMAND]_x000D_
[LOCID].[].[7K10]_x000D_
[PRDID].[].[10001243]_x000D_
[KEY_FIGURES].[].[INDEPENDENTDEMAND]_x000D_
[LOCID].[].[7K10]_x000D_
[PRDID].[].[10001244]_x000D_
[KEY_FIGURES].[].[ZCONSENSUSDEMANDQTY]_x000D_
[LOCID].[].[7K10]_x000D_
[PRDID].[].[10001244]_x000D_
[KEY_FIGURES].[].[ZINPUTSOFC]_x000D_
[LOCID].[].[7K10]_x000D_
[PRDID].[].[10001244]_x000D_
[KEY_FIGURES].[].[ZFORECASTOPENOUTPUT]_x000D_
[LOCID].[].[7K10]_x000D_
[PRDID].[].[10001244]_x000D_
[KEY_FIGURES].[].[ZACTUALSALES]_x000D_
[LOCID].[].[7K10]_x000D_
[PRDID].[].[10001244]_x000D_
[KEY_FIGURES].[].[ZCONSENSUSDEMAND]_x000D_
[LOCID].[].[7K10]_x000D_
[PRDID].[].[10001244]_x000D_
[KEY_FIGURES].[].[INDEPENDENTDEMAND]_x000D_
[LOCID].[].[7K10]_x000D_
[PRDID].[].[10001245]_x000D_
[KEY_FIGURES].[].[ZCONSENSUSDEMANDQTY]_x000D_
[LOCID].[].[7K10]_x000D_
[PRDID].[].[10001245]_x000D_
[KEY_FIGURES].[].[ZINPUTSOFC]_x000D_
[LOCID].[].[7K10]_x000D_
[PRDID].[].[10001245]_x000D_
[KEY_FIGURES].[].[ZFORECASTOPENOUTPUT]_x000D_
[LOCID].[].[7K10]_x000D_
[PRDID].[].[10001245]_x000D_
[KEY_FIGURES].[].[ZACTUALSALES]_x000D_
[LOCID].[].[7K10]_x000D_
[PRDID].[].[10001245]_x000D_
[KEY_FIGURES].[].[ZCONSENSUSDEMAND]_x000D_
[LOCID].[].[7K10]_x000D_
[PRDID].[].[10001245]_x000D_
[KEY_FIGURES].[].[INDEPENDENTDEMAND]_x000D_
[LOCID].[].[7K10]_x000D_
[PRDID].[].[10001246]_x000D_
[KEY_FIGURES].[].[ZCONSENSUSDEMANDQTY]_x000D_
[LOCID].[].[7K10]_x000D_
[PRDID].[].[10001246]_x000D_
[KEY_FIGURES].[].[ZINPUTSOFC]_x000D_
[LOCID].[].[7K10]_x000D_
[PRDID].[].[10001246]_x000D_
[KEY_FIGURES].[].[ZFORECASTOPENOUTPUT]_x000D_
[LOCID].[].[7K10]_x000D_
[PRDID].[].[10001246]_x000D_
[KEY_FIGURES].[].[ZACTUALSALES]_x000D_
[LOCID].[].[7K10]_x000D_
[PRDID].[].[10001246]_x000D_
[KEY_FIGURES].[].[ZCONSENSUSDEMAND]_x000D_
[LOCID].[].[7K10]_x000D_
[PRDID].[].[10001246]_x000D_
[KEY_FIGURES].[].[INDEPENDENTDEMAND]_x000D_
[LOCID].[].[7K10]_x000D_
[PRDID].[].[10001248]_x000D_
[KEY_FIGURES].[].[ZCONSENSUSDEMANDQTY]_x000D_
[LOCID].[].[7K10]_x000D_
[PRDID].[].[10001248]_x000D_
[KEY_FIGURES].[].[ZINPUTSOFC]_x000D_
[LOCID].[].[7K10]_x000D_
[PRDID].[].[10001248]_x000D_
[KEY_FIGURES].[].[ZFORECASTOPENOUTPUT]_x000D_
[LOCID].[].[7K10]_x000D_
[PRDID].[].[10001248]_x000D_
[KEY_FIGURES].[].[ZACTUALSALES]_x000D_
[LOCID].[].[7K10]_x000D_
[PRDID].[].[10001248]_x000D_
[KEY_FIGURES].[].[ZCONSENSUSDEMAND]_x000D_
[LOCID].[].[7K10]_x000D_
[PRDID].[].[10001248]_x000D_
[KEY_FIGURES].[].[INDEPENDENTDEMAND]_x000D_
[LOCID].[].[7K10]_x000D_
[PRDID].[].[10001249]_x000D_
[KEY_FIGURES].[].[ZCONSENSUSDEMANDQTY]_x000D_
[LOCID].[].[7K10]_x000D_
[PRDID].[].[10001249]_x000D_
[KEY_FIGURES].[].[ZINPUTSOFC]_x000D_
[LOCID].[].[7K10]_x000D_
[PRDID].[].[10001249]_x000D_
[KEY_FIGURES].[].[ZFORECASTOPENOUTPUT]_x000D_
[LOCID].[].[7K10]_x000D_
[PRDID].[].[10001249]_x000D_
[KEY_FIGURES].[].[ZACTUALSALES]_x000D_
[LOCID].[].[7K10]_x000D_
[PRDID].[].[10001249]_x000D_
[KEY_FIGURES].[].[ZCONSENSUSDEMAND]_x000D_
[LOCID].[].[7K10]_x000D_
[PRDID].[].[10001249]_x000D_
[KEY_FIGURES].[].[INDEPENDENTDEMAND]_x000D_
[LOCID].[].[7K10]_x000D_
[PRDID].[].[10001250]_x000D_
[KEY_FIGURES].[].[ZCONSENSUSDEMANDQTY]_x000D_
[LOCID].[].[7K10]_x000D_
[PRDID].[].[10001250]_x000D_
[KEY_FIGURES].[].[ZINPUTSOFC]_x000D_
[LOCID].[].[7K10]_x000D_
[PRDID].[].[10001250]_x000D_
[KEY_FIGURES].[].[ZFORECASTOPENOUTPUT]_x000D_
[LOCID].[].[7K10]_x000D_
[PRDID].[].[10001250]_x000D_
[KEY_FIGURES].[].[ZACTUALSALES]_x000D_
[LOCID].[].[7K10]_x000D_
[PRDID].[].[10001250]_x000D_
[KEY_FIGURES].[].[ZCONSENSUSDEMAND]_x000D_
[LOCID].[].[7K10]_x000D_
[PRDID].[].[10001250]_x000D_
[KEY_FIGURES].[].[INDEPENDENTDEMAND]_x000D_
[LOCID].[].[7K10]_x000D_
[PRDID].[].[10001251]_x000D_
[KEY_FIGURES].[].[ZCONSENSUSDEMANDQTY]_x000D_
[LOCID].[].[7K10]</t>
  </si>
  <si>
    <t>[PRDID].[].[10001251]_x000D_
[KEY_FIGURES].[].[ZINPUTSOFC]_x000D_
[LOCID].[].[7K10]_x000D_
[PRDID].[].[10001251]_x000D_
[KEY_FIGURES].[].[ZFORECASTOPENOUTPUT]_x000D_
[LOCID].[].[7K10]_x000D_
[PRDID].[].[10001251]_x000D_
[KEY_FIGURES].[].[ZACTUALSALES]_x000D_
[LOCID].[].[7K10]_x000D_
[PRDID].[].[10001251]_x000D_
[KEY_FIGURES].[].[ZCONSENSUSDEMAND]_x000D_
[LOCID].[].[7K10]_x000D_
[PRDID].[].[10001251]_x000D_
[KEY_FIGURES].[].[INDEPENDENTDEMAND]_x000D_
[LOCID].[].[7K10]_x000D_
[PRDID].[].[10001252]_x000D_
[KEY_FIGURES].[].[ZCONSENSUSDEMANDQTY]_x000D_
[LOCID].[].[7K10]_x000D_
[PRDID].[].[10001252]_x000D_
[KEY_FIGURES].[].[ZINPUTSOFC]_x000D_
[LOCID].[].[7K10]_x000D_
[PRDID].[].[10001252]_x000D_
[KEY_FIGURES].[].[ZFORECASTOPENOUTPUT]_x000D_
[LOCID].[].[7K10]_x000D_
[PRDID].[].[10001252]_x000D_
[KEY_FIGURES].[].[ZACTUALSALES]_x000D_
[LOCID].[].[7K10]_x000D_
[PRDID].[].[10001252]_x000D_
[KEY_FIGURES].[].[ZCONSENSUSDEMAND]_x000D_
[LOCID].[].[7K10]_x000D_
[PRDID].[].[10001252]_x000D_
[KEY_FIGURES].[].[INDEPENDENTDEMAND]_x000D_
[LOCID].[].[7K10]_x000D_
[PRDID].[].[10001253]_x000D_
[KEY_FIGURES].[].[ZCONSENSUSDEMANDQTY]_x000D_
[LOCID].[].[7K10]_x000D_
[PRDID].[].[10001253]_x000D_
[KEY_FIGURES].[].[ZINPUTSOFC]_x000D_
[LOCID].[].[7K10]_x000D_
[PRDID].[].[10001253]_x000D_
[KEY_FIGURES].[].[ZFORECASTOPENOUTPUT]_x000D_
[LOCID].[].[7K10]_x000D_
[PRDID].[].[10001253]_x000D_
[KEY_FIGURES].[].[ZACTUALSALES]_x000D_
[LOCID].[].[7K10]_x000D_
[PRDID].[].[10001253]_x000D_
[KEY_FIGURES].[].[ZCONSENSUSDEMAND]_x000D_
[LOCID].[].[7K10]_x000D_
[PRDID].[].[10001253]_x000D_
[KEY_FIGURES].[].[INDEPENDENTDEMAND]_x000D_
[LOCID].[].[7K10]_x000D_
[PRDID].[].[10001254]_x000D_
[KEY_FIGURES].[].[ZCONSENSUSDEMANDQTY]_x000D_
[LOCID].[].[7K10]_x000D_
[PRDID].[].[10001254]_x000D_
[KEY_FIGURES].[].[ZINPUTSOFC]_x000D_
[LOCID].[].[7K10]_x000D_
[PRDID].[].[10001254]_x000D_
[KEY_FIGURES].[].[ZFORECASTOPENOUTPUT]_x000D_
[LOCID].[].[7K10]_x000D_
[PRDID].[].[10001254]_x000D_
[KEY_FIGURES].[].[ZACTUALSALES]_x000D_
[LOCID].[].[7K10]_x000D_
[PRDID].[].[10001254]_x000D_
[KEY_FIGURES].[].[ZCONSENSUSDEMAND]_x000D_
[LOCID].[].[7K10]_x000D_
[PRDID].[].[10001254]_x000D_
[KEY_FIGURES].[].[INDEPENDENTDEMAND]_x000D_
[LOCID].[].[7K10]_x000D_
[PRDID].[].[10001255]_x000D_
[KEY_FIGURES].[].[ZCONSENSUSDEMANDQTY]_x000D_
[LOCID].[].[7K10]_x000D_
[PRDID].[].[10001255]_x000D_
[KEY_FIGURES].[].[ZINPUTSOFC]_x000D_
[LOCID].[].[7K10]_x000D_
[PRDID].[].[10001255]_x000D_
[KEY_FIGURES].[].[ZFORECASTOPENOUTPUT]_x000D_
[LOCID].[].[7K10]_x000D_
[PRDID].[].[10001255]_x000D_
[KEY_FIGURES].[].[ZACTUALSALES]_x000D_
[LOCID].[].[7K10]_x000D_
[PRDID].[].[10001255]_x000D_
[KEY_FIGURES].[].[ZCONSENSUSDEMAND]_x000D_
[LOCID].[].[7K10]_x000D_
[PRDID].[].[10001255]_x000D_
[KEY_FIGURES].[].[INDEPENDENTDEMAND]_x000D_
[LOCID].[].[7K10]_x000D_
[PRDID].[].[10001256]_x000D_
[KEY_FIGURES].[].[ZCONSENSUSDEMANDQTY]_x000D_
[LOCID].[].[7K10]_x000D_
[PRDID].[].[10001256]_x000D_
[KEY_FIGURES].[].[ZINPUTSOFC]_x000D_
[LOCID].[].[7K10]_x000D_
[PRDID].[].[10001256]_x000D_
[KEY_FIGURES].[].[ZFORECASTOPENOUTPUT]_x000D_
[LOCID].[].[7K10]_x000D_
[PRDID].[].[10001256]_x000D_
[KEY_FIGURES].[].[ZACTUALSALES]_x000D_
[LOCID].[].[7K10]_x000D_
[PRDID].[].[10001256]_x000D_
[KEY_FIGURES].[].[ZCONSENSUSDEMAND]_x000D_
[LOCID].[].[7K10]_x000D_
[PRDID].[].[10001256]_x000D_
[KEY_FIGURES].[].[INDEPENDENTDEMAND]_x000D_
[LOCID].[].[7K10]_x000D_
[PRDID].[].[10001257]_x000D_
[KEY_FIGURES].[].[ZCONSENSUSDEMANDQTY]_x000D_
[LOCID].[].[7K10]_x000D_
[PRDID].[].[10001257]_x000D_
[KEY_FIGURES].[].[ZINPUTSOFC]_x000D_
[LOCID].[].[7K10]_x000D_
[PRDID].[].[10001257]_x000D_
[KEY_FIGURES].[].[ZFORECASTOPENOUTPUT]_x000D_
[LOCID].[].[7K10]_x000D_
[PRDID].[].[10001257]_x000D_
[KEY_FIGURES].[].[ZACTUALSALES]_x000D_
[LOCID].[].[7K10]_x000D_
[PRDID].[].[10001257]_x000D_
[KEY_FIGURES].[].[ZCONSENSUSDEMAND]_x000D_
[LOCID].[].[7K10]_x000D_
[PRDID].[].[10001257]_x000D_
[KEY_FIGURES].[].[INDEPENDENTDEMAND]_x000D_
[LOCID].[].[7K10]_x000D_
[PRDID].[].[10001258]_x000D_
[KEY_FIGURES].[].[ZCONSENSUSDEMANDQTY]_x000D_
[LOCID].[].[7K10]_x000D_
[PRDID].[].[10001258]_x000D_
[KEY_FIGURES].[].[ZINPUTSOFC]_x000D_
[LOCID].[].[7K10]_x000D_
[PRDID].[].[10001258]_x000D_
[KEY_FIGURES].[].[ZFORECASTOPENOUTPUT]_x000D_
[LOCID].[].[7K10]_x000D_
[PRDID].[].[10001258]_x000D_
[KEY_FIGURES].[].[ZACTUALSALES]_x000D_
[LOCID].[].[7K10]_x000D_
[PRDID].[].[10001258]_x000D_
[KEY_FIGURES].[].[ZCONSENSUSDEMAND]_x000D_
[LOCID].[].[7K10]_x000D_
[PRDID].[].[10001258]_x000D_
[KEY_FIGURES].[].[INDEPENDENTDEMAND]_x000D_
[LOCID].[].[7K10]_x000D_
[PRDID].[].[10001259]_x000D_
[KEY_FIGURES].[].[ZCONSENSUSDEMANDQTY]_x000D_
[LOCID].[].[7K10]_x000D_
[PRDID].[].[10001259]_x000D_
[KEY_FIGURES].[].[ZINPUTSOFC]_x000D_
[LOCID].[].[7K10]_x000D_
[PRDID].[].[10001259]_x000D_
[KEY_FIGURES].[].[ZFORECASTOPENOUTPUT]_x000D_
[LOCID].[].[7K10]_x000D_
[PRDID].[].[10001259]_x000D_
[KEY_FIGURES].[].[ZACTUALSALES]_x000D_
[LOCID].[].[7K10]_x000D_
[PRDID].[].[10001259]_x000D_
[KEY_FIGURES].[].[ZCONSENSUSDEMAND]_x000D_
[LOCID].[].[7K10]_x000D_
[PRDID].[].[10001259]_x000D_
[KEY_FIGURES].[].[INDEPENDENTDEMAND]_x000D_
[LOCID].[].[7K10]_x000D_
[PRDID].[].[10001260]_x000D_
[KEY_FIGURES].[].[ZCONSENSUSDEMANDQTY]_x000D_
[LOCID].[].[7K10]_x000D_
[PRDID].[].[10001260]_x000D_
[KEY_FIGURES].[].[ZINPUTSOFC]_x000D_
[LOCID].[].[7K10]_x000D_
[PRDID].[].[10001260]_x000D_
[KEY_FIGURES].[].[ZFORECASTOPENOUTPUT]_x000D_
[LOCID].[].[7K10]_x000D_
[PRDID].[].[10001260]_x000D_
[KEY_FIGURES].[].[ZACTUALSALES]_x000D_
[LOCID].[].[7K10]_x000D_
[PRDID].[].[10001260]_x000D_
[KEY_FIGURES].[].[ZCONSENSUSDEMAND]_x000D_
[LOCID].[].[7K10]_x000D_
[PRDID].[].[10001260]_x000D_
[KEY_FIGURES].[].[INDEPENDENTDEMAND]_x000D_
[LOCID].[].[7K10]_x000D_
[PRDID].[].[10001261]_x000D_
[KEY_FIGURES].[].[ZCONSENSUSDEMANDQTY]_x000D_
[LOCID].[].[7K10]_x000D_
[PRDID].[].[10001261]_x000D_
[KEY_FIGURES].[].[ZINPUTSOFC]_x000D_
[LOCID].[].[7K10]_x000D_
[PRDID].[].[10001261]_x000D_
[KEY_FIGURES].[].[ZFORECASTOPENOUTPUT]_x000D_
[LOCID].[].[7K10]_x000D_
[PRDID].[].[10001261]_x000D_
[KEY_FIGURES].[].[ZACTUALSALES]_x000D_
[LOCID].[].[7K10]_x000D_
[PRDID].[].[10001261]_x000D_
[KEY_FIGURES].[].[ZCONSENSUSDEMAND]_x000D_
[LOCID].[].[7K10]_x000D_
[PRDID].[].[10001261]_x000D_
[KEY_FIGURES].[].[INDEPENDENTDEMAND]_x000D_
[LOCID].[].[7K10]_x000D_
[PRDID].[].[10001262]_x000D_
[KEY_FIGURES].[].[ZCONSENSUSDEMANDQTY]_x000D_
[LOCID].[].[7K10]_x000D_
[PRDID].[].[10001262]_x000D_
[KEY_FIGURES].[].[ZINPUTSOFC]</t>
  </si>
  <si>
    <t>[LOCID].[].[7K10]_x000D_
[PRDID].[].[10001262]_x000D_
[KEY_FIGURES].[].[ZFORECASTOPENOUTPUT]_x000D_
[LOCID].[].[7K10]_x000D_
[PRDID].[].[10001262]_x000D_
[KEY_FIGURES].[].[ZACTUALSALES]_x000D_
[LOCID].[].[7K10]_x000D_
[PRDID].[].[10001262]_x000D_
[KEY_FIGURES].[].[ZCONSENSUSDEMAND]_x000D_
[LOCID].[].[7K10]_x000D_
[PRDID].[].[10001262]_x000D_
[KEY_FIGURES].[].[INDEPENDENTDEMAND]_x000D_
[LOCID].[].[7K10]_x000D_
[PRDID].[].[10001263]_x000D_
[KEY_FIGURES].[].[ZCONSENSUSDEMANDQTY]_x000D_
[LOCID].[].[7K10]_x000D_
[PRDID].[].[10001263]_x000D_
[KEY_FIGURES].[].[ZINPUTSOFC]_x000D_
[LOCID].[].[7K10]_x000D_
[PRDID].[].[10001263]_x000D_
[KEY_FIGURES].[].[ZFORECASTOPENOUTPUT]_x000D_
[LOCID].[].[7K10]_x000D_
[PRDID].[].[10001263]_x000D_
[KEY_FIGURES].[].[ZACTUALSALES]_x000D_
[LOCID].[].[7K10]_x000D_
[PRDID].[].[10001263]_x000D_
[KEY_FIGURES].[].[ZCONSENSUSDEMAND]_x000D_
[LOCID].[].[7K10]_x000D_
[PRDID].[].[10001263]_x000D_
[KEY_FIGURES].[].[INDEPENDENTDEMAND]_x000D_
[LOCID].[].[7K10]_x000D_
[PRDID].[].[10001264]_x000D_
[KEY_FIGURES].[].[ZCONSENSUSDEMANDQTY]_x000D_
[LOCID].[].[7K10]_x000D_
[PRDID].[].[10001264]_x000D_
[KEY_FIGURES].[].[ZINPUTSOFC]_x000D_
[LOCID].[].[7K10]_x000D_
[PRDID].[].[10001264]_x000D_
[KEY_FIGURES].[].[ZFORECASTOPENOUTPUT]_x000D_
[LOCID].[].[7K10]_x000D_
[PRDID].[].[10001264]_x000D_
[KEY_FIGURES].[].[ZACTUALSALES]_x000D_
[LOCID].[].[7K10]_x000D_
[PRDID].[].[10001264]_x000D_
[KEY_FIGURES].[].[ZCONSENSUSDEMAND]_x000D_
[LOCID].[].[7K10]_x000D_
[PRDID].[].[10001264]_x000D_
[KEY_FIGURES].[].[INDEPENDENTDEMAND]_x000D_
[LOCID].[].[7K10]_x000D_
[PRDID].[].[10001265]_x000D_
[KEY_FIGURES].[].[ZCONSENSUSDEMANDQTY]_x000D_
[LOCID].[].[7K10]_x000D_
[PRDID].[].[10001265]_x000D_
[KEY_FIGURES].[].[ZINPUTSOFC]_x000D_
[LOCID].[].[7K10]_x000D_
[PRDID].[].[10001265]_x000D_
[KEY_FIGURES].[].[ZFORECASTOPENOUTPUT]_x000D_
[LOCID].[].[7K10]_x000D_
[PRDID].[].[10001265]_x000D_
[KEY_FIGURES].[].[ZACTUALSALES]_x000D_
[LOCID].[].[7K10]_x000D_
[PRDID].[].[10001265]_x000D_
[KEY_FIGURES].[].[ZCONSENSUSDEMAND]_x000D_
[LOCID].[].[7K10]_x000D_
[PRDID].[].[10001265]_x000D_
[KEY_FIGURES].[].[INDEPENDENTDEMAND]_x000D_
[LOCID].[].[7K10]_x000D_
[PRDID].[].[10001266]_x000D_
[KEY_FIGURES].[].[ZCONSENSUSDEMANDQTY]_x000D_
[LOCID].[].[7K10]_x000D_
[PRDID].[].[10001266]_x000D_
[KEY_FIGURES].[].[ZINPUTSOFC]_x000D_
[LOCID].[].[7K10]_x000D_
[PRDID].[].[10001266]_x000D_
[KEY_FIGURES].[].[ZFORECASTOPENOUTPUT]_x000D_
[LOCID].[].[7K10]_x000D_
[PRDID].[].[10001266]_x000D_
[KEY_FIGURES].[].[ZACTUALSALES]_x000D_
[LOCID].[].[7K10]_x000D_
[PRDID].[].[10001266]_x000D_
[KEY_FIGURES].[].[ZCONSENSUSDEMAND]_x000D_
[LOCID].[].[7K10]_x000D_
[PRDID].[].[10001266]_x000D_
[KEY_FIGURES].[].[INDEPENDENTDEMAND]_x000D_
[LOCID].[].[7K10]_x000D_
[PRDID].[].[10001267]_x000D_
[KEY_FIGURES].[].[ZCONSENSUSDEMANDQTY]_x000D_
[LOCID].[].[7K10]_x000D_
[PRDID].[].[10001267]_x000D_
[KEY_FIGURES].[].[ZINPUTSOFC]_x000D_
[LOCID].[].[7K10]_x000D_
[PRDID].[].[10001267]_x000D_
[KEY_FIGURES].[].[ZFORECASTOPENOUTPUT]_x000D_
[LOCID].[].[7K10]_x000D_
[PRDID].[].[10001267]_x000D_
[KEY_FIGURES].[].[ZACTUALSALES]_x000D_
[LOCID].[].[7K10]_x000D_
[PRDID].[].[10001267]_x000D_
[KEY_FIGURES].[].[ZCONSENSUSDEMAND]_x000D_
[LOCID].[].[7K10]_x000D_
[PRDID].[].[10001267]_x000D_
[KEY_FIGURES].[].[INDEPENDENTDEMAND]_x000D_
[LOCID].[].[7K10]_x000D_
[PRDID].[].[10001268]_x000D_
[KEY_FIGURES].[].[ZCONSENSUSDEMANDQTY]_x000D_
[LOCID].[].[7K10]_x000D_
[PRDID].[].[10001268]_x000D_
[KEY_FIGURES].[].[ZINPUTSOFC]_x000D_
[LOCID].[].[7K10]_x000D_
[PRDID].[].[10001268]_x000D_
[KEY_FIGURES].[].[ZFORECASTOPENOUTPUT]_x000D_
[LOCID].[].[7K10]_x000D_
[PRDID].[].[10001268]_x000D_
[KEY_FIGURES].[].[ZACTUALSALES]_x000D_
[LOCID].[].[7K10]_x000D_
[PRDID].[].[10001268]_x000D_
[KEY_FIGURES].[].[ZCONSENSUSDEMAND]_x000D_
[LOCID].[].[7K10]_x000D_
[PRDID].[].[10001268]_x000D_
[KEY_FIGURES].[].[INDEPENDENTDEMAND]_x000D_
[LOCID].[].[7K10]_x000D_
[PRDID].[].[10001269]_x000D_
[KEY_FIGURES].[].[ZCONSENSUSDEMANDQTY]_x000D_
[LOCID].[].[7K10]_x000D_
[PRDID].[].[10001269]_x000D_
[KEY_FIGURES].[].[ZINPUTSOFC]_x000D_
[LOCID].[].[7K10]_x000D_
[PRDID].[].[10001269]_x000D_
[KEY_FIGURES].[].[ZFORECASTOPENOUTPUT]_x000D_
[LOCID].[].[7K10]_x000D_
[PRDID].[].[10001269]_x000D_
[KEY_FIGURES].[].[ZACTUALSALES]_x000D_
[LOCID].[].[7K10]_x000D_
[PRDID].[].[10001269]_x000D_
[KEY_FIGURES].[].[ZCONSENSUSDEMAND]_x000D_
[LOCID].[].[7K10]_x000D_
[PRDID].[].[10001269]_x000D_
[KEY_FIGURES].[].[INDEPENDENTDEMAND]_x000D_
[LOCID].[].[7K10]_x000D_
[PRDID].[].[10001270]_x000D_
[KEY_FIGURES].[].[ZCONSENSUSDEMANDQTY]_x000D_
[LOCID].[].[7K10]_x000D_
[PRDID].[].[10001270]_x000D_
[KEY_FIGURES].[].[ZINPUTSOFC]_x000D_
[LOCID].[].[7K10]_x000D_
[PRDID].[].[10001270]_x000D_
[KEY_FIGURES].[].[ZFORECASTOPENOUTPUT]_x000D_
[LOCID].[].[7K10]_x000D_
[PRDID].[].[10001270]_x000D_
[KEY_FIGURES].[].[ZACTUALSALES]_x000D_
[LOCID].[].[7K10]_x000D_
[PRDID].[].[10001270]_x000D_
[KEY_FIGURES].[].[ZCONSENSUSDEMAND]_x000D_
[LOCID].[].[7K10]_x000D_
[PRDID].[].[10001270]_x000D_
[KEY_FIGURES].[].[INDEPENDENTDEMAND]_x000D_
[LOCID].[].[7K10]_x000D_
[PRDID].[].[10001271]_x000D_
[KEY_FIGURES].[].[ZCONSENSUSDEMANDQTY]_x000D_
[LOCID].[].[7K10]_x000D_
[PRDID].[].[10001271]_x000D_
[KEY_FIGURES].[].[ZINPUTSOFC]_x000D_
[LOCID].[].[7K10]_x000D_
[PRDID].[].[10001271]_x000D_
[KEY_FIGURES].[].[ZFORECASTOPENOUTPUT]_x000D_
[LOCID].[].[7K10]_x000D_
[PRDID].[].[10001271]_x000D_
[KEY_FIGURES].[].[ZACTUALSALES]_x000D_
[LOCID].[].[7K10]_x000D_
[PRDID].[].[10001271]_x000D_
[KEY_FIGURES].[].[ZCONSENSUSDEMAND]_x000D_
[LOCID].[].[7K10]_x000D_
[PRDID].[].[10001271]_x000D_
[KEY_FIGURES].[].[INDEPENDENTDEMAND]_x000D_
[LOCID].[].[7K10]_x000D_
[PRDID].[].[10001272]_x000D_
[KEY_FIGURES].[].[ZCONSENSUSDEMANDQTY]_x000D_
[LOCID].[].[7K10]_x000D_
[PRDID].[].[10001272]_x000D_
[KEY_FIGURES].[].[ZINPUTSOFC]_x000D_
[LOCID].[].[7K10]_x000D_
[PRDID].[].[10001272]_x000D_
[KEY_FIGURES].[].[ZFORECASTOPENOUTPUT]_x000D_
[LOCID].[].[7K10]_x000D_
[PRDID].[].[10001272]_x000D_
[KEY_FIGURES].[].[ZACTUALSALES]_x000D_
[LOCID].[].[7K10]_x000D_
[PRDID].[].[10001272]_x000D_
[KEY_FIGURES].[].[ZCONSENSUSDEMAND]_x000D_
[LOCID].[].[7K10]_x000D_
[PRDID].[].[10001272]_x000D_
[KEY_FIGURES].[].[INDEPENDENTDEMAND]_x000D_
[LOCID].[].[7K10]_x000D_
[PRDID].[].[10001273]_x000D_
[KEY_FIGURES].[].[ZCONSENSUSDEMANDQTY]_x000D_
[LOCID].[].[7K10]_x000D_
[PRDID].[].[10001273]_x000D_
[KEY_FIGURES].[].[ZINPUTSOFC]_x000D_
[LOCID].[].[7K10]_x000D_
[PRDID].[].[10001273]</t>
  </si>
  <si>
    <t>[KEY_FIGURES].[].[ZFORECASTOPENOUTPUT]_x000D_
[LOCID].[].[7K10]_x000D_
[PRDID].[].[10001273]_x000D_
[KEY_FIGURES].[].[ZACTUALSALES]_x000D_
[LOCID].[].[7K10]_x000D_
[PRDID].[].[10001273]_x000D_
[KEY_FIGURES].[].[ZCONSENSUSDEMAND]_x000D_
[LOCID].[].[7K10]_x000D_
[PRDID].[].[10001273]_x000D_
[KEY_FIGURES].[].[INDEPENDENTDEMAND]_x000D_
[LOCID].[].[7K10]_x000D_
[PRDID].[].[10001274]_x000D_
[KEY_FIGURES].[].[ZCONSENSUSDEMANDQTY]_x000D_
[LOCID].[].[7K10]_x000D_
[PRDID].[].[10001274]_x000D_
[KEY_FIGURES].[].[ZINPUTSOFC]_x000D_
[LOCID].[].[7K10]_x000D_
[PRDID].[].[10001274]_x000D_
[KEY_FIGURES].[].[ZFORECASTOPENOUTPUT]_x000D_
[LOCID].[].[7K10]_x000D_
[PRDID].[].[10001274]_x000D_
[KEY_FIGURES].[].[ZACTUALSALES]_x000D_
[LOCID].[].[7K10]_x000D_
[PRDID].[].[10001274]_x000D_
[KEY_FIGURES].[].[ZCONSENSUSDEMAND]_x000D_
[LOCID].[].[7K10]_x000D_
[PRDID].[].[10001274]_x000D_
[KEY_FIGURES].[].[INDEPENDENTDEMAND]_x000D_
[LOCID].[].[7K10]_x000D_
[PRDID].[].[10001275]_x000D_
[KEY_FIGURES].[].[ZCONSENSUSDEMANDQTY]_x000D_
[LOCID].[].[7K10]_x000D_
[PRDID].[].[10001275]_x000D_
[KEY_FIGURES].[].[ZINPUTSOFC]_x000D_
[LOCID].[].[7K10]_x000D_
[PRDID].[].[10001275]_x000D_
[KEY_FIGURES].[].[ZFORECASTOPENOUTPUT]_x000D_
[LOCID].[].[7K10]_x000D_
[PRDID].[].[10001275]_x000D_
[KEY_FIGURES].[].[ZACTUALSALES]_x000D_
[LOCID].[].[7K10]_x000D_
[PRDID].[].[10001275]_x000D_
[KEY_FIGURES].[].[ZCONSENSUSDEMAND]_x000D_
[LOCID].[].[7K10]_x000D_
[PRDID].[].[10001275]_x000D_
[KEY_FIGURES].[].[INDEPENDENTDEMAND]_x000D_
[LOCID].[].[7K10]_x000D_
[PRDID].[].[10001276]_x000D_
[KEY_FIGURES].[].[ZCONSENSUSDEMANDQTY]_x000D_
[LOCID].[].[7K10]_x000D_
[PRDID].[].[10001276]_x000D_
[KEY_FIGURES].[].[ZINPUTSOFC]_x000D_
[LOCID].[].[7K10]_x000D_
[PRDID].[].[10001276]_x000D_
[KEY_FIGURES].[].[ZFORECASTOPENOUTPUT]_x000D_
[LOCID].[].[7K10]_x000D_
[PRDID].[].[10001276]_x000D_
[KEY_FIGURES].[].[ZACTUALSALES]_x000D_
[LOCID].[].[7K10]_x000D_
[PRDID].[].[10001276]_x000D_
[KEY_FIGURES].[].[ZCONSENSUSDEMAND]_x000D_
[LOCID].[].[7K10]_x000D_
[PRDID].[].[10001276]_x000D_
[KEY_FIGURES].[].[INDEPENDENTDEMAND]_x000D_
[LOCID].[].[7K10]_x000D_
[PRDID].[].[10001277]_x000D_
[KEY_FIGURES].[].[ZCONSENSUSDEMANDQTY]_x000D_
[LOCID].[].[7K10]_x000D_
[PRDID].[].[10001277]_x000D_
[KEY_FIGURES].[].[ZINPUTSOFC]_x000D_
[LOCID].[].[7K10]_x000D_
[PRDID].[].[10001277]_x000D_
[KEY_FIGURES].[].[ZFORECASTOPENOUTPUT]_x000D_
[LOCID].[].[7K10]_x000D_
[PRDID].[].[10001277]_x000D_
[KEY_FIGURES].[].[ZACTUALSALES]_x000D_
[LOCID].[].[7K10]_x000D_
[PRDID].[].[10001277]_x000D_
[KEY_FIGURES].[].[ZCONSENSUSDEMAND]_x000D_
[LOCID].[].[7K10]_x000D_
[PRDID].[].[10001277]_x000D_
[KEY_FIGURES].[].[INDEPENDENTDEMAND]_x000D_
[LOCID].[].[7K10]_x000D_
[PRDID].[].[10001278]_x000D_
[KEY_FIGURES].[].[ZCONSENSUSDEMANDQTY]_x000D_
[LOCID].[].[7K10]_x000D_
[PRDID].[].[10001278]_x000D_
[KEY_FIGURES].[].[ZINPUTSOFC]_x000D_
[LOCID].[].[7K10]_x000D_
[PRDID].[].[10001278]_x000D_
[KEY_FIGURES].[].[ZFORECASTOPENOUTPUT]_x000D_
[LOCID].[].[7K10]_x000D_
[PRDID].[].[10001278]_x000D_
[KEY_FIGURES].[].[ZACTUALSALES]_x000D_
[LOCID].[].[7K10]_x000D_
[PRDID].[].[10001278]_x000D_
[KEY_FIGURES].[].[ZCONSENSUSDEMAND]_x000D_
[LOCID].[].[7K10]_x000D_
[PRDID].[].[10001278]_x000D_
[KEY_FIGURES].[].[INDEPENDENTDEMAND]_x000D_
[LOCID].[].[7K10]_x000D_
[PRDID].[].[10001279]_x000D_
[KEY_FIGURES].[].[ZCONSENSUSDEMANDQTY]_x000D_
[LOCID].[].[7K10]_x000D_
[PRDID].[].[10001279]_x000D_
[KEY_FIGURES].[].[ZINPUTSOFC]_x000D_
[LOCID].[].[7K10]_x000D_
[PRDID].[].[10001279]_x000D_
[KEY_FIGURES].[].[ZFORECASTOPENOUTPUT]_x000D_
[LOCID].[].[7K10]_x000D_
[PRDID].[].[10001279]_x000D_
[KEY_FIGURES].[].[ZACTUALSALES]_x000D_
[LOCID].[].[7K10]_x000D_
[PRDID].[].[10001279]_x000D_
[KEY_FIGURES].[].[ZCONSENSUSDEMAND]_x000D_
[LOCID].[].[7K10]_x000D_
[PRDID].[].[10001279]_x000D_
[KEY_FIGURES].[].[INDEPENDENTDEMAND]_x000D_
[LOCID].[].[7K10]_x000D_
[PRDID].[].[10001280]_x000D_
[KEY_FIGURES].[].[ZCONSENSUSDEMANDQTY]_x000D_
[LOCID].[].[7K10]_x000D_
[PRDID].[].[10001280]_x000D_
[KEY_FIGURES].[].[ZINPUTSOFC]_x000D_
[LOCID].[].[7K10]_x000D_
[PRDID].[].[10001280]_x000D_
[KEY_FIGURES].[].[ZFORECASTOPENOUTPUT]_x000D_
[LOCID].[].[7K10]_x000D_
[PRDID].[].[10001280]_x000D_
[KEY_FIGURES].[].[ZACTUALSALES]_x000D_
[LOCID].[].[7K10]_x000D_
[PRDID].[].[10001280]_x000D_
[KEY_FIGURES].[].[ZCONSENSUSDEMAND]_x000D_
[LOCID].[].[7K10]_x000D_
[PRDID].[].[10001280]_x000D_
[KEY_FIGURES].[].[INDEPENDENTDEMAND]_x000D_
[LOCID].[].[7K10]_x000D_
[PRDID].[].[10001281]_x000D_
[KEY_FIGURES].[].[ZCONSENSUSDEMANDQTY]_x000D_
[LOCID].[].[7K10]_x000D_
[PRDID].[].[10001281]_x000D_
[KEY_FIGURES].[].[ZINPUTSOFC]_x000D_
[LOCID].[].[7K10]_x000D_
[PRDID].[].[10001281]_x000D_
[KEY_FIGURES].[].[ZFORECASTOPENOUTPUT]_x000D_
[LOCID].[].[7K10]_x000D_
[PRDID].[].[10001281]_x000D_
[KEY_FIGURES].[].[ZACTUALSALES]_x000D_
[LOCID].[].[7K10]_x000D_
[PRDID].[].[10001281]_x000D_
[KEY_FIGURES].[].[ZCONSENSUSDEMAND]_x000D_
[LOCID].[].[7K10]_x000D_
[PRDID].[].[10001281]_x000D_
[KEY_FIGURES].[].[INDEPENDENTDEMAND]_x000D_
[LOCID].[].[7K10]_x000D_
[PRDID].[].[10001282]_x000D_
[KEY_FIGURES].[].[ZCONSENSUSDEMANDQTY]_x000D_
[LOCID].[].[7K10]_x000D_
[PRDID].[].[10001282]_x000D_
[KEY_FIGURES].[].[ZINPUTSOFC]_x000D_
[LOCID].[].[7K10]_x000D_
[PRDID].[].[10001282]_x000D_
[KEY_FIGURES].[].[ZFORECASTOPENOUTPUT]_x000D_
[LOCID].[].[7K10]_x000D_
[PRDID].[].[10001282]_x000D_
[KEY_FIGURES].[].[ZACTUALSALES]_x000D_
[LOCID].[].[7K10]_x000D_
[PRDID].[].[10001282]_x000D_
[KEY_FIGURES].[].[ZCONSENSUSDEMAND]_x000D_
[LOCID].[].[7K10]_x000D_
[PRDID].[].[10001282]_x000D_
[KEY_FIGURES].[].[INDEPENDENTDEMAND]_x000D_
[LOCID].[].[7K10]_x000D_
[PRDID].[].[10001283]_x000D_
[KEY_FIGURES].[].[ZCONSENSUSDEMANDQTY]_x000D_
[LOCID].[].[7K10]_x000D_
[PRDID].[].[10001283]_x000D_
[KEY_FIGURES].[].[ZINPUTSOFC]_x000D_
[LOCID].[].[7K10]_x000D_
[PRDID].[].[10001283]_x000D_
[KEY_FIGURES].[].[ZFORECASTOPENOUTPUT]_x000D_
[LOCID].[].[7K10]_x000D_
[PRDID].[].[10001283]_x000D_
[KEY_FIGURES].[].[ZACTUALSALES]_x000D_
[LOCID].[].[7K10]_x000D_
[PRDID].[].[10001283]_x000D_
[KEY_FIGURES].[].[ZCONSENSUSDEMAND]_x000D_
[LOCID].[].[7K10]_x000D_
[PRDID].[].[10001283]_x000D_
[KEY_FIGURES].[].[INDEPENDENTDEMAND]_x000D_
[LOCID].[].[7K10]_x000D_
[PRDID].[].[10001284]_x000D_
[KEY_FIGURES].[].[ZCONSENSUSDEMANDQTY]_x000D_
[LOCID].[].[7K10]_x000D_
[PRDID].[].[10001284]_x000D_
[KEY_FIGURES].[].[ZINPUTSOFC]_x000D_
[LOCID].[].[7K10]_x000D_
[PRDID].[].[10001284]_x000D_
[KEY_FIGURES].[].[ZFORECASTOPENOUTPUT]_x000D_
[LOCID].[].[7K10]</t>
  </si>
  <si>
    <t>[PRDID].[].[10001284]_x000D_
[KEY_FIGURES].[].[ZACTUALSALES]_x000D_
[LOCID].[].[7K10]_x000D_
[PRDID].[].[10001284]_x000D_
[KEY_FIGURES].[].[ZCONSENSUSDEMAND]_x000D_
[LOCID].[].[7K10]_x000D_
[PRDID].[].[10001284]_x000D_
[KEY_FIGURES].[].[INDEPENDENTDEMAND]_x000D_
[LOCID].[].[7K10]_x000D_
[PRDID].[].[10001285]_x000D_
[KEY_FIGURES].[].[ZCONSENSUSDEMANDQTY]_x000D_
[LOCID].[].[7K10]_x000D_
[PRDID].[].[10001285]_x000D_
[KEY_FIGURES].[].[ZINPUTSOFC]_x000D_
[LOCID].[].[7K10]_x000D_
[PRDID].[].[10001285]_x000D_
[KEY_FIGURES].[].[ZFORECASTOPENOUTPUT]_x000D_
[LOCID].[].[7K10]_x000D_
[PRDID].[].[10001285]_x000D_
[KEY_FIGURES].[].[ZACTUALSALES]_x000D_
[LOCID].[].[7K10]_x000D_
[PRDID].[].[10001285]_x000D_
[KEY_FIGURES].[].[ZCONSENSUSDEMAND]_x000D_
[LOCID].[].[7K10]_x000D_
[PRDID].[].[10001285]_x000D_
[KEY_FIGURES].[].[INDEPENDENTDEMAND]_x000D_
[LOCID].[].[7K10]_x000D_
[PRDID].[].[10001286]_x000D_
[KEY_FIGURES].[].[ZCONSENSUSDEMANDQTY]_x000D_
[LOCID].[].[7K10]_x000D_
[PRDID].[].[10001286]_x000D_
[KEY_FIGURES].[].[ZINPUTSOFC]_x000D_
[LOCID].[].[7K10]_x000D_
[PRDID].[].[10001286]_x000D_
[KEY_FIGURES].[].[ZFORECASTOPENOUTPUT]_x000D_
[LOCID].[].[7K10]_x000D_
[PRDID].[].[10001286]_x000D_
[KEY_FIGURES].[].[ZACTUALSALES]_x000D_
[LOCID].[].[7K10]_x000D_
[PRDID].[].[10001286]_x000D_
[KEY_FIGURES].[].[ZCONSENSUSDEMAND]_x000D_
[LOCID].[].[7K10]_x000D_
[PRDID].[].[10001286]_x000D_
[KEY_FIGURES].[].[INDEPENDENTDEMAND]_x000D_
[LOCID].[].[7K10]_x000D_
[PRDID].[].[10001287]_x000D_
[KEY_FIGURES].[].[ZCONSENSUSDEMANDQTY]_x000D_
[LOCID].[].[7K10]_x000D_
[PRDID].[].[10001287]_x000D_
[KEY_FIGURES].[].[ZINPUTSOFC]_x000D_
[LOCID].[].[7K10]_x000D_
[PRDID].[].[10001287]_x000D_
[KEY_FIGURES].[].[ZFORECASTOPENOUTPUT]_x000D_
[LOCID].[].[7K10]_x000D_
[PRDID].[].[10001287]_x000D_
[KEY_FIGURES].[].[ZACTUALSALES]_x000D_
[LOCID].[].[7K10]_x000D_
[PRDID].[].[10001287]_x000D_
[KEY_FIGURES].[].[ZCONSENSUSDEMAND]_x000D_
[LOCID].[].[7K10]_x000D_
[PRDID].[].[10001287]_x000D_
[KEY_FIGURES].[].[INDEPENDENTDEMAND]_x000D_
[LOCID].[].[7K10]_x000D_
[PRDID].[].[10001288]_x000D_
[KEY_FIGURES].[].[ZCONSENSUSDEMANDQTY]_x000D_
[LOCID].[].[7K10]_x000D_
[PRDID].[].[10001288]_x000D_
[KEY_FIGURES].[].[ZINPUTSOFC]_x000D_
[LOCID].[].[7K10]_x000D_
[PRDID].[].[10001288]_x000D_
[KEY_FIGURES].[].[ZFORECASTOPENOUTPUT]_x000D_
[LOCID].[].[7K10]_x000D_
[PRDID].[].[10001288]_x000D_
[KEY_FIGURES].[].[ZACTUALSALES]_x000D_
[LOCID].[].[7K10]_x000D_
[PRDID].[].[10001288]_x000D_
[KEY_FIGURES].[].[ZCONSENSUSDEMAND]_x000D_
[LOCID].[].[7K10]_x000D_
[PRDID].[].[10001288]_x000D_
[KEY_FIGURES].[].[INDEPENDENTDEMAND]_x000D_
[LOCID].[].[7K10]_x000D_
[PRDID].[].[10001289]_x000D_
[KEY_FIGURES].[].[ZCONSENSUSDEMANDQTY]_x000D_
[LOCID].[].[7K10]_x000D_
[PRDID].[].[10001289]_x000D_
[KEY_FIGURES].[].[ZINPUTSOFC]_x000D_
[LOCID].[].[7K10]_x000D_
[PRDID].[].[10001289]_x000D_
[KEY_FIGURES].[].[ZFORECASTOPENOUTPUT]_x000D_
[LOCID].[].[7K10]_x000D_
[PRDID].[].[10001289]_x000D_
[KEY_FIGURES].[].[ZACTUALSALES]_x000D_
[LOCID].[].[7K10]_x000D_
[PRDID].[].[10001289]_x000D_
[KEY_FIGURES].[].[ZCONSENSUSDEMAND]_x000D_
[LOCID].[].[7K10]_x000D_
[PRDID].[].[10001289]_x000D_
[KEY_FIGURES].[].[INDEPENDENTDEMAND]_x000D_
[LOCID].[].[7K10]_x000D_
[PRDID].[].[10001290]_x000D_
[KEY_FIGURES].[].[ZCONSENSUSDEMANDQTY]_x000D_
[LOCID].[].[7K10]_x000D_
[PRDID].[].[10001290]_x000D_
[KEY_FIGURES].[].[ZINPUTSOFC]_x000D_
[LOCID].[].[7K10]_x000D_
[PRDID].[].[10001290]_x000D_
[KEY_FIGURES].[].[ZFORECASTOPENOUTPUT]_x000D_
[LOCID].[].[7K10]_x000D_
[PRDID].[].[10001290]_x000D_
[KEY_FIGURES].[].[ZACTUALSALES]_x000D_
[LOCID].[].[7K10]_x000D_
[PRDID].[].[10001290]_x000D_
[KEY_FIGURES].[].[ZCONSENSUSDEMAND]_x000D_
[LOCID].[].[7K10]_x000D_
[PRDID].[].[10001290]_x000D_
[KEY_FIGURES].[].[INDEPENDENTDEMAND]_x000D_
[LOCID].[].[7K10]_x000D_
[PRDID].[].[10001291]_x000D_
[KEY_FIGURES].[].[ZCONSENSUSDEMANDQTY]_x000D_
[LOCID].[].[7K10]_x000D_
[PRDID].[].[10001291]_x000D_
[KEY_FIGURES].[].[ZINPUTSOFC]_x000D_
[LOCID].[].[7K10]_x000D_
[PRDID].[].[10001291]_x000D_
[KEY_FIGURES].[].[ZFORECASTOPENOUTPUT]_x000D_
[LOCID].[].[7K10]_x000D_
[PRDID].[].[10001291]_x000D_
[KEY_FIGURES].[].[ZACTUALSALES]_x000D_
[LOCID].[].[7K10]_x000D_
[PRDID].[].[10001291]_x000D_
[KEY_FIGURES].[].[ZCONSENSUSDEMAND]_x000D_
[LOCID].[].[7K10]_x000D_
[PRDID].[].[10001291]_x000D_
[KEY_FIGURES].[].[INDEPENDENTDEMAND]_x000D_
[LOCID].[].[7K10]_x000D_
[PRDID].[].[10001292]_x000D_
[KEY_FIGURES].[].[ZCONSENSUSDEMANDQTY]_x000D_
[LOCID].[].[7K10]_x000D_
[PRDID].[].[10001292]_x000D_
[KEY_FIGURES].[].[ZINPUTSOFC]_x000D_
[LOCID].[].[7K10]_x000D_
[PRDID].[].[10001292]_x000D_
[KEY_FIGURES].[].[ZFORECASTOPENOUTPUT]_x000D_
[LOCID].[].[7K10]_x000D_
[PRDID].[].[10001292]_x000D_
[KEY_FIGURES].[].[ZACTUALSALES]_x000D_
[LOCID].[].[7K10]_x000D_
[PRDID].[].[10001292]_x000D_
[KEY_FIGURES].[].[ZCONSENSUSDEMAND]_x000D_
[LOCID].[].[7K10]_x000D_
[PRDID].[].[10001292]_x000D_
[KEY_FIGURES].[].[INDEPENDENTDEMAND]_x000D_
[LOCID].[].[7K10]_x000D_
[PRDID].[].[10001293]_x000D_
[KEY_FIGURES].[].[ZCONSENSUSDEMANDQTY]_x000D_
[LOCID].[].[7K10]_x000D_
[PRDID].[].[10001293]_x000D_
[KEY_FIGURES].[].[ZINPUTSOFC]_x000D_
[LOCID].[].[7K10]_x000D_
[PRDID].[].[10001293]_x000D_
[KEY_FIGURES].[].[ZFORECASTOPENOUTPUT]_x000D_
[LOCID].[].[7K10]_x000D_
[PRDID].[].[10001293]_x000D_
[KEY_FIGURES].[].[ZACTUALSALES]_x000D_
[LOCID].[].[7K10]_x000D_
[PRDID].[].[10001293]_x000D_
[KEY_FIGURES].[].[ZCONSENSUSDEMAND]_x000D_
[LOCID].[].[7K10]_x000D_
[PRDID].[].[10001293]_x000D_
[KEY_FIGURES].[].[INDEPENDENTDEMAND]_x000D_
[LOCID].[].[7K10]_x000D_
[PRDID].[].[10001294]_x000D_
[KEY_FIGURES].[].[ZCONSENSUSDEMANDQTY]_x000D_
[LOCID].[].[7K10]_x000D_
[PRDID].[].[10001294]_x000D_
[KEY_FIGURES].[].[ZINPUTSOFC]_x000D_
[LOCID].[].[7K10]_x000D_
[PRDID].[].[10001294]_x000D_
[KEY_FIGURES].[].[ZFORECASTOPENOUTPUT]_x000D_
[LOCID].[].[7K10]_x000D_
[PRDID].[].[10001294]_x000D_
[KEY_FIGURES].[].[ZACTUALSALES]_x000D_
[LOCID].[].[7K10]_x000D_
[PRDID].[].[10001294]_x000D_
[KEY_FIGURES].[].[ZCONSENSUSDEMAND]_x000D_
[LOCID].[].[7K10]_x000D_
[PRDID].[].[10001294]_x000D_
[KEY_FIGURES].[].[INDEPENDENTDEMAND]_x000D_
[LOCID].[].[7K10]_x000D_
[PRDID].[].[10001295]_x000D_
[KEY_FIGURES].[].[ZCONSENSUSDEMANDQTY]_x000D_
[LOCID].[].[7K10]_x000D_
[PRDID].[].[10001295]_x000D_
[KEY_FIGURES].[].[ZINPUTSOFC]_x000D_
[LOCID].[].[7K10]_x000D_
[PRDID].[].[10001295]_x000D_
[KEY_FIGURES].[].[ZFORECASTOPENOUTPUT]_x000D_
[LOCID].[].[7K10]_x000D_
[PRDID].[].[10001295]_x000D_
[KEY_FIGURES].[].[ZACTUALSALES]</t>
  </si>
  <si>
    <t>[LOCID].[].[7K10]_x000D_
[PRDID].[].[10001295]_x000D_
[KEY_FIGURES].[].[ZCONSENSUSDEMAND]_x000D_
[LOCID].[].[7K10]_x000D_
[PRDID].[].[10001295]_x000D_
[KEY_FIGURES].[].[INDEPENDENTDEMAND]_x000D_
[LOCID].[].[7K10]_x000D_
[PRDID].[].[10001296]_x000D_
[KEY_FIGURES].[].[ZCONSENSUSDEMANDQTY]_x000D_
[LOCID].[].[7K10]_x000D_
[PRDID].[].[10001296]_x000D_
[KEY_FIGURES].[].[ZINPUTSOFC]_x000D_
[LOCID].[].[7K10]_x000D_
[PRDID].[].[10001296]_x000D_
[KEY_FIGURES].[].[ZFORECASTOPENOUTPUT]_x000D_
[LOCID].[].[7K10]_x000D_
[PRDID].[].[10001296]_x000D_
[KEY_FIGURES].[].[ZACTUALSALES]_x000D_
[LOCID].[].[7K10]_x000D_
[PRDID].[].[10001296]_x000D_
[KEY_FIGURES].[].[ZCONSENSUSDEMAND]_x000D_
[LOCID].[].[7K10]_x000D_
[PRDID].[].[10001296]_x000D_
[KEY_FIGURES].[].[INDEPENDENTDEMAND]_x000D_
[LOCID].[].[7K10]_x000D_
[PRDID].[].[10001297]_x000D_
[KEY_FIGURES].[].[ZCONSENSUSDEMANDQTY]_x000D_
[LOCID].[].[7K10]_x000D_
[PRDID].[].[10001297]_x000D_
[KEY_FIGURES].[].[ZINPUTSOFC]_x000D_
[LOCID].[].[7K10]_x000D_
[PRDID].[].[10001297]_x000D_
[KEY_FIGURES].[].[ZFORECASTOPENOUTPUT]_x000D_
[LOCID].[].[7K10]_x000D_
[PRDID].[].[10001297]_x000D_
[KEY_FIGURES].[].[ZACTUALSALES]_x000D_
[LOCID].[].[7K10]_x000D_
[PRDID].[].[10001297]_x000D_
[KEY_FIGURES].[].[ZCONSENSUSDEMAND]_x000D_
[LOCID].[].[7K10]_x000D_
[PRDID].[].[10001297]_x000D_
[KEY_FIGURES].[].[INDEPENDENTDEMAND]_x000D_
[LOCID].[].[7K10]_x000D_
[PRDID].[].[10001298]_x000D_
[KEY_FIGURES].[].[ZCONSENSUSDEMANDQTY]_x000D_
[LOCID].[].[7K10]_x000D_
[PRDID].[].[10001298]_x000D_
[KEY_FIGURES].[].[ZINPUTSOFC]_x000D_
[LOCID].[].[7K10]_x000D_
[PRDID].[].[10001298]_x000D_
[KEY_FIGURES].[].[ZFORECASTOPENOUTPUT]_x000D_
[LOCID].[].[7K10]_x000D_
[PRDID].[].[10001298]_x000D_
[KEY_FIGURES].[].[ZACTUALSALES]_x000D_
[LOCID].[].[7K10]_x000D_
[PRDID].[].[10001298]_x000D_
[KEY_FIGURES].[].[ZCONSENSUSDEMAND]_x000D_
[LOCID].[].[7K10]_x000D_
[PRDID].[].[10001298]_x000D_
[KEY_FIGURES].[].[INDEPENDENTDEMAND]_x000D_
[LOCID].[].[7K10]_x000D_
[PRDID].[].[10001299]_x000D_
[KEY_FIGURES].[].[ZCONSENSUSDEMANDQTY]_x000D_
[LOCID].[].[7K10]_x000D_
[PRDID].[].[10001299]_x000D_
[KEY_FIGURES].[].[ZINPUTSOFC]_x000D_
[LOCID].[].[7K10]_x000D_
[PRDID].[].[10001299]_x000D_
[KEY_FIGURES].[].[ZFORECASTOPENOUTPUT]_x000D_
[LOCID].[].[7K10]_x000D_
[PRDID].[].[10001299]_x000D_
[KEY_FIGURES].[].[ZACTUALSALES]_x000D_
[LOCID].[].[7K10]_x000D_
[PRDID].[].[10001299]_x000D_
[KEY_FIGURES].[].[ZCONSENSUSDEMAND]_x000D_
[LOCID].[].[7K10]_x000D_
[PRDID].[].[10001299]_x000D_
[KEY_FIGURES].[].[INDEPENDENTDEMAND]_x000D_
[LOCID].[].[7K10]_x000D_
[PRDID].[].[10001300]_x000D_
[KEY_FIGURES].[].[ZCONSENSUSDEMANDQTY]_x000D_
[LOCID].[].[7K10]_x000D_
[PRDID].[].[10001300]_x000D_
[KEY_FIGURES].[].[ZINPUTSOFC]_x000D_
[LOCID].[].[7K10]_x000D_
[PRDID].[].[10001300]_x000D_
[KEY_FIGURES].[].[ZFORECASTOPENOUTPUT]_x000D_
[LOCID].[].[7K10]_x000D_
[PRDID].[].[10001300]_x000D_
[KEY_FIGURES].[].[ZACTUALSALES]_x000D_
[LOCID].[].[7K10]_x000D_
[PRDID].[].[10001300]_x000D_
[KEY_FIGURES].[].[ZCONSENSUSDEMAND]_x000D_
[LOCID].[].[7K10]_x000D_
[PRDID].[].[10001300]_x000D_
[KEY_FIGURES].[].[INDEPENDENTDEMAND]_x000D_
[LOCID].[].[7K10]_x000D_
[PRDID].[].[10001301]_x000D_
[KEY_FIGURES].[].[ZCONSENSUSDEMANDQTY]_x000D_
[LOCID].[].[7K10]_x000D_
[PRDID].[].[10001301]_x000D_
[KEY_FIGURES].[].[ZINPUTSOFC]_x000D_
[LOCID].[].[7K10]_x000D_
[PRDID].[].[10001301]_x000D_
[KEY_FIGURES].[].[ZFORECASTOPENOUTPUT]_x000D_
[LOCID].[].[7K10]_x000D_
[PRDID].[].[10001301]_x000D_
[KEY_FIGURES].[].[ZACTUALSALES]_x000D_
[LOCID].[].[7K10]_x000D_
[PRDID].[].[10001301]_x000D_
[KEY_FIGURES].[].[ZCONSENSUSDEMAND]_x000D_
[LOCID].[].[7K10]_x000D_
[PRDID].[].[10001301]_x000D_
[KEY_FIGURES].[].[INDEPENDENTDEMAND]_x000D_
[LOCID].[].[7K10]_x000D_
[PRDID].[].[10001302]_x000D_
[KEY_FIGURES].[].[ZCONSENSUSDEMANDQTY]_x000D_
[LOCID].[].[7K10]_x000D_
[PRDID].[].[10001302]_x000D_
[KEY_FIGURES].[].[ZINPUTSOFC]_x000D_
[LOCID].[].[7K10]_x000D_
[PRDID].[].[10001302]_x000D_
[KEY_FIGURES].[].[ZFORECASTOPENOUTPUT]_x000D_
[LOCID].[].[7K10]_x000D_
[PRDID].[].[10001302]_x000D_
[KEY_FIGURES].[].[ZACTUALSALES]_x000D_
[LOCID].[].[7K10]_x000D_
[PRDID].[].[10001302]_x000D_
[KEY_FIGURES].[].[ZCONSENSUSDEMAND]_x000D_
[LOCID].[].[7K10]_x000D_
[PRDID].[].[10001302]_x000D_
[KEY_FIGURES].[].[INDEPENDENTDEMAND]_x000D_
[LOCID].[].[7K10]_x000D_
[PRDID].[].[10001303]_x000D_
[KEY_FIGURES].[].[ZCONSENSUSDEMANDQTY]_x000D_
[LOCID].[].[7K10]_x000D_
[PRDID].[].[10001303]_x000D_
[KEY_FIGURES].[].[ZINPUTSOFC]_x000D_
[LOCID].[].[7K10]_x000D_
[PRDID].[].[10001303]_x000D_
[KEY_FIGURES].[].[ZFORECASTOPENOUTPUT]_x000D_
[LOCID].[].[7K10]_x000D_
[PRDID].[].[10001303]_x000D_
[KEY_FIGURES].[].[ZACTUALSALES]_x000D_
[LOCID].[].[7K10]_x000D_
[PRDID].[].[10001303]_x000D_
[KEY_FIGURES].[].[ZCONSENSUSDEMAND]_x000D_
[LOCID].[].[7K10]_x000D_
[PRDID].[].[10001303]_x000D_
[KEY_FIGURES].[].[INDEPENDENTDEMAND]_x000D_
[LOCID].[].[7K10]_x000D_
[PRDID].[].[10001304]_x000D_
[KEY_FIGURES].[].[ZCONSENSUSDEMANDQTY]_x000D_
[LOCID].[].[7K10]_x000D_
[PRDID].[].[10001304]_x000D_
[KEY_FIGURES].[].[ZINPUTSOFC]_x000D_
[LOCID].[].[7K10]_x000D_
[PRDID].[].[10001304]_x000D_
[KEY_FIGURES].[].[ZFORECASTOPENOUTPUT]_x000D_
[LOCID].[].[7K10]_x000D_
[PRDID].[].[10001304]_x000D_
[KEY_FIGURES].[].[ZACTUALSALES]_x000D_
[LOCID].[].[7K10]_x000D_
[PRDID].[].[10001304]_x000D_
[KEY_FIGURES].[].[ZCONSENSUSDEMAND]_x000D_
[LOCID].[].[7K10]_x000D_
[PRDID].[].[10001304]_x000D_
[KEY_FIGURES].[].[INDEPENDENTDEMAND]_x000D_
[LOCID].[].[7K10]_x000D_
[PRDID].[].[10001305]_x000D_
[KEY_FIGURES].[].[ZCONSENSUSDEMANDQTY]_x000D_
[LOCID].[].[7K10]_x000D_
[PRDID].[].[10001305]_x000D_
[KEY_FIGURES].[].[ZINPUTSOFC]_x000D_
[LOCID].[].[7K10]_x000D_
[PRDID].[].[10001305]_x000D_
[KEY_FIGURES].[].[ZFORECASTOPENOUTPUT]_x000D_
[LOCID].[].[7K10]_x000D_
[PRDID].[].[10001305]_x000D_
[KEY_FIGURES].[].[ZACTUALSALES]_x000D_
[LOCID].[].[7K10]_x000D_
[PRDID].[].[10001305]_x000D_
[KEY_FIGURES].[].[ZCONSENSUSDEMAND]_x000D_
[LOCID].[].[7K10]_x000D_
[PRDID].[].[10001305]_x000D_
[KEY_FIGURES].[].[INDEPENDENTDEMAND]_x000D_
[LOCID].[].[7K10]_x000D_
[PRDID].[].[10001308]_x000D_
[KEY_FIGURES].[].[ZCONSENSUSDEMANDQTY]_x000D_
[LOCID].[].[7K10]_x000D_
[PRDID].[].[10001308]_x000D_
[KEY_FIGURES].[].[ZINPUTSOFC]_x000D_
[LOCID].[].[7K10]_x000D_
[PRDID].[].[10001308]_x000D_
[KEY_FIGURES].[].[ZFORECASTOPENOUTPUT]_x000D_
[LOCID].[].[7K10]_x000D_
[PRDID].[].[10001308]_x000D_
[KEY_FIGURES].[].[ZACTUALSALES]_x000D_
[LOCID].[].[7K10]_x000D_
[PRDID].[].[10001308]</t>
  </si>
  <si>
    <t>[KEY_FIGURES].[].[ZCONSENSUSDEMAND]_x000D_
[LOCID].[].[7K10]_x000D_
[PRDID].[].[10001308]_x000D_
[KEY_FIGURES].[].[INDEPENDENTDEMAND]_x000D_
[LOCID].[].[7K10]_x000D_
[PRDID].[].[10001309]_x000D_
[KEY_FIGURES].[].[ZCONSENSUSDEMANDQTY]_x000D_
[LOCID].[].[7K10]_x000D_
[PRDID].[].[10001309]_x000D_
[KEY_FIGURES].[].[ZINPUTSOFC]_x000D_
[LOCID].[].[7K10]_x000D_
[PRDID].[].[10001309]_x000D_
[KEY_FIGURES].[].[ZFORECASTOPENOUTPUT]_x000D_
[LOCID].[].[7K10]_x000D_
[PRDID].[].[10001309]_x000D_
[KEY_FIGURES].[].[ZACTUALSALES]_x000D_
[LOCID].[].[7K10]_x000D_
[PRDID].[].[10001309]_x000D_
[KEY_FIGURES].[].[ZCONSENSUSDEMAND]_x000D_
[LOCID].[].[7K10]_x000D_
[PRDID].[].[10001309]_x000D_
[KEY_FIGURES].[].[INDEPENDENTDEMAND]_x000D_
[LOCID].[].[7K10]_x000D_
[PRDID].[].[10001312]_x000D_
[KEY_FIGURES].[].[ZCONSENSUSDEMANDQTY]_x000D_
[LOCID].[].[7K10]_x000D_
[PRDID].[].[10001312]_x000D_
[KEY_FIGURES].[].[ZINPUTSOFC]_x000D_
[LOCID].[].[7K10]_x000D_
[PRDID].[].[10001312]_x000D_
[KEY_FIGURES].[].[ZFORECASTOPENOUTPUT]_x000D_
[LOCID].[].[7K10]_x000D_
[PRDID].[].[10001312]_x000D_
[KEY_FIGURES].[].[ZACTUALSALES]_x000D_
[LOCID].[].[7K10]_x000D_
[PRDID].[].[10001312]_x000D_
[KEY_FIGURES].[].[ZCONSENSUSDEMAND]_x000D_
[LOCID].[].[7K10]_x000D_
[PRDID].[].[10001312]_x000D_
[KEY_FIGURES].[].[INDEPENDENTDEMAND]_x000D_
[LOCID].[].[7K10]_x000D_
[PRDID].[].[10001313]_x000D_
[KEY_FIGURES].[].[ZCONSENSUSDEMANDQTY]_x000D_
[LOCID].[].[7K10]_x000D_
[PRDID].[].[10001313]_x000D_
[KEY_FIGURES].[].[ZINPUTSOFC]_x000D_
[LOCID].[].[7K10]_x000D_
[PRDID].[].[10001313]_x000D_
[KEY_FIGURES].[].[ZFORECASTOPENOUTPUT]_x000D_
[LOCID].[].[7K10]_x000D_
[PRDID].[].[10001313]_x000D_
[KEY_FIGURES].[].[ZACTUALSALES]_x000D_
[LOCID].[].[7K10]_x000D_
[PRDID].[].[10001313]_x000D_
[KEY_FIGURES].[].[ZCONSENSUSDEMAND]_x000D_
[LOCID].[].[7K10]_x000D_
[PRDID].[].[10001313]_x000D_
[KEY_FIGURES].[].[INDEPENDENTDEMAND]_x000D_
[LOCID].[].[7K10]_x000D_
[PRDID].[].[10001314]_x000D_
[KEY_FIGURES].[].[ZCONSENSUSDEMANDQTY]_x000D_
[LOCID].[].[7K10]_x000D_
[PRDID].[].[10001314]_x000D_
[KEY_FIGURES].[].[ZINPUTSOFC]_x000D_
[LOCID].[].[7K10]_x000D_
[PRDID].[].[10001314]_x000D_
[KEY_FIGURES].[].[ZFORECASTOPENOUTPUT]_x000D_
[LOCID].[].[7K10]_x000D_
[PRDID].[].[10001314]_x000D_
[KEY_FIGURES].[].[ZACTUALSALES]_x000D_
[LOCID].[].[7K10]_x000D_
[PRDID].[].[10001314]_x000D_
[KEY_FIGURES].[].[ZCONSENSUSDEMAND]_x000D_
[LOCID].[].[7K10]_x000D_
[PRDID].[].[10001314]_x000D_
[KEY_FIGURES].[].[INDEPENDENTDEMAND]_x000D_
[LOCID].[].[7K10]_x000D_
[PRDID].[].[10001315]_x000D_
[KEY_FIGURES].[].[ZCONSENSUSDEMANDQTY]_x000D_
[LOCID].[].[7K10]_x000D_
[PRDID].[].[10001315]_x000D_
[KEY_FIGURES].[].[ZINPUTSOFC]_x000D_
[LOCID].[].[7K10]_x000D_
[PRDID].[].[10001315]_x000D_
[KEY_FIGURES].[].[ZFORECASTOPENOUTPUT]_x000D_
[LOCID].[].[7K10]_x000D_
[PRDID].[].[10001315]_x000D_
[KEY_FIGURES].[].[ZACTUALSALES]_x000D_
[LOCID].[].[7K10]_x000D_
[PRDID].[].[10001315]_x000D_
[KEY_FIGURES].[].[ZCONSENSUSDEMAND]_x000D_
[LOCID].[].[7K10]_x000D_
[PRDID].[].[10001315]_x000D_
[KEY_FIGURES].[].[INDEPENDENTDEMAND]_x000D_
[LOCID].[].[7K10]_x000D_
[PRDID].[].[10001316]_x000D_
[KEY_FIGURES].[].[ZCONSENSUSDEMANDQTY]_x000D_
[LOCID].[].[7K10]_x000D_
[PRDID].[].[10001316]_x000D_
[KEY_FIGURES].[].[ZINPUTSOFC]_x000D_
[LOCID].[].[7K10]_x000D_
[PRDID].[].[10001316]_x000D_
[KEY_FIGURES].[].[ZFORECASTOPENOUTPUT]_x000D_
[LOCID].[].[7K10]_x000D_
[PRDID].[].[10001316]_x000D_
[KEY_FIGURES].[].[ZACTUALSALES]_x000D_
[LOCID].[].[7K10]_x000D_
[PRDID].[].[10001316]_x000D_
[KEY_FIGURES].[].[ZCONSENSUSDEMAND]_x000D_
[LOCID].[].[7K10]_x000D_
[PRDID].[].[10001316]_x000D_
[KEY_FIGURES].[].[INDEPENDENTDEMAND]_x000D_
[LOCID].[].[7K10]_x000D_
[PRDID].[].[10001317]_x000D_
[KEY_FIGURES].[].[ZCONSENSUSDEMANDQTY]_x000D_
[LOCID].[].[7K10]_x000D_
[PRDID].[].[10001317]_x000D_
[KEY_FIGURES].[].[ZINPUTSOFC]_x000D_
[LOCID].[].[7K10]_x000D_
[PRDID].[].[10001317]_x000D_
[KEY_FIGURES].[].[ZFORECASTOPENOUTPUT]_x000D_
[LOCID].[].[7K10]_x000D_
[PRDID].[].[10001317]_x000D_
[KEY_FIGURES].[].[ZACTUALSALES]_x000D_
[LOCID].[].[7K10]_x000D_
[PRDID].[].[10001317]_x000D_
[KEY_FIGURES].[].[ZCONSENSUSDEMAND]_x000D_
[LOCID].[].[7K10]_x000D_
[PRDID].[].[10001317]_x000D_
[KEY_FIGURES].[].[INDEPENDENTDEMAND]_x000D_
[LOCID].[].[7K10]_x000D_
[PRDID].[].[10001318]_x000D_
[KEY_FIGURES].[].[ZCONSENSUSDEMANDQTY]_x000D_
[LOCID].[].[7K10]_x000D_
[PRDID].[].[10001318]_x000D_
[KEY_FIGURES].[].[ZINPUTSOFC]_x000D_
[LOCID].[].[7K10]_x000D_
[PRDID].[].[10001318]_x000D_
[KEY_FIGURES].[].[ZFORECASTOPENOUTPUT]_x000D_
[LOCID].[].[7K10]_x000D_
[PRDID].[].[10001318]_x000D_
[KEY_FIGURES].[].[ZACTUALSALES]_x000D_
[LOCID].[].[7K10]_x000D_
[PRDID].[].[10001318]_x000D_
[KEY_FIGURES].[].[ZCONSENSUSDEMAND]_x000D_
[LOCID].[].[7K10]_x000D_
[PRDID].[].[10001318]_x000D_
[KEY_FIGURES].[].[INDEPENDENTDEMAND]_x000D_
[LOCID].[].[7K10]_x000D_
[PRDID].[].[10001319]_x000D_
[KEY_FIGURES].[].[ZCONSENSUSDEMANDQTY]_x000D_
[LOCID].[].[7K10]_x000D_
[PRDID].[].[10001319]_x000D_
[KEY_FIGURES].[].[ZINPUTSOFC]_x000D_
[LOCID].[].[7K10]_x000D_
[PRDID].[].[10001319]_x000D_
[KEY_FIGURES].[].[ZFORECASTOPENOUTPUT]_x000D_
[LOCID].[].[7K10]_x000D_
[PRDID].[].[10001319]_x000D_
[KEY_FIGURES].[].[ZACTUALSALES]_x000D_
[LOCID].[].[7K10]_x000D_
[PRDID].[].[10001319]_x000D_
[KEY_FIGURES].[].[ZCONSENSUSDEMAND]_x000D_
[LOCID].[].[7K10]_x000D_
[PRDID].[].[10001319]_x000D_
[KEY_FIGURES].[].[INDEPENDENTDEMAND]_x000D_
[LOCID].[].[7K10]_x000D_
[PRDID].[].[10001320]_x000D_
[KEY_FIGURES].[].[ZCONSENSUSDEMANDQTY]_x000D_
[LOCID].[].[7K10]_x000D_
[PRDID].[].[10001320]_x000D_
[KEY_FIGURES].[].[ZINPUTSOFC]_x000D_
[LOCID].[].[7K10]_x000D_
[PRDID].[].[10001320]_x000D_
[KEY_FIGURES].[].[ZFORECASTOPENOUTPUT]_x000D_
[LOCID].[].[7K10]_x000D_
[PRDID].[].[10001320]_x000D_
[KEY_FIGURES].[].[ZACTUALSALES]_x000D_
[LOCID].[].[7K10]_x000D_
[PRDID].[].[10001320]_x000D_
[KEY_FIGURES].[].[ZCONSENSUSDEMAND]_x000D_
[LOCID].[].[7K10]_x000D_
[PRDID].[].[10001320]_x000D_
[KEY_FIGURES].[].[INDEPENDENTDEMAND]_x000D_
[LOCID].[].[7K10]_x000D_
[PRDID].[].[10001321]_x000D_
[KEY_FIGURES].[].[ZCONSENSUSDEMANDQTY]_x000D_
[LOCID].[].[7K10]_x000D_
[PRDID].[].[10001321]_x000D_
[KEY_FIGURES].[].[ZINPUTSOFC]_x000D_
[LOCID].[].[7K10]_x000D_
[PRDID].[].[10001321]_x000D_
[KEY_FIGURES].[].[ZFORECASTOPENOUTPUT]_x000D_
[LOCID].[].[7K10]_x000D_
[PRDID].[].[10001321]_x000D_
[KEY_FIGURES].[].[ZACTUALSALES]_x000D_
[LOCID].[].[7K10]_x000D_
[PRDID].[].[10001321]_x000D_
[KEY_FIGURES].[].[ZCONSENSUSDEMAND]_x000D_
[LOCID].[].[7K10]</t>
  </si>
  <si>
    <t>[PRDID].[].[10001321]_x000D_
[KEY_FIGURES].[].[INDEPENDENTDEMAND]_x000D_
[LOCID].[].[7K10]_x000D_
[PRDID].[].[10001322]_x000D_
[KEY_FIGURES].[].[ZCONSENSUSDEMANDQTY]_x000D_
[LOCID].[].[7K10]_x000D_
[PRDID].[].[10001322]_x000D_
[KEY_FIGURES].[].[ZINPUTSOFC]_x000D_
[LOCID].[].[7K10]_x000D_
[PRDID].[].[10001322]_x000D_
[KEY_FIGURES].[].[ZFORECASTOPENOUTPUT]_x000D_
[LOCID].[].[7K10]_x000D_
[PRDID].[].[10001322]_x000D_
[KEY_FIGURES].[].[ZACTUALSALES]_x000D_
[LOCID].[].[7K10]_x000D_
[PRDID].[].[10001322]_x000D_
[KEY_FIGURES].[].[ZCONSENSUSDEMAND]_x000D_
[LOCID].[].[7K10]_x000D_
[PRDID].[].[10001322]_x000D_
[KEY_FIGURES].[].[INDEPENDENTDEMAND]_x000D_
[LOCID].[].[7K10]_x000D_
[PRDID].[].[10001324]_x000D_
[KEY_FIGURES].[].[ZCONSENSUSDEMANDQTY]_x000D_
[LOCID].[].[7K10]_x000D_
[PRDID].[].[10001324]_x000D_
[KEY_FIGURES].[].[ZINPUTSOFC]_x000D_
[LOCID].[].[7K10]_x000D_
[PRDID].[].[10001324]_x000D_
[KEY_FIGURES].[].[ZFORECASTOPENOUTPUT]_x000D_
[LOCID].[].[7K10]_x000D_
[PRDID].[].[10001324]_x000D_
[KEY_FIGURES].[].[ZACTUALSALES]_x000D_
[LOCID].[].[7K10]_x000D_
[PRDID].[].[10001324]_x000D_
[KEY_FIGURES].[].[ZCONSENSUSDEMAND]_x000D_
[LOCID].[].[7K10]_x000D_
[PRDID].[].[10001324]_x000D_
[KEY_FIGURES].[].[INDEPENDENTDEMAND]_x000D_
[LOCID].[].[7K10]_x000D_
[PRDID].[].[10001325]_x000D_
[KEY_FIGURES].[].[ZCONSENSUSDEMANDQTY]_x000D_
[LOCID].[].[7K10]_x000D_
[PRDID].[].[10001325]_x000D_
[KEY_FIGURES].[].[ZINPUTSOFC]_x000D_
[LOCID].[].[7K10]_x000D_
[PRDID].[].[10001325]_x000D_
[KEY_FIGURES].[].[ZFORECASTOPENOUTPUT]_x000D_
[LOCID].[].[7K10]_x000D_
[PRDID].[].[10001325]_x000D_
[KEY_FIGURES].[].[ZACTUALSALES]_x000D_
[LOCID].[].[7K10]_x000D_
[PRDID].[].[10001325]_x000D_
[KEY_FIGURES].[].[ZCONSENSUSDEMAND]_x000D_
[LOCID].[].[7K10]_x000D_
[PRDID].[].[10001325]_x000D_
[KEY_FIGURES].[].[INDEPENDENTDEMAND]_x000D_
[LOCID].[].[7K10]_x000D_
[PRDID].[].[10001326]_x000D_
[KEY_FIGURES].[].[ZCONSENSUSDEMANDQTY]_x000D_
[LOCID].[].[7K10]_x000D_
[PRDID].[].[10001326]_x000D_
[KEY_FIGURES].[].[ZINPUTSOFC]_x000D_
[LOCID].[].[7K10]_x000D_
[PRDID].[].[10001326]_x000D_
[KEY_FIGURES].[].[ZFORECASTOPENOUTPUT]_x000D_
[LOCID].[].[7K10]_x000D_
[PRDID].[].[10001326]_x000D_
[KEY_FIGURES].[].[ZACTUALSALES]_x000D_
[LOCID].[].[7K10]_x000D_
[PRDID].[].[10001326]_x000D_
[KEY_FIGURES].[].[ZCONSENSUSDEMAND]_x000D_
[LOCID].[].[7K10]_x000D_
[PRDID].[].[10001326]_x000D_
[KEY_FIGURES].[].[INDEPENDENTDEMAND]_x000D_
[LOCID].[].[7K10]_x000D_
[PRDID].[].[10001327]_x000D_
[KEY_FIGURES].[].[ZCONSENSUSDEMANDQTY]_x000D_
[LOCID].[].[7K10]_x000D_
[PRDID].[].[10001327]_x000D_
[KEY_FIGURES].[].[ZINPUTSOFC]_x000D_
[LOCID].[].[7K10]_x000D_
[PRDID].[].[10001327]_x000D_
[KEY_FIGURES].[].[ZFORECASTOPENOUTPUT]_x000D_
[LOCID].[].[7K10]_x000D_
[PRDID].[].[10001327]_x000D_
[KEY_FIGURES].[].[ZACTUALSALES]_x000D_
[LOCID].[].[7K10]_x000D_
[PRDID].[].[10001327]_x000D_
[KEY_FIGURES].[].[ZCONSENSUSDEMAND]_x000D_
[LOCID].[].[7K10]_x000D_
[PRDID].[].[10001327]_x000D_
[KEY_FIGURES].[].[INDEPENDENTDEMAND]_x000D_
[LOCID].[].[7K10]_x000D_
[PRDID].[].[10001329]_x000D_
[KEY_FIGURES].[].[ZCONSENSUSDEMANDQTY]_x000D_
[LOCID].[].[7K10]_x000D_
[PRDID].[].[10001329]_x000D_
[KEY_FIGURES].[].[ZINPUTSOFC]_x000D_
[LOCID].[].[7K10]_x000D_
[PRDID].[].[10001329]_x000D_
[KEY_FIGURES].[].[ZFORECASTOPENOUTPUT]_x000D_
[LOCID].[].[7K10]_x000D_
[PRDID].[].[10001329]_x000D_
[KEY_FIGURES].[].[ZACTUALSALES]_x000D_
[LOCID].[].[7K10]_x000D_
[PRDID].[].[10001329]_x000D_
[KEY_FIGURES].[].[ZCONSENSUSDEMAND]_x000D_
[LOCID].[].[7K10]_x000D_
[PRDID].[].[10001329]_x000D_
[KEY_FIGURES].[].[INDEPENDENTDEMAND]_x000D_
[LOCID].[].[7K10]_x000D_
[PRDID].[].[10001330]_x000D_
[KEY_FIGURES].[].[ZCONSENSUSDEMANDQTY]_x000D_
[LOCID].[].[7K10]_x000D_
[PRDID].[].[10001330]_x000D_
[KEY_FIGURES].[].[ZINPUTSOFC]_x000D_
[LOCID].[].[7K10]_x000D_
[PRDID].[].[10001330]_x000D_
[KEY_FIGURES].[].[ZFORECASTOPENOUTPUT]_x000D_
[LOCID].[].[7K10]_x000D_
[PRDID].[].[10001330]_x000D_
[KEY_FIGURES].[].[ZACTUALSALES]_x000D_
[LOCID].[].[7K10]_x000D_
[PRDID].[].[10001330]_x000D_
[KEY_FIGURES].[].[ZCONSENSUSDEMAND]_x000D_
[LOCID].[].[7K10]_x000D_
[PRDID].[].[10001330]_x000D_
[KEY_FIGURES].[].[INDEPENDENTDEMAND]_x000D_
[LOCID].[].[7K10]_x000D_
[PRDID].[].[10001331]_x000D_
[KEY_FIGURES].[].[ZCONSENSUSDEMANDQTY]_x000D_
[LOCID].[].[7K10]_x000D_
[PRDID].[].[10001331]_x000D_
[KEY_FIGURES].[].[ZINPUTSOFC]_x000D_
[LOCID].[].[7K10]_x000D_
[PRDID].[].[10001331]_x000D_
[KEY_FIGURES].[].[ZFORECASTOPENOUTPUT]_x000D_
[LOCID].[].[7K10]_x000D_
[PRDID].[].[10001331]_x000D_
[KEY_FIGURES].[].[ZACTUALSALES]_x000D_
[LOCID].[].[7K10]_x000D_
[PRDID].[].[10001331]_x000D_
[KEY_FIGURES].[].[ZCONSENSUSDEMAND]_x000D_
[LOCID].[].[7K10]_x000D_
[PRDID].[].[10001331]_x000D_
[KEY_FIGURES].[].[INDEPENDENTDEMAND]_x000D_
[LOCID].[].[7K10]_x000D_
[PRDID].[].[10001332]_x000D_
[KEY_FIGURES].[].[ZCONSENSUSDEMANDQTY]_x000D_
[LOCID].[].[7K10]_x000D_
[PRDID].[].[10001332]_x000D_
[KEY_FIGURES].[].[ZINPUTSOFC]_x000D_
[LOCID].[].[7K10]_x000D_
[PRDID].[].[10001332]_x000D_
[KEY_FIGURES].[].[ZFORECASTOPENOUTPUT]_x000D_
[LOCID].[].[7K10]_x000D_
[PRDID].[].[10001332]_x000D_
[KEY_FIGURES].[].[ZACTUALSALES]_x000D_
[LOCID].[].[7K10]_x000D_
[PRDID].[].[10001332]_x000D_
[KEY_FIGURES].[].[ZCONSENSUSDEMAND]_x000D_
[LOCID].[].[7K10]_x000D_
[PRDID].[].[10001332]_x000D_
[KEY_FIGURES].[].[INDEPENDENTDEMAND]_x000D_
[LOCID].[].[7K10]_x000D_
[PRDID].[].[10001333]_x000D_
[KEY_FIGURES].[].[ZCONSENSUSDEMANDQTY]_x000D_
[LOCID].[].[7K10]_x000D_
[PRDID].[].[10001333]_x000D_
[KEY_FIGURES].[].[ZINPUTSOFC]_x000D_
[LOCID].[].[7K10]_x000D_
[PRDID].[].[10001333]_x000D_
[KEY_FIGURES].[].[ZFORECASTOPENOUTPUT]_x000D_
[LOCID].[].[7K10]_x000D_
[PRDID].[].[10001333]_x000D_
[KEY_FIGURES].[].[ZACTUALSALES]_x000D_
[LOCID].[].[7K10]_x000D_
[PRDID].[].[10001333]_x000D_
[KEY_FIGURES].[].[ZCONSENSUSDEMAND]_x000D_
[LOCID].[].[7K10]_x000D_
[PRDID].[].[10001333]_x000D_
[KEY_FIGURES].[].[INDEPENDENTDEMAND]_x000D_
[LOCID].[].[7K10]_x000D_
[PRDID].[].[10001334]_x000D_
[KEY_FIGURES].[].[ZCONSENSUSDEMANDQTY]_x000D_
[LOCID].[].[7K10]_x000D_
[PRDID].[].[10001334]_x000D_
[KEY_FIGURES].[].[ZINPUTSOFC]_x000D_
[LOCID].[].[7K10]_x000D_
[PRDID].[].[10001334]_x000D_
[KEY_FIGURES].[].[ZFORECASTOPENOUTPUT]_x000D_
[LOCID].[].[7K10]_x000D_
[PRDID].[].[10001334]_x000D_
[KEY_FIGURES].[].[ZACTUALSALES]_x000D_
[LOCID].[].[7K10]_x000D_
[PRDID].[].[10001334]_x000D_
[KEY_FIGURES].[].[ZCONSENSUSDEMAND]_x000D_
[LOCID].[].[7K10]_x000D_
[PRDID].[].[10001334]_x000D_
[KEY_FIGURES].[].[INDEPENDENTDEMAND]</t>
  </si>
  <si>
    <t>[LOCID].[].[7K10]_x000D_
[PRDID].[].[10001335]_x000D_
[KEY_FIGURES].[].[ZCONSENSUSDEMANDQTY]_x000D_
[LOCID].[].[7K10]_x000D_
[PRDID].[].[10001335]_x000D_
[KEY_FIGURES].[].[ZINPUTSOFC]_x000D_
[LOCID].[].[7K10]_x000D_
[PRDID].[].[10001335]_x000D_
[KEY_FIGURES].[].[ZFORECASTOPENOUTPUT]_x000D_
[LOCID].[].[7K10]_x000D_
[PRDID].[].[10001335]_x000D_
[KEY_FIGURES].[].[ZACTUALSALES]_x000D_
[LOCID].[].[7K10]_x000D_
[PRDID].[].[10001335]_x000D_
[KEY_FIGURES].[].[ZCONSENSUSDEMAND]_x000D_
[LOCID].[].[7K10]_x000D_
[PRDID].[].[10001335]_x000D_
[KEY_FIGURES].[].[INDEPENDENTDEMAND]_x000D_
[LOCID].[].[7K10]_x000D_
[PRDID].[].[10001336]_x000D_
[KEY_FIGURES].[].[ZCONSENSUSDEMANDQTY]_x000D_
[LOCID].[].[7K10]_x000D_
[PRDID].[].[10001336]_x000D_
[KEY_FIGURES].[].[ZINPUTSOFC]_x000D_
[LOCID].[].[7K10]_x000D_
[PRDID].[].[10001336]_x000D_
[KEY_FIGURES].[].[ZFORECASTOPENOUTPUT]_x000D_
[LOCID].[].[7K10]_x000D_
[PRDID].[].[10001336]_x000D_
[KEY_FIGURES].[].[ZACTUALSALES]_x000D_
[LOCID].[].[7K10]_x000D_
[PRDID].[].[10001336]_x000D_
[KEY_FIGURES].[].[ZCONSENSUSDEMAND]_x000D_
[LOCID].[].[7K10]_x000D_
[PRDID].[].[10001336]_x000D_
[KEY_FIGURES].[].[INDEPENDENTDEMAND]_x000D_
[LOCID].[].[7K10]_x000D_
[PRDID].[].[10001337]_x000D_
[KEY_FIGURES].[].[ZCONSENSUSDEMANDQTY]_x000D_
[LOCID].[].[7K10]_x000D_
[PRDID].[].[10001337]_x000D_
[KEY_FIGURES].[].[ZINPUTSOFC]_x000D_
[LOCID].[].[7K10]_x000D_
[PRDID].[].[10001337]_x000D_
[KEY_FIGURES].[].[ZFORECASTOPENOUTPUT]_x000D_
[LOCID].[].[7K10]_x000D_
[PRDID].[].[10001337]_x000D_
[KEY_FIGURES].[].[ZACTUALSALES]_x000D_
[LOCID].[].[7K10]_x000D_
[PRDID].[].[10001337]_x000D_
[KEY_FIGURES].[].[ZCONSENSUSDEMAND]_x000D_
[LOCID].[].[7K10]_x000D_
[PRDID].[].[10001337]_x000D_
[KEY_FIGURES].[].[INDEPENDENTDEMAND]_x000D_
[LOCID].[].[7K10]_x000D_
[PRDID].[].[10001338]_x000D_
[KEY_FIGURES].[].[ZCONSENSUSDEMANDQTY]_x000D_
[LOCID].[].[7K10]_x000D_
[PRDID].[].[10001338]_x000D_
[KEY_FIGURES].[].[ZINPUTSOFC]_x000D_
[LOCID].[].[7K10]_x000D_
[PRDID].[].[10001338]_x000D_
[KEY_FIGURES].[].[ZFORECASTOPENOUTPUT]_x000D_
[LOCID].[].[7K10]_x000D_
[PRDID].[].[10001338]_x000D_
[KEY_FIGURES].[].[ZACTUALSALES]_x000D_
[LOCID].[].[7K10]_x000D_
[PRDID].[].[10001338]_x000D_
[KEY_FIGURES].[].[ZCONSENSUSDEMAND]_x000D_
[LOCID].[].[7K10]_x000D_
[PRDID].[].[10001338]_x000D_
[KEY_FIGURES].[].[INDEPENDENTDEMAND]_x000D_
[LOCID].[].[7K10]_x000D_
[PRDID].[].[10001339]_x000D_
[KEY_FIGURES].[].[ZCONSENSUSDEMANDQTY]_x000D_
[LOCID].[].[7K10]_x000D_
[PRDID].[].[10001339]_x000D_
[KEY_FIGURES].[].[ZINPUTSOFC]_x000D_
[LOCID].[].[7K10]_x000D_
[PRDID].[].[10001339]_x000D_
[KEY_FIGURES].[].[ZFORECASTOPENOUTPUT]_x000D_
[LOCID].[].[7K10]_x000D_
[PRDID].[].[10001339]_x000D_
[KEY_FIGURES].[].[ZACTUALSALES]_x000D_
[LOCID].[].[7K10]_x000D_
[PRDID].[].[10001339]_x000D_
[KEY_FIGURES].[].[ZCONSENSUSDEMAND]_x000D_
[LOCID].[].[7K10]_x000D_
[PRDID].[].[10001339]_x000D_
[KEY_FIGURES].[].[INDEPENDENTDEMAND]_x000D_
[LOCID].[].[7K10]_x000D_
[PRDID].[].[10001340]_x000D_
[KEY_FIGURES].[].[ZCONSENSUSDEMANDQTY]_x000D_
[LOCID].[].[7K10]_x000D_
[PRDID].[].[10001340]_x000D_
[KEY_FIGURES].[].[ZINPUTSOFC]_x000D_
[LOCID].[].[7K10]_x000D_
[PRDID].[].[10001340]_x000D_
[KEY_FIGURES].[].[ZFORECASTOPENOUTPUT]_x000D_
[LOCID].[].[7K10]_x000D_
[PRDID].[].[10001340]_x000D_
[KEY_FIGURES].[].[ZACTUALSALES]_x000D_
[LOCID].[].[7K10]_x000D_
[PRDID].[].[10001340]_x000D_
[KEY_FIGURES].[].[ZCONSENSUSDEMAND]_x000D_
[LOCID].[].[7K10]_x000D_
[PRDID].[].[10001340]_x000D_
[KEY_FIGURES].[].[INDEPENDENTDEMAND]_x000D_
[LOCID].[].[7K10]_x000D_
[PRDID].[].[10001341]_x000D_
[KEY_FIGURES].[].[ZCONSENSUSDEMANDQTY]_x000D_
[LOCID].[].[7K10]_x000D_
[PRDID].[].[10001341]_x000D_
[KEY_FIGURES].[].[ZINPUTSOFC]_x000D_
[LOCID].[].[7K10]_x000D_
[PRDID].[].[10001341]_x000D_
[KEY_FIGURES].[].[ZFORECASTOPENOUTPUT]_x000D_
[LOCID].[].[7K10]_x000D_
[PRDID].[].[10001341]_x000D_
[KEY_FIGURES].[].[ZACTUALSALES]_x000D_
[LOCID].[].[7K10]_x000D_
[PRDID].[].[10001341]_x000D_
[KEY_FIGURES].[].[ZCONSENSUSDEMAND]_x000D_
[LOCID].[].[7K10]_x000D_
[PRDID].[].[10001341]_x000D_
[KEY_FIGURES].[].[INDEPENDENTDEMAND]_x000D_
[LOCID].[].[7K10]_x000D_
[PRDID].[].[10001343]_x000D_
[KEY_FIGURES].[].[ZCONSENSUSDEMANDQTY]_x000D_
[LOCID].[].[7K10]_x000D_
[PRDID].[].[10001343]_x000D_
[KEY_FIGURES].[].[ZINPUTSOFC]_x000D_
[LOCID].[].[7K10]_x000D_
[PRDID].[].[10001343]_x000D_
[KEY_FIGURES].[].[ZFORECASTOPENOUTPUT]_x000D_
[LOCID].[].[7K10]_x000D_
[PRDID].[].[10001343]_x000D_
[KEY_FIGURES].[].[ZACTUALSALES]_x000D_
[LOCID].[].[7K10]_x000D_
[PRDID].[].[10001343]_x000D_
[KEY_FIGURES].[].[ZCONSENSUSDEMAND]_x000D_
[LOCID].[].[7K10]_x000D_
[PRDID].[].[10001343]_x000D_
[KEY_FIGURES].[].[INDEPENDENTDEMAND]_x000D_
[LOCID].[].[7K10]_x000D_
[PRDID].[].[10001344]_x000D_
[KEY_FIGURES].[].[ZCONSENSUSDEMANDQTY]_x000D_
[LOCID].[].[7K10]_x000D_
[PRDID].[].[10001344]_x000D_
[KEY_FIGURES].[].[ZINPUTSOFC]_x000D_
[LOCID].[].[7K10]_x000D_
[PRDID].[].[10001344]_x000D_
[KEY_FIGURES].[].[ZFORECASTOPENOUTPUT]_x000D_
[LOCID].[].[7K10]_x000D_
[PRDID].[].[10001344]_x000D_
[KEY_FIGURES].[].[ZACTUALSALES]_x000D_
[LOCID].[].[7K10]_x000D_
[PRDID].[].[10001344]_x000D_
[KEY_FIGURES].[].[ZCONSENSUSDEMAND]_x000D_
[LOCID].[].[7K10]_x000D_
[PRDID].[].[10001344]_x000D_
[KEY_FIGURES].[].[INDEPENDENTDEMAND]_x000D_
[LOCID].[].[7K10]_x000D_
[PRDID].[].[10001345]_x000D_
[KEY_FIGURES].[].[ZCONSENSUSDEMANDQTY]_x000D_
[LOCID].[].[7K10]_x000D_
[PRDID].[].[10001345]_x000D_
[KEY_FIGURES].[].[ZINPUTSOFC]_x000D_
[LOCID].[].[7K10]_x000D_
[PRDID].[].[10001345]_x000D_
[KEY_FIGURES].[].[ZFORECASTOPENOUTPUT]_x000D_
[LOCID].[].[7K10]_x000D_
[PRDID].[].[10001345]_x000D_
[KEY_FIGURES].[].[ZACTUALSALES]_x000D_
[LOCID].[].[7K10]_x000D_
[PRDID].[].[10001345]_x000D_
[KEY_FIGURES].[].[ZCONSENSUSDEMAND]_x000D_
[LOCID].[].[7K10]_x000D_
[PRDID].[].[10001345]_x000D_
[KEY_FIGURES].[].[INDEPENDENTDEMAND]_x000D_
[LOCID].[].[7K10]_x000D_
[PRDID].[].[10001346]_x000D_
[KEY_FIGURES].[].[ZCONSENSUSDEMANDQTY]_x000D_
[LOCID].[].[7K10]_x000D_
[PRDID].[].[10001346]_x000D_
[KEY_FIGURES].[].[ZINPUTSOFC]_x000D_
[LOCID].[].[7K10]_x000D_
[PRDID].[].[10001346]_x000D_
[KEY_FIGURES].[].[ZFORECASTOPENOUTPUT]_x000D_
[LOCID].[].[7K10]_x000D_
[PRDID].[].[10001346]_x000D_
[KEY_FIGURES].[].[ZACTUALSALES]_x000D_
[LOCID].[].[7K10]_x000D_
[PRDID].[].[10001346]_x000D_
[KEY_FIGURES].[].[ZCONSENSUSDEMAND]_x000D_
[LOCID].[].[7K10]_x000D_
[PRDID].[].[10001346]_x000D_
[KEY_FIGURES].[].[INDEPENDENTDEMAND]_x000D_
[LOCID].[].[7K10]_x000D_
[PRDID].[].[10001347]</t>
  </si>
  <si>
    <t>[KEY_FIGURES].[].[ZCONSENSUSDEMANDQTY]_x000D_
[LOCID].[].[7K10]_x000D_
[PRDID].[].[10001347]_x000D_
[KEY_FIGURES].[].[ZINPUTSOFC]_x000D_
[LOCID].[].[7K10]_x000D_
[PRDID].[].[10001347]_x000D_
[KEY_FIGURES].[].[ZFORECASTOPENOUTPUT]_x000D_
[LOCID].[].[7K10]_x000D_
[PRDID].[].[10001347]_x000D_
[KEY_FIGURES].[].[ZACTUALSALES]_x000D_
[LOCID].[].[7K10]_x000D_
[PRDID].[].[10001347]_x000D_
[KEY_FIGURES].[].[ZCONSENSUSDEMAND]_x000D_
[LOCID].[].[7K10]_x000D_
[PRDID].[].[10001347]_x000D_
[KEY_FIGURES].[].[INDEPENDENTDEMAND]_x000D_
[LOCID].[].[7K10]_x000D_
[PRDID].[].[10001348]_x000D_
[KEY_FIGURES].[].[ZCONSENSUSDEMANDQTY]_x000D_
[LOCID].[].[7K10]_x000D_
[PRDID].[].[10001348]_x000D_
[KEY_FIGURES].[].[ZINPUTSOFC]_x000D_
[LOCID].[].[7K10]_x000D_
[PRDID].[].[10001348]_x000D_
[KEY_FIGURES].[].[ZFORECASTOPENOUTPUT]_x000D_
[LOCID].[].[7K10]_x000D_
[PRDID].[].[10001348]_x000D_
[KEY_FIGURES].[].[ZACTUALSALES]_x000D_
[LOCID].[].[7K10]_x000D_
[PRDID].[].[10001348]_x000D_
[KEY_FIGURES].[].[ZCONSENSUSDEMAND]_x000D_
[LOCID].[].[7K10]_x000D_
[PRDID].[].[10001348]_x000D_
[KEY_FIGURES].[].[INDEPENDENTDEMAND]_x000D_
[LOCID].[].[7K10]_x000D_
[PRDID].[].[10001349]_x000D_
[KEY_FIGURES].[].[ZCONSENSUSDEMANDQTY]_x000D_
[LOCID].[].[7K10]_x000D_
[PRDID].[].[10001349]_x000D_
[KEY_FIGURES].[].[ZINPUTSOFC]_x000D_
[LOCID].[].[7K10]_x000D_
[PRDID].[].[10001349]_x000D_
[KEY_FIGURES].[].[ZFORECASTOPENOUTPUT]_x000D_
[LOCID].[].[7K10]_x000D_
[PRDID].[].[10001349]_x000D_
[KEY_FIGURES].[].[ZACTUALSALES]_x000D_
[LOCID].[].[7K10]_x000D_
[PRDID].[].[10001349]_x000D_
[KEY_FIGURES].[].[ZCONSENSUSDEMAND]_x000D_
[LOCID].[].[7K10]_x000D_
[PRDID].[].[10001349]_x000D_
[KEY_FIGURES].[].[INDEPENDENTDEMAND]_x000D_
[LOCID].[].[7K10]_x000D_
[PRDID].[].[10001350]_x000D_
[KEY_FIGURES].[].[ZCONSENSUSDEMANDQTY]_x000D_
[LOCID].[].[7K10]_x000D_
[PRDID].[].[10001350]_x000D_
[KEY_FIGURES].[].[ZINPUTSOFC]_x000D_
[LOCID].[].[7K10]_x000D_
[PRDID].[].[10001350]_x000D_
[KEY_FIGURES].[].[ZFORECASTOPENOUTPUT]_x000D_
[LOCID].[].[7K10]_x000D_
[PRDID].[].[10001350]_x000D_
[KEY_FIGURES].[].[ZACTUALSALES]_x000D_
[LOCID].[].[7K10]_x000D_
[PRDID].[].[10001350]_x000D_
[KEY_FIGURES].[].[ZCONSENSUSDEMAND]_x000D_
[LOCID].[].[7K10]_x000D_
[PRDID].[].[10001350]_x000D_
[KEY_FIGURES].[].[INDEPENDENTDEMAND]_x000D_
[LOCID].[].[7K10]_x000D_
[PRDID].[].[10001351]_x000D_
[KEY_FIGURES].[].[ZCONSENSUSDEMANDQTY]_x000D_
[LOCID].[].[7K10]_x000D_
[PRDID].[].[10001351]_x000D_
[KEY_FIGURES].[].[ZINPUTSOFC]_x000D_
[LOCID].[].[7K10]_x000D_
[PRDID].[].[10001351]_x000D_
[KEY_FIGURES].[].[ZFORECASTOPENOUTPUT]_x000D_
[LOCID].[].[7K10]_x000D_
[PRDID].[].[10001351]_x000D_
[KEY_FIGURES].[].[ZACTUALSALES]_x000D_
[LOCID].[].[7K10]_x000D_
[PRDID].[].[10001351]_x000D_
[KEY_FIGURES].[].[ZCONSENSUSDEMAND]_x000D_
[LOCID].[].[7K10]_x000D_
[PRDID].[].[10001351]_x000D_
[KEY_FIGURES].[].[INDEPENDENTDEMAND]_x000D_
[LOCID].[].[7K10]_x000D_
[PRDID].[].[10001352]_x000D_
[KEY_FIGURES].[].[ZCONSENSUSDEMANDQTY]_x000D_
[LOCID].[].[7K10]_x000D_
[PRDID].[].[10001352]_x000D_
[KEY_FIGURES].[].[ZINPUTSOFC]_x000D_
[LOCID].[].[7K10]_x000D_
[PRDID].[].[10001352]_x000D_
[KEY_FIGURES].[].[ZFORECASTOPENOUTPUT]_x000D_
[LOCID].[].[7K10]_x000D_
[PRDID].[].[10001352]_x000D_
[KEY_FIGURES].[].[ZACTUALSALES]_x000D_
[LOCID].[].[7K10]_x000D_
[PRDID].[].[10001352]_x000D_
[KEY_FIGURES].[].[ZCONSENSUSDEMAND]_x000D_
[LOCID].[].[7K10]_x000D_
[PRDID].[].[10001352]_x000D_
[KEY_FIGURES].[].[INDEPENDENTDEMAND]_x000D_
[LOCID].[].[7K10]_x000D_
[PRDID].[].[10001353]_x000D_
[KEY_FIGURES].[].[ZCONSENSUSDEMANDQTY]_x000D_
[LOCID].[].[7K10]_x000D_
[PRDID].[].[10001353]_x000D_
[KEY_FIGURES].[].[ZINPUTSOFC]_x000D_
[LOCID].[].[7K10]_x000D_
[PRDID].[].[10001353]_x000D_
[KEY_FIGURES].[].[ZFORECASTOPENOUTPUT]_x000D_
[LOCID].[].[7K10]_x000D_
[PRDID].[].[10001353]_x000D_
[KEY_FIGURES].[].[ZACTUALSALES]_x000D_
[LOCID].[].[7K10]_x000D_
[PRDID].[].[10001353]_x000D_
[KEY_FIGURES].[].[ZCONSENSUSDEMAND]_x000D_
[LOCID].[].[7K10]_x000D_
[PRDID].[].[10001353]_x000D_
[KEY_FIGURES].[].[INDEPENDENTDEMAND]_x000D_
[LOCID].[].[7K10]_x000D_
[PRDID].[].[10001354]_x000D_
[KEY_FIGURES].[].[ZCONSENSUSDEMANDQTY]_x000D_
[LOCID].[].[7K10]_x000D_
[PRDID].[].[10001354]_x000D_
[KEY_FIGURES].[].[ZINPUTSOFC]_x000D_
[LOCID].[].[7K10]_x000D_
[PRDID].[].[10001354]_x000D_
[KEY_FIGURES].[].[ZFORECASTOPENOUTPUT]_x000D_
[LOCID].[].[7K10]_x000D_
[PRDID].[].[10001354]_x000D_
[KEY_FIGURES].[].[ZACTUALSALES]_x000D_
[LOCID].[].[7K10]_x000D_
[PRDID].[].[10001354]_x000D_
[KEY_FIGURES].[].[ZCONSENSUSDEMAND]_x000D_
[LOCID].[].[7K10]_x000D_
[PRDID].[].[10001354]_x000D_
[KEY_FIGURES].[].[INDEPENDENTDEMAND]_x000D_
[LOCID].[].[7K10]_x000D_
[PRDID].[].[10001355]_x000D_
[KEY_FIGURES].[].[ZCONSENSUSDEMANDQTY]_x000D_
[LOCID].[].[7K10]_x000D_
[PRDID].[].[10001355]_x000D_
[KEY_FIGURES].[].[ZINPUTSOFC]_x000D_
[LOCID].[].[7K10]_x000D_
[PRDID].[].[10001355]_x000D_
[KEY_FIGURES].[].[ZFORECASTOPENOUTPUT]_x000D_
[LOCID].[].[7K10]_x000D_
[PRDID].[].[10001355]_x000D_
[KEY_FIGURES].[].[ZACTUALSALES]_x000D_
[LOCID].[].[7K10]_x000D_
[PRDID].[].[10001355]_x000D_
[KEY_FIGURES].[].[ZCONSENSUSDEMAND]_x000D_
[LOCID].[].[7K10]_x000D_
[PRDID].[].[10001355]_x000D_
[KEY_FIGURES].[].[INDEPENDENTDEMAND]_x000D_
[LOCID].[].[7K10]_x000D_
[PRDID].[].[10001356]_x000D_
[KEY_FIGURES].[].[ZCONSENSUSDEMANDQTY]_x000D_
[LOCID].[].[7K10]_x000D_
[PRDID].[].[10001356]_x000D_
[KEY_FIGURES].[].[ZINPUTSOFC]_x000D_
[LOCID].[].[7K10]_x000D_
[PRDID].[].[10001356]_x000D_
[KEY_FIGURES].[].[ZFORECASTOPENOUTPUT]_x000D_
[LOCID].[].[7K10]_x000D_
[PRDID].[].[10001356]_x000D_
[KEY_FIGURES].[].[ZACTUALSALES]_x000D_
[LOCID].[].[7K10]_x000D_
[PRDID].[].[10001356]_x000D_
[KEY_FIGURES].[].[ZCONSENSUSDEMAND]_x000D_
[LOCID].[].[7K10]_x000D_
[PRDID].[].[10001356]_x000D_
[KEY_FIGURES].[].[INDEPENDENTDEMAND]_x000D_
[LOCID].[].[7K10]_x000D_
[PRDID].[].[10001357]_x000D_
[KEY_FIGURES].[].[ZCONSENSUSDEMANDQTY]_x000D_
[LOCID].[].[7K10]_x000D_
[PRDID].[].[10001357]_x000D_
[KEY_FIGURES].[].[ZINPUTSOFC]_x000D_
[LOCID].[].[7K10]_x000D_
[PRDID].[].[10001357]_x000D_
[KEY_FIGURES].[].[ZFORECASTOPENOUTPUT]_x000D_
[LOCID].[].[7K10]_x000D_
[PRDID].[].[10001357]_x000D_
[KEY_FIGURES].[].[ZACTUALSALES]_x000D_
[LOCID].[].[7K10]_x000D_
[PRDID].[].[10001357]_x000D_
[KEY_FIGURES].[].[ZCONSENSUSDEMAND]_x000D_
[LOCID].[].[7K10]_x000D_
[PRDID].[].[10001357]_x000D_
[KEY_FIGURES].[].[INDEPENDENTDEMAND]_x000D_
[LOCID].[].[7K10]_x000D_
[PRDID].[].[10001358]_x000D_
[KEY_FIGURES].[].[ZCONSENSUSDEMANDQTY]_x000D_
[LOCID].[].[7K10]</t>
  </si>
  <si>
    <t>[PRDID].[].[10001358]_x000D_
[KEY_FIGURES].[].[ZINPUTSOFC]_x000D_
[LOCID].[].[7K10]_x000D_
[PRDID].[].[10001358]_x000D_
[KEY_FIGURES].[].[ZFORECASTOPENOUTPUT]_x000D_
[LOCID].[].[7K10]_x000D_
[PRDID].[].[10001358]_x000D_
[KEY_FIGURES].[].[ZACTUALSALES]_x000D_
[LOCID].[].[7K10]_x000D_
[PRDID].[].[10001358]_x000D_
[KEY_FIGURES].[].[ZCONSENSUSDEMAND]_x000D_
[LOCID].[].[7K10]_x000D_
[PRDID].[].[10001358]_x000D_
[KEY_FIGURES].[].[INDEPENDENTDEMAND]_x000D_
[LOCID].[].[7K10]_x000D_
[PRDID].[].[10001359]_x000D_
[KEY_FIGURES].[].[ZCONSENSUSDEMANDQTY]_x000D_
[LOCID].[].[7K10]_x000D_
[PRDID].[].[10001359]_x000D_
[KEY_FIGURES].[].[ZINPUTSOFC]_x000D_
[LOCID].[].[7K10]_x000D_
[PRDID].[].[10001359]_x000D_
[KEY_FIGURES].[].[ZFORECASTOPENOUTPUT]_x000D_
[LOCID].[].[7K10]_x000D_
[PRDID].[].[10001359]_x000D_
[KEY_FIGURES].[].[ZACTUALSALES]_x000D_
[LOCID].[].[7K10]_x000D_
[PRDID].[].[10001359]_x000D_
[KEY_FIGURES].[].[ZCONSENSUSDEMAND]_x000D_
[LOCID].[].[7K10]_x000D_
[PRDID].[].[10001359]_x000D_
[KEY_FIGURES].[].[INDEPENDENTDEMAND]_x000D_
[LOCID].[].[7K10]_x000D_
[PRDID].[].[10001360]_x000D_
[KEY_FIGURES].[].[ZCONSENSUSDEMANDQTY]_x000D_
[LOCID].[].[7K10]_x000D_
[PRDID].[].[10001360]_x000D_
[KEY_FIGURES].[].[ZINPUTSOFC]_x000D_
[LOCID].[].[7K10]_x000D_
[PRDID].[].[10001360]_x000D_
[KEY_FIGURES].[].[ZFORECASTOPENOUTPUT]_x000D_
[LOCID].[].[7K10]_x000D_
[PRDID].[].[10001360]_x000D_
[KEY_FIGURES].[].[ZACTUALSALES]_x000D_
[LOCID].[].[7K10]_x000D_
[PRDID].[].[10001360]_x000D_
[KEY_FIGURES].[].[ZCONSENSUSDEMAND]_x000D_
[LOCID].[].[7K10]_x000D_
[PRDID].[].[10001360]_x000D_
[KEY_FIGURES].[].[INDEPENDENTDEMAND]_x000D_
[LOCID].[].[7K10]_x000D_
[PRDID].[].[10001361]_x000D_
[KEY_FIGURES].[].[ZCONSENSUSDEMANDQTY]_x000D_
[LOCID].[].[7K10]_x000D_
[PRDID].[].[10001361]_x000D_
[KEY_FIGURES].[].[ZINPUTSOFC]_x000D_
[LOCID].[].[7K10]_x000D_
[PRDID].[].[10001361]_x000D_
[KEY_FIGURES].[].[ZFORECASTOPENOUTPUT]_x000D_
[LOCID].[].[7K10]_x000D_
[PRDID].[].[10001361]_x000D_
[KEY_FIGURES].[].[ZACTUALSALES]_x000D_
[LOCID].[].[7K10]_x000D_
[PRDID].[].[10001361]_x000D_
[KEY_FIGURES].[].[ZCONSENSUSDEMAND]_x000D_
[LOCID].[].[7K10]_x000D_
[PRDID].[].[10001361]_x000D_
[KEY_FIGURES].[].[INDEPENDENTDEMAND]_x000D_
[LOCID].[].[7K10]_x000D_
[PRDID].[].[10001362]_x000D_
[KEY_FIGURES].[].[ZCONSENSUSDEMANDQTY]_x000D_
[LOCID].[].[7K10]_x000D_
[PRDID].[].[10001362]_x000D_
[KEY_FIGURES].[].[ZINPUTSOFC]_x000D_
[LOCID].[].[7K10]_x000D_
[PRDID].[].[10001362]_x000D_
[KEY_FIGURES].[].[ZFORECASTOPENOUTPUT]_x000D_
[LOCID].[].[7K10]_x000D_
[PRDID].[].[10001362]_x000D_
[KEY_FIGURES].[].[ZACTUALSALES]_x000D_
[LOCID].[].[7K10]_x000D_
[PRDID].[].[10001362]_x000D_
[KEY_FIGURES].[].[ZCONSENSUSDEMAND]_x000D_
[LOCID].[].[7K10]_x000D_
[PRDID].[].[10001362]_x000D_
[KEY_FIGURES].[].[INDEPENDENTDEMAND]_x000D_
[LOCID].[].[7K10]_x000D_
[PRDID].[].[10001363]_x000D_
[KEY_FIGURES].[].[ZCONSENSUSDEMANDQTY]_x000D_
[LOCID].[].[7K10]_x000D_
[PRDID].[].[10001363]_x000D_
[KEY_FIGURES].[].[ZINPUTSOFC]_x000D_
[LOCID].[].[7K10]_x000D_
[PRDID].[].[10001363]_x000D_
[KEY_FIGURES].[].[ZFORECASTOPENOUTPUT]_x000D_
[LOCID].[].[7K10]_x000D_
[PRDID].[].[10001363]_x000D_
[KEY_FIGURES].[].[ZACTUALSALES]_x000D_
[LOCID].[].[7K10]_x000D_
[PRDID].[].[10001363]_x000D_
[KEY_FIGURES].[].[ZCONSENSUSDEMAND]_x000D_
[LOCID].[].[7K10]_x000D_
[PRDID].[].[10001363]_x000D_
[KEY_FIGURES].[].[INDEPENDENTDEMAND]_x000D_
[LOCID].[].[7K10]_x000D_
[PRDID].[].[10001364]_x000D_
[KEY_FIGURES].[].[ZCONSENSUSDEMANDQTY]_x000D_
[LOCID].[].[7K10]_x000D_
[PRDID].[].[10001364]_x000D_
[KEY_FIGURES].[].[ZINPUTSOFC]_x000D_
[LOCID].[].[7K10]_x000D_
[PRDID].[].[10001364]_x000D_
[KEY_FIGURES].[].[ZFORECASTOPENOUTPUT]_x000D_
[LOCID].[].[7K10]_x000D_
[PRDID].[].[10001364]_x000D_
[KEY_FIGURES].[].[ZACTUALSALES]_x000D_
[LOCID].[].[7K10]_x000D_
[PRDID].[].[10001364]_x000D_
[KEY_FIGURES].[].[ZCONSENSUSDEMAND]_x000D_
[LOCID].[].[7K10]_x000D_
[PRDID].[].[10001364]_x000D_
[KEY_FIGURES].[].[INDEPENDENTDEMAND]_x000D_
[LOCID].[].[7K10]_x000D_
[PRDID].[].[10001365]_x000D_
[KEY_FIGURES].[].[ZCONSENSUSDEMANDQTY]_x000D_
[LOCID].[].[7K10]_x000D_
[PRDID].[].[10001365]_x000D_
[KEY_FIGURES].[].[ZINPUTSOFC]_x000D_
[LOCID].[].[7K10]_x000D_
[PRDID].[].[10001365]_x000D_
[KEY_FIGURES].[].[ZFORECASTOPENOUTPUT]_x000D_
[LOCID].[].[7K10]_x000D_
[PRDID].[].[10001365]_x000D_
[KEY_FIGURES].[].[ZACTUALSALES]_x000D_
[LOCID].[].[7K10]_x000D_
[PRDID].[].[10001365]_x000D_
[KEY_FIGURES].[].[ZCONSENSUSDEMAND]_x000D_
[LOCID].[].[7K10]_x000D_
[PRDID].[].[10001365]_x000D_
[KEY_FIGURES].[].[INDEPENDENTDEMAND]_x000D_
[LOCID].[].[7K10]_x000D_
[PRDID].[].[10001366]_x000D_
[KEY_FIGURES].[].[ZCONSENSUSDEMANDQTY]_x000D_
[LOCID].[].[7K10]_x000D_
[PRDID].[].[10001366]_x000D_
[KEY_FIGURES].[].[ZINPUTSOFC]_x000D_
[LOCID].[].[7K10]_x000D_
[PRDID].[].[10001366]_x000D_
[KEY_FIGURES].[].[ZFORECASTOPENOUTPUT]_x000D_
[LOCID].[].[7K10]_x000D_
[PRDID].[].[10001366]_x000D_
[KEY_FIGURES].[].[ZACTUALSALES]_x000D_
[LOCID].[].[7K10]_x000D_
[PRDID].[].[10001366]_x000D_
[KEY_FIGURES].[].[ZCONSENSUSDEMAND]_x000D_
[LOCID].[].[7K10]_x000D_
[PRDID].[].[10001366]_x000D_
[KEY_FIGURES].[].[INDEPENDENTDEMAND]_x000D_
[LOCID].[].[7K10]_x000D_
[PRDID].[].[10001368]_x000D_
[KEY_FIGURES].[].[ZCONSENSUSDEMANDQTY]_x000D_
[LOCID].[].[7K10]_x000D_
[PRDID].[].[10001368]_x000D_
[KEY_FIGURES].[].[ZINPUTSOFC]_x000D_
[LOCID].[].[7K10]_x000D_
[PRDID].[].[10001368]_x000D_
[KEY_FIGURES].[].[ZFORECASTOPENOUTPUT]_x000D_
[LOCID].[].[7K10]_x000D_
[PRDID].[].[10001368]_x000D_
[KEY_FIGURES].[].[ZACTUALSALES]_x000D_
[LOCID].[].[7K10]_x000D_
[PRDID].[].[10001368]_x000D_
[KEY_FIGURES].[].[ZCONSENSUSDEMAND]_x000D_
[LOCID].[].[7K10]_x000D_
[PRDID].[].[10001368]_x000D_
[KEY_FIGURES].[].[INDEPENDENTDEMAND]_x000D_
[LOCID].[].[7K10]_x000D_
[PRDID].[].[10001369]_x000D_
[KEY_FIGURES].[].[ZCONSENSUSDEMANDQTY]_x000D_
[LOCID].[].[7K10]_x000D_
[PRDID].[].[10001369]_x000D_
[KEY_FIGURES].[].[ZINPUTSOFC]_x000D_
[LOCID].[].[7K10]_x000D_
[PRDID].[].[10001369]_x000D_
[KEY_FIGURES].[].[ZFORECASTOPENOUTPUT]_x000D_
[LOCID].[].[7K10]_x000D_
[PRDID].[].[10001369]_x000D_
[KEY_FIGURES].[].[ZACTUALSALES]_x000D_
[LOCID].[].[7K10]_x000D_
[PRDID].[].[10001369]_x000D_
[KEY_FIGURES].[].[ZCONSENSUSDEMAND]_x000D_
[LOCID].[].[7K10]_x000D_
[PRDID].[].[10001369]_x000D_
[KEY_FIGURES].[].[INDEPENDENTDEMAND]_x000D_
[LOCID].[].[7K10]_x000D_
[PRDID].[].[10001370]_x000D_
[KEY_FIGURES].[].[ZCONSENSUSDEMANDQTY]_x000D_
[LOCID].[].[7K10]_x000D_
[PRDID].[].[10001370]_x000D_
[KEY_FIGURES].[].[ZINPUTSOFC]</t>
  </si>
  <si>
    <t>[LOCID].[].[7K10]_x000D_
[PRDID].[].[10001370]_x000D_
[KEY_FIGURES].[].[ZFORECASTOPENOUTPUT]_x000D_
[LOCID].[].[7K10]_x000D_
[PRDID].[].[10001370]_x000D_
[KEY_FIGURES].[].[ZACTUALSALES]_x000D_
[LOCID].[].[7K10]_x000D_
[PRDID].[].[10001370]_x000D_
[KEY_FIGURES].[].[ZCONSENSUSDEMAND]_x000D_
[LOCID].[].[7K10]_x000D_
[PRDID].[].[10001370]_x000D_
[KEY_FIGURES].[].[INDEPENDENTDEMAND]_x000D_
[LOCID].[].[7K10]_x000D_
[PRDID].[].[10001371]_x000D_
[KEY_FIGURES].[].[ZCONSENSUSDEMANDQTY]_x000D_
[LOCID].[].[7K10]_x000D_
[PRDID].[].[10001371]_x000D_
[KEY_FIGURES].[].[ZINPUTSOFC]_x000D_
[LOCID].[].[7K10]_x000D_
[PRDID].[].[10001371]_x000D_
[KEY_FIGURES].[].[ZFORECASTOPENOUTPUT]_x000D_
[LOCID].[].[7K10]_x000D_
[PRDID].[].[10001371]_x000D_
[KEY_FIGURES].[].[ZACTUALSALES]_x000D_
[LOCID].[].[7K10]_x000D_
[PRDID].[].[10001371]_x000D_
[KEY_FIGURES].[].[ZCONSENSUSDEMAND]_x000D_
[LOCID].[].[7K10]_x000D_
[PRDID].[].[10001371]_x000D_
[KEY_FIGURES].[].[INDEPENDENTDEMAND]_x000D_
[LOCID].[].[7K10]_x000D_
[PRDID].[].[10001372]_x000D_
[KEY_FIGURES].[].[ZCONSENSUSDEMANDQTY]_x000D_
[LOCID].[].[7K10]_x000D_
[PRDID].[].[10001372]_x000D_
[KEY_FIGURES].[].[ZINPUTSOFC]_x000D_
[LOCID].[].[7K10]_x000D_
[PRDID].[].[10001372]_x000D_
[KEY_FIGURES].[].[ZFORECASTOPENOUTPUT]_x000D_
[LOCID].[].[7K10]_x000D_
[PRDID].[].[10001372]_x000D_
[KEY_FIGURES].[].[ZACTUALSALES]_x000D_
[LOCID].[].[7K10]_x000D_
[PRDID].[].[10001372]_x000D_
[KEY_FIGURES].[].[ZCONSENSUSDEMAND]_x000D_
[LOCID].[].[7K10]_x000D_
[PRDID].[].[10001372]_x000D_
[KEY_FIGURES].[].[INDEPENDENTDEMAND]_x000D_
[LOCID].[].[7K10]_x000D_
[PRDID].[].[10001373]_x000D_
[KEY_FIGURES].[].[ZCONSENSUSDEMANDQTY]_x000D_
[LOCID].[].[7K10]_x000D_
[PRDID].[].[10001373]_x000D_
[KEY_FIGURES].[].[ZINPUTSOFC]_x000D_
[LOCID].[].[7K10]_x000D_
[PRDID].[].[10001373]_x000D_
[KEY_FIGURES].[].[ZFORECASTOPENOUTPUT]_x000D_
[LOCID].[].[7K10]_x000D_
[PRDID].[].[10001373]_x000D_
[KEY_FIGURES].[].[ZACTUALSALES]_x000D_
[LOCID].[].[7K10]_x000D_
[PRDID].[].[10001373]_x000D_
[KEY_FIGURES].[].[ZCONSENSUSDEMAND]_x000D_
[LOCID].[].[7K10]_x000D_
[PRDID].[].[10001373]_x000D_
[KEY_FIGURES].[].[INDEPENDENTDEMAND]_x000D_
[LOCID].[].[7K10]_x000D_
[PRDID].[].[10001374]_x000D_
[KEY_FIGURES].[].[ZCONSENSUSDEMANDQTY]_x000D_
[LOCID].[].[7K10]_x000D_
[PRDID].[].[10001374]_x000D_
[KEY_FIGURES].[].[ZINPUTSOFC]_x000D_
[LOCID].[].[7K10]_x000D_
[PRDID].[].[10001374]_x000D_
[KEY_FIGURES].[].[ZFORECASTOPENOUTPUT]_x000D_
[LOCID].[].[7K10]_x000D_
[PRDID].[].[10001374]_x000D_
[KEY_FIGURES].[].[ZACTUALSALES]_x000D_
[LOCID].[].[7K10]_x000D_
[PRDID].[].[10001374]_x000D_
[KEY_FIGURES].[].[ZCONSENSUSDEMAND]_x000D_
[LOCID].[].[7K10]_x000D_
[PRDID].[].[10001374]_x000D_
[KEY_FIGURES].[].[INDEPENDENTDEMAND]_x000D_
[LOCID].[].[7K10]_x000D_
[PRDID].[].[10001375]_x000D_
[KEY_FIGURES].[].[ZCONSENSUSDEMANDQTY]_x000D_
[LOCID].[].[7K10]_x000D_
[PRDID].[].[10001375]_x000D_
[KEY_FIGURES].[].[ZINPUTSOFC]_x000D_
[LOCID].[].[7K10]_x000D_
[PRDID].[].[10001375]_x000D_
[KEY_FIGURES].[].[ZFORECASTOPENOUTPUT]_x000D_
[LOCID].[].[7K10]_x000D_
[PRDID].[].[10001375]_x000D_
[KEY_FIGURES].[].[ZACTUALSALES]_x000D_
[LOCID].[].[7K10]_x000D_
[PRDID].[].[10001375]_x000D_
[KEY_FIGURES].[].[ZCONSENSUSDEMAND]_x000D_
[LOCID].[].[7K10]_x000D_
[PRDID].[].[10001375]_x000D_
[KEY_FIGURES].[].[INDEPENDENTDEMAND]_x000D_
[LOCID].[].[7K10]_x000D_
[PRDID].[].[10001376]_x000D_
[KEY_FIGURES].[].[ZCONSENSUSDEMANDQTY]_x000D_
[LOCID].[].[7K10]_x000D_
[PRDID].[].[10001376]_x000D_
[KEY_FIGURES].[].[ZINPUTSOFC]_x000D_
[LOCID].[].[7K10]_x000D_
[PRDID].[].[10001376]_x000D_
[KEY_FIGURES].[].[ZFORECASTOPENOUTPUT]_x000D_
[LOCID].[].[7K10]_x000D_
[PRDID].[].[10001376]_x000D_
[KEY_FIGURES].[].[ZACTUALSALES]_x000D_
[LOCID].[].[7K10]_x000D_
[PRDID].[].[10001376]_x000D_
[KEY_FIGURES].[].[ZCONSENSUSDEMAND]_x000D_
[LOCID].[].[7K10]_x000D_
[PRDID].[].[10001376]_x000D_
[KEY_FIGURES].[].[INDEPENDENTDEMAND]_x000D_
[LOCID].[].[7K10]_x000D_
[PRDID].[].[10001377]_x000D_
[KEY_FIGURES].[].[ZCONSENSUSDEMANDQTY]_x000D_
[LOCID].[].[7K10]_x000D_
[PRDID].[].[10001377]_x000D_
[KEY_FIGURES].[].[ZINPUTSOFC]_x000D_
[LOCID].[].[7K10]_x000D_
[PRDID].[].[10001377]_x000D_
[KEY_FIGURES].[].[ZFORECASTOPENOUTPUT]_x000D_
[LOCID].[].[7K10]_x000D_
[PRDID].[].[10001377]_x000D_
[KEY_FIGURES].[].[ZACTUALSALES]_x000D_
[LOCID].[].[7K10]_x000D_
[PRDID].[].[10001377]_x000D_
[KEY_FIGURES].[].[ZCONSENSUSDEMAND]_x000D_
[LOCID].[].[7K10]_x000D_
[PRDID].[].[10001377]_x000D_
[KEY_FIGURES].[].[INDEPENDENTDEMAND]_x000D_
[LOCID].[].[7K10]_x000D_
[PRDID].[].[10001378]_x000D_
[KEY_FIGURES].[].[ZCONSENSUSDEMANDQTY]_x000D_
[LOCID].[].[7K10]_x000D_
[PRDID].[].[10001378]_x000D_
[KEY_FIGURES].[].[ZINPUTSOFC]_x000D_
[LOCID].[].[7K10]_x000D_
[PRDID].[].[10001378]_x000D_
[KEY_FIGURES].[].[ZFORECASTOPENOUTPUT]_x000D_
[LOCID].[].[7K10]_x000D_
[PRDID].[].[10001378]_x000D_
[KEY_FIGURES].[].[ZACTUALSALES]_x000D_
[LOCID].[].[7K10]_x000D_
[PRDID].[].[10001378]_x000D_
[KEY_FIGURES].[].[ZCONSENSUSDEMAND]_x000D_
[LOCID].[].[7K10]_x000D_
[PRDID].[].[10001378]_x000D_
[KEY_FIGURES].[].[INDEPENDENTDEMAND]_x000D_
[LOCID].[].[7K10]_x000D_
[PRDID].[].[10001379]_x000D_
[KEY_FIGURES].[].[ZCONSENSUSDEMANDQTY]_x000D_
[LOCID].[].[7K10]_x000D_
[PRDID].[].[10001379]_x000D_
[KEY_FIGURES].[].[ZINPUTSOFC]_x000D_
[LOCID].[].[7K10]_x000D_
[PRDID].[].[10001379]_x000D_
[KEY_FIGURES].[].[ZFORECASTOPENOUTPUT]_x000D_
[LOCID].[].[7K10]_x000D_
[PRDID].[].[10001379]_x000D_
[KEY_FIGURES].[].[ZACTUALSALES]_x000D_
[LOCID].[].[7K10]_x000D_
[PRDID].[].[10001379]_x000D_
[KEY_FIGURES].[].[ZCONSENSUSDEMAND]_x000D_
[LOCID].[].[7K10]_x000D_
[PRDID].[].[10001379]_x000D_
[KEY_FIGURES].[].[INDEPENDENTDEMAND]_x000D_
[LOCID].[].[7K10]_x000D_
[PRDID].[].[10001380]_x000D_
[KEY_FIGURES].[].[ZCONSENSUSDEMANDQTY]_x000D_
[LOCID].[].[7K10]_x000D_
[PRDID].[].[10001380]_x000D_
[KEY_FIGURES].[].[ZINPUTSOFC]_x000D_
[LOCID].[].[7K10]_x000D_
[PRDID].[].[10001380]_x000D_
[KEY_FIGURES].[].[ZFORECASTOPENOUTPUT]_x000D_
[LOCID].[].[7K10]_x000D_
[PRDID].[].[10001380]_x000D_
[KEY_FIGURES].[].[ZACTUALSALES]_x000D_
[LOCID].[].[7K10]_x000D_
[PRDID].[].[10001380]_x000D_
[KEY_FIGURES].[].[ZCONSENSUSDEMAND]_x000D_
[LOCID].[].[7K10]_x000D_
[PRDID].[].[10001380]_x000D_
[KEY_FIGURES].[].[INDEPENDENTDEMAND]_x000D_
[LOCID].[].[7K10]_x000D_
[PRDID].[].[10001381]_x000D_
[KEY_FIGURES].[].[ZCONSENSUSDEMANDQTY]_x000D_
[LOCID].[].[7K10]_x000D_
[PRDID].[].[10001381]_x000D_
[KEY_FIGURES].[].[ZINPUTSOFC]_x000D_
[LOCID].[].[7K10]_x000D_
[PRDID].[].[10001381]</t>
  </si>
  <si>
    <t>[KEY_FIGURES].[].[ZFORECASTOPENOUTPUT]_x000D_
[LOCID].[].[7K10]_x000D_
[PRDID].[].[10001381]_x000D_
[KEY_FIGURES].[].[ZACTUALSALES]_x000D_
[LOCID].[].[7K10]_x000D_
[PRDID].[].[10001381]_x000D_
[KEY_FIGURES].[].[ZCONSENSUSDEMAND]_x000D_
[LOCID].[].[7K10]_x000D_
[PRDID].[].[10001381]_x000D_
[KEY_FIGURES].[].[INDEPENDENTDEMAND]_x000D_
[LOCID].[].[7K10]_x000D_
[PRDID].[].[10001382]_x000D_
[KEY_FIGURES].[].[ZCONSENSUSDEMANDQTY]_x000D_
[LOCID].[].[7K10]_x000D_
[PRDID].[].[10001382]_x000D_
[KEY_FIGURES].[].[ZINPUTSOFC]_x000D_
[LOCID].[].[7K10]_x000D_
[PRDID].[].[10001382]_x000D_
[KEY_FIGURES].[].[ZFORECASTOPENOUTPUT]_x000D_
[LOCID].[].[7K10]_x000D_
[PRDID].[].[10001382]_x000D_
[KEY_FIGURES].[].[ZACTUALSALES]_x000D_
[LOCID].[].[7K10]_x000D_
[PRDID].[].[10001382]_x000D_
[KEY_FIGURES].[].[ZCONSENSUSDEMAND]_x000D_
[LOCID].[].[7K10]_x000D_
[PRDID].[].[10001382]_x000D_
[KEY_FIGURES].[].[INDEPENDENTDEMAND]_x000D_
[LOCID].[].[7K10]_x000D_
[PRDID].[].[10001383]_x000D_
[KEY_FIGURES].[].[ZCONSENSUSDEMANDQTY]_x000D_
[LOCID].[].[7K10]_x000D_
[PRDID].[].[10001383]_x000D_
[KEY_FIGURES].[].[ZINPUTSOFC]_x000D_
[LOCID].[].[7K10]_x000D_
[PRDID].[].[10001383]_x000D_
[KEY_FIGURES].[].[ZFORECASTOPENOUTPUT]_x000D_
[LOCID].[].[7K10]_x000D_
[PRDID].[].[10001383]_x000D_
[KEY_FIGURES].[].[ZACTUALSALES]_x000D_
[LOCID].[].[7K10]_x000D_
[PRDID].[].[10001383]_x000D_
[KEY_FIGURES].[].[ZCONSENSUSDEMAND]_x000D_
[LOCID].[].[7K10]_x000D_
[PRDID].[].[10001383]_x000D_
[KEY_FIGURES].[].[INDEPENDENTDEMAND]_x000D_
[LOCID].[].[7K10]_x000D_
[PRDID].[].[10001384]_x000D_
[KEY_FIGURES].[].[ZCONSENSUSDEMANDQTY]_x000D_
[LOCID].[].[7K10]_x000D_
[PRDID].[].[10001384]_x000D_
[KEY_FIGURES].[].[ZINPUTSOFC]_x000D_
[LOCID].[].[7K10]_x000D_
[PRDID].[].[10001384]_x000D_
[KEY_FIGURES].[].[ZFORECASTOPENOUTPUT]_x000D_
[LOCID].[].[7K10]_x000D_
[PRDID].[].[10001384]_x000D_
[KEY_FIGURES].[].[ZACTUALSALES]_x000D_
[LOCID].[].[7K10]_x000D_
[PRDID].[].[10001384]_x000D_
[KEY_FIGURES].[].[ZCONSENSUSDEMAND]_x000D_
[LOCID].[].[7K10]_x000D_
[PRDID].[].[10001384]_x000D_
[KEY_FIGURES].[].[INDEPENDENTDEMAND]_x000D_
[LOCID].[].[7K10]_x000D_
[PRDID].[].[10001385]_x000D_
[KEY_FIGURES].[].[ZCONSENSUSDEMANDQTY]_x000D_
[LOCID].[].[7K10]_x000D_
[PRDID].[].[10001385]_x000D_
[KEY_FIGURES].[].[ZINPUTSOFC]_x000D_
[LOCID].[].[7K10]_x000D_
[PRDID].[].[10001385]_x000D_
[KEY_FIGURES].[].[ZFORECASTOPENOUTPUT]_x000D_
[LOCID].[].[7K10]_x000D_
[PRDID].[].[10001385]_x000D_
[KEY_FIGURES].[].[ZACTUALSALES]_x000D_
[LOCID].[].[7K10]_x000D_
[PRDID].[].[10001385]_x000D_
[KEY_FIGURES].[].[ZCONSENSUSDEMAND]_x000D_
[LOCID].[].[7K10]_x000D_
[PRDID].[].[10001385]_x000D_
[KEY_FIGURES].[].[INDEPENDENTDEMAND]_x000D_
[LOCID].[].[7K10]_x000D_
[PRDID].[].[10001386]_x000D_
[KEY_FIGURES].[].[ZCONSENSUSDEMANDQTY]_x000D_
[LOCID].[].[7K10]_x000D_
[PRDID].[].[10001386]_x000D_
[KEY_FIGURES].[].[ZINPUTSOFC]_x000D_
[LOCID].[].[7K10]_x000D_
[PRDID].[].[10001386]_x000D_
[KEY_FIGURES].[].[ZFORECASTOPENOUTPUT]_x000D_
[LOCID].[].[7K10]_x000D_
[PRDID].[].[10001386]_x000D_
[KEY_FIGURES].[].[ZACTUALSALES]_x000D_
[LOCID].[].[7K10]_x000D_
[PRDID].[].[10001386]_x000D_
[KEY_FIGURES].[].[ZCONSENSUSDEMAND]_x000D_
[LOCID].[].[7K10]_x000D_
[PRDID].[].[10001386]_x000D_
[KEY_FIGURES].[].[INDEPENDENTDEMAND]_x000D_
[LOCID].[].[7K10]_x000D_
[PRDID].[].[10001387]_x000D_
[KEY_FIGURES].[].[ZCONSENSUSDEMANDQTY]_x000D_
[LOCID].[].[7K10]_x000D_
[PRDID].[].[10001387]_x000D_
[KEY_FIGURES].[].[ZINPUTSOFC]_x000D_
[LOCID].[].[7K10]_x000D_
[PRDID].[].[10001387]_x000D_
[KEY_FIGURES].[].[ZFORECASTOPENOUTPUT]_x000D_
[LOCID].[].[7K10]_x000D_
[PRDID].[].[10001387]_x000D_
[KEY_FIGURES].[].[ZACTUALSALES]_x000D_
[LOCID].[].[7K10]_x000D_
[PRDID].[].[10001387]_x000D_
[KEY_FIGURES].[].[ZCONSENSUSDEMAND]_x000D_
[LOCID].[].[7K10]_x000D_
[PRDID].[].[10001387]_x000D_
[KEY_FIGURES].[].[INDEPENDENTDEMAND]_x000D_
[LOCID].[].[7K10]_x000D_
[PRDID].[].[10001388]_x000D_
[KEY_FIGURES].[].[ZCONSENSUSDEMANDQTY]_x000D_
[LOCID].[].[7K10]_x000D_
[PRDID].[].[10001388]_x000D_
[KEY_FIGURES].[].[ZINPUTSOFC]_x000D_
[LOCID].[].[7K10]_x000D_
[PRDID].[].[10001388]_x000D_
[KEY_FIGURES].[].[ZFORECASTOPENOUTPUT]_x000D_
[LOCID].[].[7K10]_x000D_
[PRDID].[].[10001388]_x000D_
[KEY_FIGURES].[].[ZACTUALSALES]_x000D_
[LOCID].[].[7K10]_x000D_
[PRDID].[].[10001388]_x000D_
[KEY_FIGURES].[].[ZCONSENSUSDEMAND]_x000D_
[LOCID].[].[7K10]_x000D_
[PRDID].[].[10001388]_x000D_
[KEY_FIGURES].[].[INDEPENDENTDEMAND]_x000D_
[LOCID].[].[7K10]_x000D_
[PRDID].[].[10001389]_x000D_
[KEY_FIGURES].[].[ZCONSENSUSDEMANDQTY]_x000D_
[LOCID].[].[7K10]_x000D_
[PRDID].[].[10001389]_x000D_
[KEY_FIGURES].[].[ZINPUTSOFC]_x000D_
[LOCID].[].[7K10]_x000D_
[PRDID].[].[10001389]_x000D_
[KEY_FIGURES].[].[ZFORECASTOPENOUTPUT]_x000D_
[LOCID].[].[7K10]_x000D_
[PRDID].[].[10001389]_x000D_
[KEY_FIGURES].[].[ZACTUALSALES]_x000D_
[LOCID].[].[7K10]_x000D_
[PRDID].[].[10001389]_x000D_
[KEY_FIGURES].[].[ZCONSENSUSDEMAND]_x000D_
[LOCID].[].[7K10]_x000D_
[PRDID].[].[10001389]_x000D_
[KEY_FIGURES].[].[INDEPENDENTDEMAND]_x000D_
[LOCID].[].[7K10]_x000D_
[PRDID].[].[10001390]_x000D_
[KEY_FIGURES].[].[ZCONSENSUSDEMANDQTY]_x000D_
[LOCID].[].[7K10]_x000D_
[PRDID].[].[10001390]_x000D_
[KEY_FIGURES].[].[ZINPUTSOFC]_x000D_
[LOCID].[].[7K10]_x000D_
[PRDID].[].[10001390]_x000D_
[KEY_FIGURES].[].[ZFORECASTOPENOUTPUT]_x000D_
[LOCID].[].[7K10]_x000D_
[PRDID].[].[10001390]_x000D_
[KEY_FIGURES].[].[ZACTUALSALES]_x000D_
[LOCID].[].[7K10]_x000D_
[PRDID].[].[10001390]_x000D_
[KEY_FIGURES].[].[ZCONSENSUSDEMAND]_x000D_
[LOCID].[].[7K10]_x000D_
[PRDID].[].[10001390]_x000D_
[KEY_FIGURES].[].[INDEPENDENTDEMAND]_x000D_
[LOCID].[].[7K10]_x000D_
[PRDID].[].[10001391]_x000D_
[KEY_FIGURES].[].[ZCONSENSUSDEMANDQTY]_x000D_
[LOCID].[].[7K10]_x000D_
[PRDID].[].[10001391]_x000D_
[KEY_FIGURES].[].[ZINPUTSOFC]_x000D_
[LOCID].[].[7K10]_x000D_
[PRDID].[].[10001391]_x000D_
[KEY_FIGURES].[].[ZFORECASTOPENOUTPUT]_x000D_
[LOCID].[].[7K10]_x000D_
[PRDID].[].[10001391]_x000D_
[KEY_FIGURES].[].[ZACTUALSALES]_x000D_
[LOCID].[].[7K10]_x000D_
[PRDID].[].[10001391]_x000D_
[KEY_FIGURES].[].[ZCONSENSUSDEMAND]_x000D_
[LOCID].[].[7K10]_x000D_
[PRDID].[].[10001391]_x000D_
[KEY_FIGURES].[].[INDEPENDENTDEMAND]_x000D_
[LOCID].[].[7K10]_x000D_
[PRDID].[].[10001392]_x000D_
[KEY_FIGURES].[].[ZCONSENSUSDEMANDQTY]_x000D_
[LOCID].[].[7K10]_x000D_
[PRDID].[].[10001392]_x000D_
[KEY_FIGURES].[].[ZINPUTSOFC]_x000D_
[LOCID].[].[7K10]_x000D_
[PRDID].[].[10001392]_x000D_
[KEY_FIGURES].[].[ZFORECASTOPENOUTPUT]_x000D_
[LOCID].[].[7K10]</t>
  </si>
  <si>
    <t>[PRDID].[].[10001392]_x000D_
[KEY_FIGURES].[].[ZACTUALSALES]_x000D_
[LOCID].[].[7K10]_x000D_
[PRDID].[].[10001392]_x000D_
[KEY_FIGURES].[].[ZCONSENSUSDEMAND]_x000D_
[LOCID].[].[7K10]_x000D_
[PRDID].[].[10001392]_x000D_
[KEY_FIGURES].[].[INDEPENDENTDEMAND]_x000D_
[LOCID].[].[7K10]_x000D_
[PRDID].[].[10001393]_x000D_
[KEY_FIGURES].[].[ZCONSENSUSDEMANDQTY]_x000D_
[LOCID].[].[7K10]_x000D_
[PRDID].[].[10001393]_x000D_
[KEY_FIGURES].[].[ZINPUTSOFC]_x000D_
[LOCID].[].[7K10]_x000D_
[PRDID].[].[10001393]_x000D_
[KEY_FIGURES].[].[ZFORECASTOPENOUTPUT]_x000D_
[LOCID].[].[7K10]_x000D_
[PRDID].[].[10001393]_x000D_
[KEY_FIGURES].[].[ZACTUALSALES]_x000D_
[LOCID].[].[7K10]_x000D_
[PRDID].[].[10001393]_x000D_
[KEY_FIGURES].[].[ZCONSENSUSDEMAND]_x000D_
[LOCID].[].[7K10]_x000D_
[PRDID].[].[10001393]_x000D_
[KEY_FIGURES].[].[INDEPENDENTDEMAND]_x000D_
[LOCID].[].[7K10]_x000D_
[PRDID].[].[10001394]_x000D_
[KEY_FIGURES].[].[ZCONSENSUSDEMANDQTY]_x000D_
[LOCID].[].[7K10]_x000D_
[PRDID].[].[10001394]_x000D_
[KEY_FIGURES].[].[ZINPUTSOFC]_x000D_
[LOCID].[].[7K10]_x000D_
[PRDID].[].[10001394]_x000D_
[KEY_FIGURES].[].[ZFORECASTOPENOUTPUT]_x000D_
[LOCID].[].[7K10]_x000D_
[PRDID].[].[10001394]_x000D_
[KEY_FIGURES].[].[ZACTUALSALES]_x000D_
[LOCID].[].[7K10]_x000D_
[PRDID].[].[10001394]_x000D_
[KEY_FIGURES].[].[ZCONSENSUSDEMAND]_x000D_
[LOCID].[].[7K10]_x000D_
[PRDID].[].[10001394]_x000D_
[KEY_FIGURES].[].[INDEPENDENTDEMAND]_x000D_
[LOCID].[].[7K10]_x000D_
[PRDID].[].[10001395]_x000D_
[KEY_FIGURES].[].[ZCONSENSUSDEMANDQTY]_x000D_
[LOCID].[].[7K10]_x000D_
[PRDID].[].[10001395]_x000D_
[KEY_FIGURES].[].[ZINPUTSOFC]_x000D_
[LOCID].[].[7K10]_x000D_
[PRDID].[].[10001395]_x000D_
[KEY_FIGURES].[].[ZFORECASTOPENOUTPUT]_x000D_
[LOCID].[].[7K10]_x000D_
[PRDID].[].[10001395]_x000D_
[KEY_FIGURES].[].[ZACTUALSALES]_x000D_
[LOCID].[].[7K10]_x000D_
[PRDID].[].[10001395]_x000D_
[KEY_FIGURES].[].[ZCONSENSUSDEMAND]_x000D_
[LOCID].[].[7K10]_x000D_
[PRDID].[].[10001395]_x000D_
[KEY_FIGURES].[].[INDEPENDENTDEMAND]_x000D_
[LOCID].[].[7K10]_x000D_
[PRDID].[].[10001396]_x000D_
[KEY_FIGURES].[].[ZCONSENSUSDEMANDQTY]_x000D_
[LOCID].[].[7K10]_x000D_
[PRDID].[].[10001396]_x000D_
[KEY_FIGURES].[].[ZINPUTSOFC]_x000D_
[LOCID].[].[7K10]_x000D_
[PRDID].[].[10001396]_x000D_
[KEY_FIGURES].[].[ZFORECASTOPENOUTPUT]_x000D_
[LOCID].[].[7K10]_x000D_
[PRDID].[].[10001396]_x000D_
[KEY_FIGURES].[].[ZACTUALSALES]_x000D_
[LOCID].[].[7K10]_x000D_
[PRDID].[].[10001396]_x000D_
[KEY_FIGURES].[].[ZCONSENSUSDEMAND]_x000D_
[LOCID].[].[7K10]_x000D_
[PRDID].[].[10001396]_x000D_
[KEY_FIGURES].[].[INDEPENDENTDEMAND]_x000D_
[LOCID].[].[7K10]_x000D_
[PRDID].[].[10001397]_x000D_
[KEY_FIGURES].[].[ZCONSENSUSDEMANDQTY]_x000D_
[LOCID].[].[7K10]_x000D_
[PRDID].[].[10001397]_x000D_
[KEY_FIGURES].[].[ZINPUTSOFC]_x000D_
[LOCID].[].[7K10]_x000D_
[PRDID].[].[10001397]_x000D_
[KEY_FIGURES].[].[ZFORECASTOPENOUTPUT]_x000D_
[LOCID].[].[7K10]_x000D_
[PRDID].[].[10001397]_x000D_
[KEY_FIGURES].[].[ZACTUALSALES]_x000D_
[LOCID].[].[7K10]_x000D_
[PRDID].[].[10001397]_x000D_
[KEY_FIGURES].[].[ZCONSENSUSDEMAND]_x000D_
[LOCID].[].[7K10]_x000D_
[PRDID].[].[10001397]_x000D_
[KEY_FIGURES].[].[INDEPENDENTDEMAND]_x000D_
[LOCID].[].[7K10]_x000D_
[PRDID].[].[10001398]_x000D_
[KEY_FIGURES].[].[ZCONSENSUSDEMANDQTY]_x000D_
[LOCID].[].[7K10]_x000D_
[PRDID].[].[10001398]_x000D_
[KEY_FIGURES].[].[ZINPUTSOFC]_x000D_
[LOCID].[].[7K10]_x000D_
[PRDID].[].[10001398]_x000D_
[KEY_FIGURES].[].[ZFORECASTOPENOUTPUT]_x000D_
[LOCID].[].[7K10]_x000D_
[PRDID].[].[10001398]_x000D_
[KEY_FIGURES].[].[ZACTUALSALES]_x000D_
[LOCID].[].[7K10]_x000D_
[PRDID].[].[10001398]_x000D_
[KEY_FIGURES].[].[ZCONSENSUSDEMAND]_x000D_
[LOCID].[].[7K10]_x000D_
[PRDID].[].[10001398]_x000D_
[KEY_FIGURES].[].[INDEPENDENTDEMAND]_x000D_
[LOCID].[].[7K10]_x000D_
[PRDID].[].[10001399]_x000D_
[KEY_FIGURES].[].[ZCONSENSUSDEMANDQTY]_x000D_
[LOCID].[].[7K10]_x000D_
[PRDID].[].[10001399]_x000D_
[KEY_FIGURES].[].[ZINPUTSOFC]_x000D_
[LOCID].[].[7K10]_x000D_
[PRDID].[].[10001399]_x000D_
[KEY_FIGURES].[].[ZFORECASTOPENOUTPUT]_x000D_
[LOCID].[].[7K10]_x000D_
[PRDID].[].[10001399]_x000D_
[KEY_FIGURES].[].[ZACTUALSALES]_x000D_
[LOCID].[].[7K10]_x000D_
[PRDID].[].[10001399]_x000D_
[KEY_FIGURES].[].[ZCONSENSUSDEMAND]_x000D_
[LOCID].[].[7K10]_x000D_
[PRDID].[].[10001399]_x000D_
[KEY_FIGURES].[].[INDEPENDENTDEMAND]_x000D_
[LOCID].[].[7K10]_x000D_
[PRDID].[].[10001400]_x000D_
[KEY_FIGURES].[].[ZCONSENSUSDEMANDQTY]_x000D_
[LOCID].[].[7K10]_x000D_
[PRDID].[].[10001400]_x000D_
[KEY_FIGURES].[].[ZINPUTSOFC]_x000D_
[LOCID].[].[7K10]_x000D_
[PRDID].[].[10001400]_x000D_
[KEY_FIGURES].[].[ZFORECASTOPENOUTPUT]_x000D_
[LOCID].[].[7K10]_x000D_
[PRDID].[].[10001400]_x000D_
[KEY_FIGURES].[].[ZACTUALSALES]_x000D_
[LOCID].[].[7K10]_x000D_
[PRDID].[].[10001400]_x000D_
[KEY_FIGURES].[].[ZCONSENSUSDEMAND]_x000D_
[LOCID].[].[7K10]_x000D_
[PRDID].[].[10001400]_x000D_
[KEY_FIGURES].[].[INDEPENDENTDEMAND]_x000D_
[LOCID].[].[7K10]_x000D_
[PRDID].[].[10001401]_x000D_
[KEY_FIGURES].[].[ZCONSENSUSDEMANDQTY]_x000D_
[LOCID].[].[7K10]_x000D_
[PRDID].[].[10001401]_x000D_
[KEY_FIGURES].[].[ZINPUTSOFC]_x000D_
[LOCID].[].[7K10]_x000D_
[PRDID].[].[10001401]_x000D_
[KEY_FIGURES].[].[ZFORECASTOPENOUTPUT]_x000D_
[LOCID].[].[7K10]_x000D_
[PRDID].[].[10001401]_x000D_
[KEY_FIGURES].[].[ZACTUALSALES]_x000D_
[LOCID].[].[7K10]_x000D_
[PRDID].[].[10001401]_x000D_
[KEY_FIGURES].[].[ZCONSENSUSDEMAND]_x000D_
[LOCID].[].[7K10]_x000D_
[PRDID].[].[10001401]_x000D_
[KEY_FIGURES].[].[INDEPENDENTDEMAND]_x000D_
[LOCID].[].[7K10]_x000D_
[PRDID].[].[10001402]_x000D_
[KEY_FIGURES].[].[ZCONSENSUSDEMANDQTY]_x000D_
[LOCID].[].[7K10]_x000D_
[PRDID].[].[10001402]_x000D_
[KEY_FIGURES].[].[ZINPUTSOFC]_x000D_
[LOCID].[].[7K10]_x000D_
[PRDID].[].[10001402]_x000D_
[KEY_FIGURES].[].[ZFORECASTOPENOUTPUT]_x000D_
[LOCID].[].[7K10]_x000D_
[PRDID].[].[10001402]_x000D_
[KEY_FIGURES].[].[ZACTUALSALES]_x000D_
[LOCID].[].[7K10]_x000D_
[PRDID].[].[10001402]_x000D_
[KEY_FIGURES].[].[ZCONSENSUSDEMAND]_x000D_
[LOCID].[].[7K10]_x000D_
[PRDID].[].[10001402]_x000D_
[KEY_FIGURES].[].[INDEPENDENTDEMAND]_x000D_
[LOCID].[].[7K10]_x000D_
[PRDID].[].[10001403]_x000D_
[KEY_FIGURES].[].[ZCONSENSUSDEMANDQTY]_x000D_
[LOCID].[].[7K10]_x000D_
[PRDID].[].[10001403]_x000D_
[KEY_FIGURES].[].[ZINPUTSOFC]_x000D_
[LOCID].[].[7K10]_x000D_
[PRDID].[].[10001403]_x000D_
[KEY_FIGURES].[].[ZFORECASTOPENOUTPUT]_x000D_
[LOCID].[].[7K10]_x000D_
[PRDID].[].[10001403]_x000D_
[KEY_FIGURES].[].[ZACTUALSALES]</t>
  </si>
  <si>
    <t>[LOCID].[].[7K10]_x000D_
[PRDID].[].[10001403]_x000D_
[KEY_FIGURES].[].[ZCONSENSUSDEMAND]_x000D_
[LOCID].[].[7K10]_x000D_
[PRDID].[].[10001403]_x000D_
[KEY_FIGURES].[].[INDEPENDENTDEMAND]_x000D_
[LOCID].[].[7K10]_x000D_
[PRDID].[].[10001404]_x000D_
[KEY_FIGURES].[].[ZCONSENSUSDEMANDQTY]_x000D_
[LOCID].[].[7K10]_x000D_
[PRDID].[].[10001404]_x000D_
[KEY_FIGURES].[].[ZINPUTSOFC]_x000D_
[LOCID].[].[7K10]_x000D_
[PRDID].[].[10001404]_x000D_
[KEY_FIGURES].[].[ZFORECASTOPENOUTPUT]_x000D_
[LOCID].[].[7K10]_x000D_
[PRDID].[].[10001404]_x000D_
[KEY_FIGURES].[].[ZACTUALSALES]_x000D_
[LOCID].[].[7K10]_x000D_
[PRDID].[].[10001404]_x000D_
[KEY_FIGURES].[].[ZCONSENSUSDEMAND]_x000D_
[LOCID].[].[7K10]_x000D_
[PRDID].[].[10001404]_x000D_
[KEY_FIGURES].[].[INDEPENDENTDEMAND]_x000D_
[LOCID].[].[7K10]_x000D_
[PRDID].[].[10001405]_x000D_
[KEY_FIGURES].[].[ZCONSENSUSDEMANDQTY]_x000D_
[LOCID].[].[7K10]_x000D_
[PRDID].[].[10001405]_x000D_
[KEY_FIGURES].[].[ZINPUTSOFC]_x000D_
[LOCID].[].[7K10]_x000D_
[PRDID].[].[10001405]_x000D_
[KEY_FIGURES].[].[ZFORECASTOPENOUTPUT]_x000D_
[LOCID].[].[7K10]_x000D_
[PRDID].[].[10001405]_x000D_
[KEY_FIGURES].[].[ZACTUALSALES]_x000D_
[LOCID].[].[7K10]_x000D_
[PRDID].[].[10001405]_x000D_
[KEY_FIGURES].[].[ZCONSENSUSDEMAND]_x000D_
[LOCID].[].[7K10]_x000D_
[PRDID].[].[10001405]_x000D_
[KEY_FIGURES].[].[INDEPENDENTDEMAND]_x000D_
[LOCID].[].[7K10]_x000D_
[PRDID].[].[10001406]_x000D_
[KEY_FIGURES].[].[ZCONSENSUSDEMANDQTY]_x000D_
[LOCID].[].[7K10]_x000D_
[PRDID].[].[10001406]_x000D_
[KEY_FIGURES].[].[ZINPUTSOFC]_x000D_
[LOCID].[].[7K10]_x000D_
[PRDID].[].[10001406]_x000D_
[KEY_FIGURES].[].[ZFORECASTOPENOUTPUT]_x000D_
[LOCID].[].[7K10]_x000D_
[PRDID].[].[10001406]_x000D_
[KEY_FIGURES].[].[ZACTUALSALES]_x000D_
[LOCID].[].[7K10]_x000D_
[PRDID].[].[10001406]_x000D_
[KEY_FIGURES].[].[ZCONSENSUSDEMAND]_x000D_
[LOCID].[].[7K10]_x000D_
[PRDID].[].[10001406]_x000D_
[KEY_FIGURES].[].[INDEPENDENTDEMAND]_x000D_
[LOCID].[].[7K10]_x000D_
[PRDID].[].[10001407]_x000D_
[KEY_FIGURES].[].[ZCONSENSUSDEMANDQTY]_x000D_
[LOCID].[].[7K10]_x000D_
[PRDID].[].[10001407]_x000D_
[KEY_FIGURES].[].[ZINPUTSOFC]_x000D_
[LOCID].[].[7K10]_x000D_
[PRDID].[].[10001407]_x000D_
[KEY_FIGURES].[].[ZFORECASTOPENOUTPUT]_x000D_
[LOCID].[].[7K10]_x000D_
[PRDID].[].[10001407]_x000D_
[KEY_FIGURES].[].[ZACTUALSALES]_x000D_
[LOCID].[].[7K10]_x000D_
[PRDID].[].[10001407]_x000D_
[KEY_FIGURES].[].[ZCONSENSUSDEMAND]_x000D_
[LOCID].[].[7K10]_x000D_
[PRDID].[].[10001407]_x000D_
[KEY_FIGURES].[].[INDEPENDENTDEMAND]_x000D_
[LOCID].[].[7K10]_x000D_
[PRDID].[].[10001408]_x000D_
[KEY_FIGURES].[].[ZCONSENSUSDEMANDQTY]_x000D_
[LOCID].[].[7K10]_x000D_
[PRDID].[].[10001408]_x000D_
[KEY_FIGURES].[].[ZINPUTSOFC]_x000D_
[LOCID].[].[7K10]_x000D_
[PRDID].[].[10001408]_x000D_
[KEY_FIGURES].[].[ZFORECASTOPENOUTPUT]_x000D_
[LOCID].[].[7K10]_x000D_
[PRDID].[].[10001408]_x000D_
[KEY_FIGURES].[].[ZACTUALSALES]_x000D_
[LOCID].[].[7K10]_x000D_
[PRDID].[].[10001408]_x000D_
[KEY_FIGURES].[].[ZCONSENSUSDEMAND]_x000D_
[LOCID].[].[7K10]_x000D_
[PRDID].[].[10001408]_x000D_
[KEY_FIGURES].[].[INDEPENDENTDEMAND]_x000D_
[LOCID].[].[7K10]_x000D_
[PRDID].[].[10001409]_x000D_
[KEY_FIGURES].[].[ZCONSENSUSDEMANDQTY]_x000D_
[LOCID].[].[7K10]_x000D_
[PRDID].[].[10001409]_x000D_
[KEY_FIGURES].[].[ZINPUTSOFC]_x000D_
[LOCID].[].[7K10]_x000D_
[PRDID].[].[10001409]_x000D_
[KEY_FIGURES].[].[ZFORECASTOPENOUTPUT]_x000D_
[LOCID].[].[7K10]_x000D_
[PRDID].[].[10001409]_x000D_
[KEY_FIGURES].[].[ZACTUALSALES]_x000D_
[LOCID].[].[7K10]_x000D_
[PRDID].[].[10001409]_x000D_
[KEY_FIGURES].[].[ZCONSENSUSDEMAND]_x000D_
[LOCID].[].[7K10]_x000D_
[PRDID].[].[10001409]_x000D_
[KEY_FIGURES].[].[INDEPENDENTDEMAND]_x000D_
[LOCID].[].[7K10]_x000D_
[PRDID].[].[10001410]_x000D_
[KEY_FIGURES].[].[ZCONSENSUSDEMANDQTY]_x000D_
[LOCID].[].[7K10]_x000D_
[PRDID].[].[10001410]_x000D_
[KEY_FIGURES].[].[ZINPUTSOFC]_x000D_
[LOCID].[].[7K10]_x000D_
[PRDID].[].[10001410]_x000D_
[KEY_FIGURES].[].[ZFORECASTOPENOUTPUT]_x000D_
[LOCID].[].[7K10]_x000D_
[PRDID].[].[10001410]_x000D_
[KEY_FIGURES].[].[ZACTUALSALES]_x000D_
[LOCID].[].[7K10]_x000D_
[PRDID].[].[10001410]_x000D_
[KEY_FIGURES].[].[ZCONSENSUSDEMAND]_x000D_
[LOCID].[].[7K10]_x000D_
[PRDID].[].[10001410]_x000D_
[KEY_FIGURES].[].[INDEPENDENTDEMAND]_x000D_
[LOCID].[].[7K10]_x000D_
[PRDID].[].[10001411]_x000D_
[KEY_FIGURES].[].[ZCONSENSUSDEMANDQTY]_x000D_
[LOCID].[].[7K10]_x000D_
[PRDID].[].[10001411]_x000D_
[KEY_FIGURES].[].[ZINPUTSOFC]_x000D_
[LOCID].[].[7K10]_x000D_
[PRDID].[].[10001411]_x000D_
[KEY_FIGURES].[].[ZFORECASTOPENOUTPUT]_x000D_
[LOCID].[].[7K10]_x000D_
[PRDID].[].[10001411]_x000D_
[KEY_FIGURES].[].[ZACTUALSALES]_x000D_
[LOCID].[].[7K10]_x000D_
[PRDID].[].[10001411]_x000D_
[KEY_FIGURES].[].[ZCONSENSUSDEMAND]_x000D_
[LOCID].[].[7K10]_x000D_
[PRDID].[].[10001411]_x000D_
[KEY_FIGURES].[].[INDEPENDENTDEMAND]_x000D_
[LOCID].[].[7K10]_x000D_
[PRDID].[].[10001412]_x000D_
[KEY_FIGURES].[].[ZCONSENSUSDEMANDQTY]_x000D_
[LOCID].[].[7K10]_x000D_
[PRDID].[].[10001412]_x000D_
[KEY_FIGURES].[].[ZINPUTSOFC]_x000D_
[LOCID].[].[7K10]_x000D_
[PRDID].[].[10001412]_x000D_
[KEY_FIGURES].[].[ZFORECASTOPENOUTPUT]_x000D_
[LOCID].[].[7K10]_x000D_
[PRDID].[].[10001412]_x000D_
[KEY_FIGURES].[].[ZACTUALSALES]_x000D_
[LOCID].[].[7K10]_x000D_
[PRDID].[].[10001412]_x000D_
[KEY_FIGURES].[].[ZCONSENSUSDEMAND]_x000D_
[LOCID].[].[7K10]_x000D_
[PRDID].[].[10001412]_x000D_
[KEY_FIGURES].[].[INDEPENDENTDEMAND]_x000D_
[LOCID].[].[7K10]_x000D_
[PRDID].[].[10001413]_x000D_
[KEY_FIGURES].[].[ZCONSENSUSDEMANDQTY]_x000D_
[LOCID].[].[7K10]_x000D_
[PRDID].[].[10001413]_x000D_
[KEY_FIGURES].[].[ZINPUTSOFC]_x000D_
[LOCID].[].[7K10]_x000D_
[PRDID].[].[10001413]_x000D_
[KEY_FIGURES].[].[ZFORECASTOPENOUTPUT]_x000D_
[LOCID].[].[7K10]_x000D_
[PRDID].[].[10001413]_x000D_
[KEY_FIGURES].[].[ZACTUALSALES]_x000D_
[LOCID].[].[7K10]_x000D_
[PRDID].[].[10001413]_x000D_
[KEY_FIGURES].[].[ZCONSENSUSDEMAND]_x000D_
[LOCID].[].[7K10]_x000D_
[PRDID].[].[10001413]_x000D_
[KEY_FIGURES].[].[INDEPENDENTDEMAND]_x000D_
[LOCID].[].[7K10]_x000D_
[PRDID].[].[10001414]_x000D_
[KEY_FIGURES].[].[ZCONSENSUSDEMANDQTY]_x000D_
[LOCID].[].[7K10]_x000D_
[PRDID].[].[10001414]_x000D_
[KEY_FIGURES].[].[ZINPUTSOFC]_x000D_
[LOCID].[].[7K10]_x000D_
[PRDID].[].[10001414]_x000D_
[KEY_FIGURES].[].[ZFORECASTOPENOUTPUT]_x000D_
[LOCID].[].[7K10]_x000D_
[PRDID].[].[10001414]_x000D_
[KEY_FIGURES].[].[ZACTUALSALES]_x000D_
[LOCID].[].[7K10]_x000D_
[PRDID].[].[10001414]</t>
  </si>
  <si>
    <t>[KEY_FIGURES].[].[ZCONSENSUSDEMAND]_x000D_
[LOCID].[].[7K10]_x000D_
[PRDID].[].[10001414]_x000D_
[KEY_FIGURES].[].[INDEPENDENTDEMAND]_x000D_
[LOCID].[].[7K10]_x000D_
[PRDID].[].[10001415]_x000D_
[KEY_FIGURES].[].[ZCONSENSUSDEMANDQTY]_x000D_
[LOCID].[].[7K10]_x000D_
[PRDID].[].[10001415]_x000D_
[KEY_FIGURES].[].[ZINPUTSOFC]_x000D_
[LOCID].[].[7K10]_x000D_
[PRDID].[].[10001415]_x000D_
[KEY_FIGURES].[].[ZFORECASTOPENOUTPUT]_x000D_
[LOCID].[].[7K10]_x000D_
[PRDID].[].[10001415]_x000D_
[KEY_FIGURES].[].[ZACTUALSALES]_x000D_
[LOCID].[].[7K10]_x000D_
[PRDID].[].[10001415]_x000D_
[KEY_FIGURES].[].[ZCONSENSUSDEMAND]_x000D_
[LOCID].[].[7K10]_x000D_
[PRDID].[].[10001415]_x000D_
[KEY_FIGURES].[].[INDEPENDENTDEMAND]_x000D_
[LOCID].[].[7K10]_x000D_
[PRDID].[].[10001416]_x000D_
[KEY_FIGURES].[].[ZCONSENSUSDEMANDQTY]_x000D_
[LOCID].[].[7K10]_x000D_
[PRDID].[].[10001416]_x000D_
[KEY_FIGURES].[].[ZINPUTSOFC]_x000D_
[LOCID].[].[7K10]_x000D_
[PRDID].[].[10001416]_x000D_
[KEY_FIGURES].[].[ZFORECASTOPENOUTPUT]_x000D_
[LOCID].[].[7K10]_x000D_
[PRDID].[].[10001416]_x000D_
[KEY_FIGURES].[].[ZACTUALSALES]_x000D_
[LOCID].[].[7K10]_x000D_
[PRDID].[].[10001416]_x000D_
[KEY_FIGURES].[].[ZCONSENSUSDEMAND]_x000D_
[LOCID].[].[7K10]_x000D_
[PRDID].[].[10001416]_x000D_
[KEY_FIGURES].[].[INDEPENDENTDEMAND]_x000D_
[LOCID].[].[7K10]_x000D_
[PRDID].[].[10001417]_x000D_
[KEY_FIGURES].[].[ZCONSENSUSDEMANDQTY]_x000D_
[LOCID].[].[7K10]_x000D_
[PRDID].[].[10001417]_x000D_
[KEY_FIGURES].[].[ZINPUTSOFC]_x000D_
[LOCID].[].[7K10]_x000D_
[PRDID].[].[10001417]_x000D_
[KEY_FIGURES].[].[ZFORECASTOPENOUTPUT]_x000D_
[LOCID].[].[7K10]_x000D_
[PRDID].[].[10001417]_x000D_
[KEY_FIGURES].[].[ZACTUALSALES]_x000D_
[LOCID].[].[7K10]_x000D_
[PRDID].[].[10001417]_x000D_
[KEY_FIGURES].[].[ZCONSENSUSDEMAND]_x000D_
[LOCID].[].[7K10]_x000D_
[PRDID].[].[10001417]_x000D_
[KEY_FIGURES].[].[INDEPENDENTDEMAND]_x000D_
[LOCID].[].[7K10]_x000D_
[PRDID].[].[10001418]_x000D_
[KEY_FIGURES].[].[ZCONSENSUSDEMANDQTY]_x000D_
[LOCID].[].[7K10]_x000D_
[PRDID].[].[10001418]_x000D_
[KEY_FIGURES].[].[ZINPUTSOFC]_x000D_
[LOCID].[].[7K10]_x000D_
[PRDID].[].[10001418]_x000D_
[KEY_FIGURES].[].[ZFORECASTOPENOUTPUT]_x000D_
[LOCID].[].[7K10]_x000D_
[PRDID].[].[10001418]_x000D_
[KEY_FIGURES].[].[ZACTUALSALES]_x000D_
[LOCID].[].[7K10]_x000D_
[PRDID].[].[10001418]_x000D_
[KEY_FIGURES].[].[ZCONSENSUSDEMAND]_x000D_
[LOCID].[].[7K10]_x000D_
[PRDID].[].[10001418]_x000D_
[KEY_FIGURES].[].[INDEPENDENTDEMAND]_x000D_
[LOCID].[].[7K10]_x000D_
[PRDID].[].[10001419]_x000D_
[KEY_FIGURES].[].[ZCONSENSUSDEMANDQTY]_x000D_
[LOCID].[].[7K10]_x000D_
[PRDID].[].[10001419]_x000D_
[KEY_FIGURES].[].[ZINPUTSOFC]_x000D_
[LOCID].[].[7K10]_x000D_
[PRDID].[].[10001419]_x000D_
[KEY_FIGURES].[].[ZFORECASTOPENOUTPUT]_x000D_
[LOCID].[].[7K10]_x000D_
[PRDID].[].[10001419]_x000D_
[KEY_FIGURES].[].[ZACTUALSALES]_x000D_
[LOCID].[].[7K10]_x000D_
[PRDID].[].[10001419]_x000D_
[KEY_FIGURES].[].[ZCONSENSUSDEMAND]_x000D_
[LOCID].[].[7K10]_x000D_
[PRDID].[].[10001419]_x000D_
[KEY_FIGURES].[].[INDEPENDENTDEMAND]_x000D_
[LOCID].[].[7K10]_x000D_
[PRDID].[].[10001420]_x000D_
[KEY_FIGURES].[].[ZCONSENSUSDEMANDQTY]_x000D_
[LOCID].[].[7K10]_x000D_
[PRDID].[].[10001420]_x000D_
[KEY_FIGURES].[].[ZINPUTSOFC]_x000D_
[LOCID].[].[7K10]_x000D_
[PRDID].[].[10001420]_x000D_
[KEY_FIGURES].[].[ZFORECASTOPENOUTPUT]_x000D_
[LOCID].[].[7K10]_x000D_
[PRDID].[].[10001420]_x000D_
[KEY_FIGURES].[].[ZACTUALSALES]_x000D_
[LOCID].[].[7K10]_x000D_
[PRDID].[].[10001420]_x000D_
[KEY_FIGURES].[].[ZCONSENSUSDEMAND]_x000D_
[LOCID].[].[7K10]_x000D_
[PRDID].[].[10001420]_x000D_
[KEY_FIGURES].[].[INDEPENDENTDEMAND]_x000D_
[LOCID].[].[7K10]_x000D_
[PRDID].[].[10001421]_x000D_
[KEY_FIGURES].[].[ZCONSENSUSDEMANDQTY]_x000D_
[LOCID].[].[7K10]_x000D_
[PRDID].[].[10001421]_x000D_
[KEY_FIGURES].[].[ZINPUTSOFC]_x000D_
[LOCID].[].[7K10]_x000D_
[PRDID].[].[10001421]_x000D_
[KEY_FIGURES].[].[ZFORECASTOPENOUTPUT]_x000D_
[LOCID].[].[7K10]_x000D_
[PRDID].[].[10001421]_x000D_
[KEY_FIGURES].[].[ZACTUALSALES]_x000D_
[LOCID].[].[7K10]_x000D_
[PRDID].[].[10001421]_x000D_
[KEY_FIGURES].[].[ZCONSENSUSDEMAND]_x000D_
[LOCID].[].[7K10]_x000D_
[PRDID].[].[10001421]_x000D_
[KEY_FIGURES].[].[INDEPENDENTDEMAND]_x000D_
[LOCID].[].[7K10]_x000D_
[PRDID].[].[10001422]_x000D_
[KEY_FIGURES].[].[ZCONSENSUSDEMANDQTY]_x000D_
[LOCID].[].[7K10]_x000D_
[PRDID].[].[10001422]_x000D_
[KEY_FIGURES].[].[ZINPUTSOFC]_x000D_
[LOCID].[].[7K10]_x000D_
[PRDID].[].[10001422]_x000D_
[KEY_FIGURES].[].[ZFORECASTOPENOUTPUT]_x000D_
[LOCID].[].[7K10]_x000D_
[PRDID].[].[10001422]_x000D_
[KEY_FIGURES].[].[ZACTUALSALES]_x000D_
[LOCID].[].[7K10]_x000D_
[PRDID].[].[10001422]_x000D_
[KEY_FIGURES].[].[ZCONSENSUSDEMAND]_x000D_
[LOCID].[].[7K10]_x000D_
[PRDID].[].[10001422]_x000D_
[KEY_FIGURES].[].[INDEPENDENTDEMAND]_x000D_
[LOCID].[].[7K10]_x000D_
[PRDID].[].[10001423]_x000D_
[KEY_FIGURES].[].[ZCONSENSUSDEMANDQTY]_x000D_
[LOCID].[].[7K10]_x000D_
[PRDID].[].[10001423]_x000D_
[KEY_FIGURES].[].[ZINPUTSOFC]_x000D_
[LOCID].[].[7K10]_x000D_
[PRDID].[].[10001423]_x000D_
[KEY_FIGURES].[].[ZFORECASTOPENOUTPUT]_x000D_
[LOCID].[].[7K10]_x000D_
[PRDID].[].[10001423]_x000D_
[KEY_FIGURES].[].[ZACTUALSALES]_x000D_
[LOCID].[].[7K10]_x000D_
[PRDID].[].[10001423]_x000D_
[KEY_FIGURES].[].[ZCONSENSUSDEMAND]_x000D_
[LOCID].[].[7K10]_x000D_
[PRDID].[].[10001423]_x000D_
[KEY_FIGURES].[].[INDEPENDENTDEMAND]_x000D_
[LOCID].[].[7K10]_x000D_
[PRDID].[].[10001424]_x000D_
[KEY_FIGURES].[].[ZCONSENSUSDEMANDQTY]_x000D_
[LOCID].[].[7K10]_x000D_
[PRDID].[].[10001424]_x000D_
[KEY_FIGURES].[].[ZINPUTSOFC]_x000D_
[LOCID].[].[7K10]_x000D_
[PRDID].[].[10001424]_x000D_
[KEY_FIGURES].[].[ZFORECASTOPENOUTPUT]_x000D_
[LOCID].[].[7K10]_x000D_
[PRDID].[].[10001424]_x000D_
[KEY_FIGURES].[].[ZACTUALSALES]_x000D_
[LOCID].[].[7K10]_x000D_
[PRDID].[].[10001424]_x000D_
[KEY_FIGURES].[].[ZCONSENSUSDEMAND]_x000D_
[LOCID].[].[7K10]_x000D_
[PRDID].[].[10001424]_x000D_
[KEY_FIGURES].[].[INDEPENDENTDEMAND]_x000D_
[LOCID].[].[7K10]_x000D_
[PRDID].[].[10001425]_x000D_
[KEY_FIGURES].[].[ZCONSENSUSDEMANDQTY]_x000D_
[LOCID].[].[7K10]_x000D_
[PRDID].[].[10001425]_x000D_
[KEY_FIGURES].[].[ZINPUTSOFC]_x000D_
[LOCID].[].[7K10]_x000D_
[PRDID].[].[10001425]_x000D_
[KEY_FIGURES].[].[ZFORECASTOPENOUTPUT]_x000D_
[LOCID].[].[7K10]_x000D_
[PRDID].[].[10001425]_x000D_
[KEY_FIGURES].[].[ZACTUALSALES]_x000D_
[LOCID].[].[7K10]_x000D_
[PRDID].[].[10001425]_x000D_
[KEY_FIGURES].[].[ZCONSENSUSDEMAND]_x000D_
[LOCID].[].[7K10]</t>
  </si>
  <si>
    <t>[PRDID].[].[10001425]_x000D_
[KEY_FIGURES].[].[INDEPENDENTDEMAND]_x000D_
[LOCID].[].[7K10]_x000D_
[PRDID].[].[10001426]_x000D_
[KEY_FIGURES].[].[ZCONSENSUSDEMANDQTY]_x000D_
[LOCID].[].[7K10]_x000D_
[PRDID].[].[10001426]_x000D_
[KEY_FIGURES].[].[ZINPUTSOFC]_x000D_
[LOCID].[].[7K10]_x000D_
[PRDID].[].[10001426]_x000D_
[KEY_FIGURES].[].[ZFORECASTOPENOUTPUT]_x000D_
[LOCID].[].[7K10]_x000D_
[PRDID].[].[10001426]_x000D_
[KEY_FIGURES].[].[ZACTUALSALES]_x000D_
[LOCID].[].[7K10]_x000D_
[PRDID].[].[10001426]_x000D_
[KEY_FIGURES].[].[ZCONSENSUSDEMAND]_x000D_
[LOCID].[].[7K10]_x000D_
[PRDID].[].[10001426]_x000D_
[KEY_FIGURES].[].[INDEPENDENTDEMAND]_x000D_
[LOCID].[].[7K10]_x000D_
[PRDID].[].[10001427]_x000D_
[KEY_FIGURES].[].[ZCONSENSUSDEMANDQTY]_x000D_
[LOCID].[].[7K10]_x000D_
[PRDID].[].[10001427]_x000D_
[KEY_FIGURES].[].[ZINPUTSOFC]_x000D_
[LOCID].[].[7K10]_x000D_
[PRDID].[].[10001427]_x000D_
[KEY_FIGURES].[].[ZFORECASTOPENOUTPUT]_x000D_
[LOCID].[].[7K10]_x000D_
[PRDID].[].[10001427]_x000D_
[KEY_FIGURES].[].[ZACTUALSALES]_x000D_
[LOCID].[].[7K10]_x000D_
[PRDID].[].[10001427]_x000D_
[KEY_FIGURES].[].[ZCONSENSUSDEMAND]_x000D_
[LOCID].[].[7K10]_x000D_
[PRDID].[].[10001427]_x000D_
[KEY_FIGURES].[].[INDEPENDENTDEMAND]_x000D_
[LOCID].[].[7K10]_x000D_
[PRDID].[].[10001428]_x000D_
[KEY_FIGURES].[].[ZCONSENSUSDEMANDQTY]_x000D_
[LOCID].[].[7K10]_x000D_
[PRDID].[].[10001428]_x000D_
[KEY_FIGURES].[].[ZINPUTSOFC]_x000D_
[LOCID].[].[7K10]_x000D_
[PRDID].[].[10001428]_x000D_
[KEY_FIGURES].[].[ZFORECASTOPENOUTPUT]_x000D_
[LOCID].[].[7K10]_x000D_
[PRDID].[].[10001428]_x000D_
[KEY_FIGURES].[].[ZACTUALSALES]_x000D_
[LOCID].[].[7K10]_x000D_
[PRDID].[].[10001428]_x000D_
[KEY_FIGURES].[].[ZCONSENSUSDEMAND]_x000D_
[LOCID].[].[7K10]_x000D_
[PRDID].[].[10001428]_x000D_
[KEY_FIGURES].[].[INDEPENDENTDEMAND]_x000D_
[LOCID].[].[7K10]_x000D_
[PRDID].[].[10001429]_x000D_
[KEY_FIGURES].[].[ZCONSENSUSDEMANDQTY]_x000D_
[LOCID].[].[7K10]_x000D_
[PRDID].[].[10001429]_x000D_
[KEY_FIGURES].[].[ZINPUTSOFC]_x000D_
[LOCID].[].[7K10]_x000D_
[PRDID].[].[10001429]_x000D_
[KEY_FIGURES].[].[ZFORECASTOPENOUTPUT]_x000D_
[LOCID].[].[7K10]_x000D_
[PRDID].[].[10001429]_x000D_
[KEY_FIGURES].[].[ZACTUALSALES]_x000D_
[LOCID].[].[7K10]_x000D_
[PRDID].[].[10001429]_x000D_
[KEY_FIGURES].[].[ZCONSENSUSDEMAND]_x000D_
[LOCID].[].[7K10]_x000D_
[PRDID].[].[10001429]_x000D_
[KEY_FIGURES].[].[INDEPENDENTDEMAND]_x000D_
[LOCID].[].[7K10]_x000D_
[PRDID].[].[10001430]_x000D_
[KEY_FIGURES].[].[ZCONSENSUSDEMANDQTY]_x000D_
[LOCID].[].[7K10]_x000D_
[PRDID].[].[10001430]_x000D_
[KEY_FIGURES].[].[ZINPUTSOFC]_x000D_
[LOCID].[].[7K10]_x000D_
[PRDID].[].[10001430]_x000D_
[KEY_FIGURES].[].[ZFORECASTOPENOUTPUT]_x000D_
[LOCID].[].[7K10]_x000D_
[PRDID].[].[10001430]_x000D_
[KEY_FIGURES].[].[ZACTUALSALES]_x000D_
[LOCID].[].[7K10]_x000D_
[PRDID].[].[10001430]_x000D_
[KEY_FIGURES].[].[ZCONSENSUSDEMAND]_x000D_
[LOCID].[].[7K10]_x000D_
[PRDID].[].[10001430]_x000D_
[KEY_FIGURES].[].[INDEPENDENTDEMAND]_x000D_
[LOCID].[].[7K10]_x000D_
[PRDID].[].[10001431]_x000D_
[KEY_FIGURES].[].[ZCONSENSUSDEMANDQTY]_x000D_
[LOCID].[].[7K10]_x000D_
[PRDID].[].[10001431]_x000D_
[KEY_FIGURES].[].[ZINPUTSOFC]_x000D_
[LOCID].[].[7K10]_x000D_
[PRDID].[].[10001431]_x000D_
[KEY_FIGURES].[].[ZFORECASTOPENOUTPUT]_x000D_
[LOCID].[].[7K10]_x000D_
[PRDID].[].[10001431]_x000D_
[KEY_FIGURES].[].[ZACTUALSALES]_x000D_
[LOCID].[].[7K10]_x000D_
[PRDID].[].[10001431]_x000D_
[KEY_FIGURES].[].[ZCONSENSUSDEMAND]_x000D_
[LOCID].[].[7K10]_x000D_
[PRDID].[].[10001431]_x000D_
[KEY_FIGURES].[].[INDEPENDENTDEMAND]_x000D_
[LOCID].[].[7K10]_x000D_
[PRDID].[].[10001432]_x000D_
[KEY_FIGURES].[].[ZCONSENSUSDEMANDQTY]_x000D_
[LOCID].[].[7K10]_x000D_
[PRDID].[].[10001432]_x000D_
[KEY_FIGURES].[].[ZINPUTSOFC]_x000D_
[LOCID].[].[7K10]_x000D_
[PRDID].[].[10001432]_x000D_
[KEY_FIGURES].[].[ZFORECASTOPENOUTPUT]_x000D_
[LOCID].[].[7K10]_x000D_
[PRDID].[].[10001432]_x000D_
[KEY_FIGURES].[].[ZACTUALSALES]_x000D_
[LOCID].[].[7K10]_x000D_
[PRDID].[].[10001432]_x000D_
[KEY_FIGURES].[].[ZCONSENSUSDEMAND]_x000D_
[LOCID].[].[7K10]_x000D_
[PRDID].[].[10001432]_x000D_
[KEY_FIGURES].[].[INDEPENDENTDEMAND]_x000D_
[LOCID].[].[7K10]_x000D_
[PRDID].[].[10001433]_x000D_
[KEY_FIGURES].[].[ZCONSENSUSDEMANDQTY]_x000D_
[LOCID].[].[7K10]_x000D_
[PRDID].[].[10001433]_x000D_
[KEY_FIGURES].[].[ZINPUTSOFC]_x000D_
[LOCID].[].[7K10]_x000D_
[PRDID].[].[10001433]_x000D_
[KEY_FIGURES].[].[ZFORECASTOPENOUTPUT]_x000D_
[LOCID].[].[7K10]_x000D_
[PRDID].[].[10001433]_x000D_
[KEY_FIGURES].[].[ZACTUALSALES]_x000D_
[LOCID].[].[7K10]_x000D_
[PRDID].[].[10001433]_x000D_
[KEY_FIGURES].[].[ZCONSENSUSDEMAND]_x000D_
[LOCID].[].[7K10]_x000D_
[PRDID].[].[10001433]_x000D_
[KEY_FIGURES].[].[INDEPENDENTDEMAND]_x000D_
[LOCID].[].[7K10]_x000D_
[PRDID].[].[10001434]_x000D_
[KEY_FIGURES].[].[ZCONSENSUSDEMANDQTY]_x000D_
[LOCID].[].[7K10]_x000D_
[PRDID].[].[10001434]_x000D_
[KEY_FIGURES].[].[ZINPUTSOFC]_x000D_
[LOCID].[].[7K10]_x000D_
[PRDID].[].[10001434]_x000D_
[KEY_FIGURES].[].[ZFORECASTOPENOUTPUT]_x000D_
[LOCID].[].[7K10]_x000D_
[PRDID].[].[10001434]_x000D_
[KEY_FIGURES].[].[ZACTUALSALES]_x000D_
[LOCID].[].[7K10]_x000D_
[PRDID].[].[10001434]_x000D_
[KEY_FIGURES].[].[ZCONSENSUSDEMAND]_x000D_
[LOCID].[].[7K10]_x000D_
[PRDID].[].[10001434]_x000D_
[KEY_FIGURES].[].[INDEPENDENTDEMAND]_x000D_
[LOCID].[].[7K10]_x000D_
[PRDID].[].[10001435]_x000D_
[KEY_FIGURES].[].[ZCONSENSUSDEMANDQTY]_x000D_
[LOCID].[].[7K10]_x000D_
[PRDID].[].[10001435]_x000D_
[KEY_FIGURES].[].[ZINPUTSOFC]_x000D_
[LOCID].[].[7K10]_x000D_
[PRDID].[].[10001435]_x000D_
[KEY_FIGURES].[].[ZFORECASTOPENOUTPUT]_x000D_
[LOCID].[].[7K10]_x000D_
[PRDID].[].[10001435]_x000D_
[KEY_FIGURES].[].[ZACTUALSALES]_x000D_
[LOCID].[].[7K10]_x000D_
[PRDID].[].[10001435]_x000D_
[KEY_FIGURES].[].[ZCONSENSUSDEMAND]_x000D_
[LOCID].[].[7K10]_x000D_
[PRDID].[].[10001435]_x000D_
[KEY_FIGURES].[].[INDEPENDENTDEMAND]_x000D_
[LOCID].[].[7K10]_x000D_
[PRDID].[].[10001436]_x000D_
[KEY_FIGURES].[].[ZCONSENSUSDEMANDQTY]_x000D_
[LOCID].[].[7K10]_x000D_
[PRDID].[].[10001436]_x000D_
[KEY_FIGURES].[].[ZINPUTSOFC]_x000D_
[LOCID].[].[7K10]_x000D_
[PRDID].[].[10001436]_x000D_
[KEY_FIGURES].[].[ZFORECASTOPENOUTPUT]_x000D_
[LOCID].[].[7K10]_x000D_
[PRDID].[].[10001436]_x000D_
[KEY_FIGURES].[].[ZACTUALSALES]_x000D_
[LOCID].[].[7K10]_x000D_
[PRDID].[].[10001436]_x000D_
[KEY_FIGURES].[].[ZCONSENSUSDEMAND]_x000D_
[LOCID].[].[7K10]_x000D_
[PRDID].[].[10001436]_x000D_
[KEY_FIGURES].[].[INDEPENDENTDEMAND]</t>
  </si>
  <si>
    <t>[LOCID].[].[7K10]_x000D_
[PRDID].[].[10001437]_x000D_
[KEY_FIGURES].[].[ZCONSENSUSDEMANDQTY]_x000D_
[LOCID].[].[7K10]_x000D_
[PRDID].[].[10001437]_x000D_
[KEY_FIGURES].[].[ZINPUTSOFC]_x000D_
[LOCID].[].[7K10]_x000D_
[PRDID].[].[10001437]_x000D_
[KEY_FIGURES].[].[ZFORECASTOPENOUTPUT]_x000D_
[LOCID].[].[7K10]_x000D_
[PRDID].[].[10001437]_x000D_
[KEY_FIGURES].[].[ZACTUALSALES]_x000D_
[LOCID].[].[7K10]_x000D_
[PRDID].[].[10001437]_x000D_
[KEY_FIGURES].[].[ZCONSENSUSDEMAND]_x000D_
[LOCID].[].[7K10]_x000D_
[PRDID].[].[10001437]_x000D_
[KEY_FIGURES].[].[INDEPENDENTDEMAND]_x000D_
[LOCID].[].[7K10]_x000D_
[PRDID].[].[10001438]_x000D_
[KEY_FIGURES].[].[ZCONSENSUSDEMANDQTY]_x000D_
[LOCID].[].[7K10]_x000D_
[PRDID].[].[10001438]_x000D_
[KEY_FIGURES].[].[ZINPUTSOFC]_x000D_
[LOCID].[].[7K10]_x000D_
[PRDID].[].[10001438]_x000D_
[KEY_FIGURES].[].[ZFORECASTOPENOUTPUT]_x000D_
[LOCID].[].[7K10]_x000D_
[PRDID].[].[10001438]_x000D_
[KEY_FIGURES].[].[ZACTUALSALES]_x000D_
[LOCID].[].[7K10]_x000D_
[PRDID].[].[10001438]_x000D_
[KEY_FIGURES].[].[ZCONSENSUSDEMAND]_x000D_
[LOCID].[].[7K10]_x000D_
[PRDID].[].[10001438]_x000D_
[KEY_FIGURES].[].[INDEPENDENTDEMAND]_x000D_
[LOCID].[].[7K10]_x000D_
[PRDID].[].[10001439]_x000D_
[KEY_FIGURES].[].[ZCONSENSUSDEMANDQTY]_x000D_
[LOCID].[].[7K10]_x000D_
[PRDID].[].[10001439]_x000D_
[KEY_FIGURES].[].[ZINPUTSOFC]_x000D_
[LOCID].[].[7K10]_x000D_
[PRDID].[].[10001439]_x000D_
[KEY_FIGURES].[].[ZFORECASTOPENOUTPUT]_x000D_
[LOCID].[].[7K10]_x000D_
[PRDID].[].[10001439]_x000D_
[KEY_FIGURES].[].[ZACTUALSALES]_x000D_
[LOCID].[].[7K10]_x000D_
[PRDID].[].[10001439]_x000D_
[KEY_FIGURES].[].[ZCONSENSUSDEMAND]_x000D_
[LOCID].[].[7K10]_x000D_
[PRDID].[].[10001439]_x000D_
[KEY_FIGURES].[].[INDEPENDENTDEMAND]_x000D_
[LOCID].[].[7K10]_x000D_
[PRDID].[].[10001440]_x000D_
[KEY_FIGURES].[].[ZCONSENSUSDEMANDQTY]_x000D_
[LOCID].[].[7K10]_x000D_
[PRDID].[].[10001440]_x000D_
[KEY_FIGURES].[].[ZINPUTSOFC]_x000D_
[LOCID].[].[7K10]_x000D_
[PRDID].[].[10001440]_x000D_
[KEY_FIGURES].[].[ZFORECASTOPENOUTPUT]_x000D_
[LOCID].[].[7K10]_x000D_
[PRDID].[].[10001440]_x000D_
[KEY_FIGURES].[].[ZACTUALSALES]_x000D_
[LOCID].[].[7K10]_x000D_
[PRDID].[].[10001440]_x000D_
[KEY_FIGURES].[].[ZCONSENSUSDEMAND]_x000D_
[LOCID].[].[7K10]_x000D_
[PRDID].[].[10001440]_x000D_
[KEY_FIGURES].[].[INDEPENDENTDEMAND]_x000D_
[LOCID].[].[7K10]_x000D_
[PRDID].[].[10001441]_x000D_
[KEY_FIGURES].[].[ZCONSENSUSDEMANDQTY]_x000D_
[LOCID].[].[7K10]_x000D_
[PRDID].[].[10001441]_x000D_
[KEY_FIGURES].[].[ZINPUTSOFC]_x000D_
[LOCID].[].[7K10]_x000D_
[PRDID].[].[10001441]_x000D_
[KEY_FIGURES].[].[ZFORECASTOPENOUTPUT]_x000D_
[LOCID].[].[7K10]_x000D_
[PRDID].[].[10001441]_x000D_
[KEY_FIGURES].[].[ZACTUALSALES]_x000D_
[LOCID].[].[7K10]_x000D_
[PRDID].[].[10001441]_x000D_
[KEY_FIGURES].[].[ZCONSENSUSDEMAND]_x000D_
[LOCID].[].[7K10]_x000D_
[PRDID].[].[10001441]_x000D_
[KEY_FIGURES].[].[INDEPENDENTDEMAND]_x000D_
[LOCID].[].[7K10]_x000D_
[PRDID].[].[10001442]_x000D_
[KEY_FIGURES].[].[ZCONSENSUSDEMANDQTY]_x000D_
[LOCID].[].[7K10]_x000D_
[PRDID].[].[10001442]_x000D_
[KEY_FIGURES].[].[ZINPUTSOFC]_x000D_
[LOCID].[].[7K10]_x000D_
[PRDID].[].[10001442]_x000D_
[KEY_FIGURES].[].[ZFORECASTOPENOUTPUT]_x000D_
[LOCID].[].[7K10]_x000D_
[PRDID].[].[10001442]_x000D_
[KEY_FIGURES].[].[ZACTUALSALES]_x000D_
[LOCID].[].[7K10]_x000D_
[PRDID].[].[10001442]_x000D_
[KEY_FIGURES].[].[ZCONSENSUSDEMAND]_x000D_
[LOCID].[].[7K10]_x000D_
[PRDID].[].[10001442]_x000D_
[KEY_FIGURES].[].[INDEPENDENTDEMAND]_x000D_
[LOCID].[].[7K10]_x000D_
[PRDID].[].[10001443]_x000D_
[KEY_FIGURES].[].[ZCONSENSUSDEMANDQTY]_x000D_
[LOCID].[].[7K10]_x000D_
[PRDID].[].[10001443]_x000D_
[KEY_FIGURES].[].[ZINPUTSOFC]_x000D_
[LOCID].[].[7K10]_x000D_
[PRDID].[].[10001443]_x000D_
[KEY_FIGURES].[].[ZFORECASTOPENOUTPUT]_x000D_
[LOCID].[].[7K10]_x000D_
[PRDID].[].[10001443]_x000D_
[KEY_FIGURES].[].[ZACTUALSALES]_x000D_
[LOCID].[].[7K10]_x000D_
[PRDID].[].[10001443]_x000D_
[KEY_FIGURES].[].[ZCONSENSUSDEMAND]_x000D_
[LOCID].[].[7K10]_x000D_
[PRDID].[].[10001443]_x000D_
[KEY_FIGURES].[].[INDEPENDENTDEMAND]_x000D_
[LOCID].[].[7K10]_x000D_
[PRDID].[].[10001444]_x000D_
[KEY_FIGURES].[].[ZCONSENSUSDEMANDQTY]_x000D_
[LOCID].[].[7K10]_x000D_
[PRDID].[].[10001444]_x000D_
[KEY_FIGURES].[].[ZINPUTSOFC]_x000D_
[LOCID].[].[7K10]_x000D_
[PRDID].[].[10001444]_x000D_
[KEY_FIGURES].[].[ZFORECASTOPENOUTPUT]_x000D_
[LOCID].[].[7K10]_x000D_
[PRDID].[].[10001444]_x000D_
[KEY_FIGURES].[].[ZACTUALSALES]_x000D_
[LOCID].[].[7K10]_x000D_
[PRDID].[].[10001444]_x000D_
[KEY_FIGURES].[].[ZCONSENSUSDEMAND]_x000D_
[LOCID].[].[7K10]_x000D_
[PRDID].[].[10001444]_x000D_
[KEY_FIGURES].[].[INDEPENDENTDEMAND]_x000D_
[LOCID].[].[7K10]_x000D_
[PRDID].[].[10001445]_x000D_
[KEY_FIGURES].[].[ZCONSENSUSDEMANDQTY]_x000D_
[LOCID].[].[7K10]_x000D_
[PRDID].[].[10001445]_x000D_
[KEY_FIGURES].[].[ZINPUTSOFC]_x000D_
[LOCID].[].[7K10]_x000D_
[PRDID].[].[10001445]_x000D_
[KEY_FIGURES].[].[ZFORECASTOPENOUTPUT]_x000D_
[LOCID].[].[7K10]_x000D_
[PRDID].[].[10001445]_x000D_
[KEY_FIGURES].[].[ZACTUALSALES]_x000D_
[LOCID].[].[7K10]_x000D_
[PRDID].[].[10001445]_x000D_
[KEY_FIGURES].[].[ZCONSENSUSDEMAND]_x000D_
[LOCID].[].[7K10]_x000D_
[PRDID].[].[10001445]_x000D_
[KEY_FIGURES].[].[INDEPENDENTDEMAND]_x000D_
[LOCID].[].[7K10]_x000D_
[PRDID].[].[10001446]_x000D_
[KEY_FIGURES].[].[ZCONSENSUSDEMANDQTY]_x000D_
[LOCID].[].[7K10]_x000D_
[PRDID].[].[10001446]_x000D_
[KEY_FIGURES].[].[ZINPUTSOFC]_x000D_
[LOCID].[].[7K10]_x000D_
[PRDID].[].[10001446]_x000D_
[KEY_FIGURES].[].[ZFORECASTOPENOUTPUT]_x000D_
[LOCID].[].[7K10]_x000D_
[PRDID].[].[10001446]_x000D_
[KEY_FIGURES].[].[ZACTUALSALES]_x000D_
[LOCID].[].[7K10]_x000D_
[PRDID].[].[10001446]_x000D_
[KEY_FIGURES].[].[ZCONSENSUSDEMAND]_x000D_
[LOCID].[].[7K10]_x000D_
[PRDID].[].[10001446]_x000D_
[KEY_FIGURES].[].[INDEPENDENTDEMAND]_x000D_
[LOCID].[].[7K10]_x000D_
[PRDID].[].[10001447]_x000D_
[KEY_FIGURES].[].[ZCONSENSUSDEMANDQTY]_x000D_
[LOCID].[].[7K10]_x000D_
[PRDID].[].[10001447]_x000D_
[KEY_FIGURES].[].[ZINPUTSOFC]_x000D_
[LOCID].[].[7K10]_x000D_
[PRDID].[].[10001447]_x000D_
[KEY_FIGURES].[].[ZFORECASTOPENOUTPUT]_x000D_
[LOCID].[].[7K10]_x000D_
[PRDID].[].[10001447]_x000D_
[KEY_FIGURES].[].[ZACTUALSALES]_x000D_
[LOCID].[].[7K10]_x000D_
[PRDID].[].[10001447]_x000D_
[KEY_FIGURES].[].[ZCONSENSUSDEMAND]_x000D_
[LOCID].[].[7K10]_x000D_
[PRDID].[].[10001447]_x000D_
[KEY_FIGURES].[].[INDEPENDENTDEMAND]_x000D_
[LOCID].[].[7K10]_x000D_
[PRDID].[].[10001448]</t>
  </si>
  <si>
    <t>[KEY_FIGURES].[].[ZCONSENSUSDEMANDQTY]_x000D_
[LOCID].[].[7K10]_x000D_
[PRDID].[].[10001448]_x000D_
[KEY_FIGURES].[].[ZINPUTSOFC]_x000D_
[LOCID].[].[7K10]_x000D_
[PRDID].[].[10001448]_x000D_
[KEY_FIGURES].[].[ZFORECASTOPENOUTPUT]_x000D_
[LOCID].[].[7K10]_x000D_
[PRDID].[].[10001448]_x000D_
[KEY_FIGURES].[].[ZACTUALSALES]_x000D_
[LOCID].[].[7K10]_x000D_
[PRDID].[].[10001448]_x000D_
[KEY_FIGURES].[].[ZCONSENSUSDEMAND]_x000D_
[LOCID].[].[7K10]_x000D_
[PRDID].[].[10001448]_x000D_
[KEY_FIGURES].[].[INDEPENDENTDEMAND]_x000D_
[LOCID].[].[7K10]_x000D_
[PRDID].[].[10001449]_x000D_
[KEY_FIGURES].[].[ZCONSENSUSDEMANDQTY]_x000D_
[LOCID].[].[7K10]_x000D_
[PRDID].[].[10001449]_x000D_
[KEY_FIGURES].[].[ZINPUTSOFC]_x000D_
[LOCID].[].[7K10]_x000D_
[PRDID].[].[10001449]_x000D_
[KEY_FIGURES].[].[ZFORECASTOPENOUTPUT]_x000D_
[LOCID].[].[7K10]_x000D_
[PRDID].[].[10001449]_x000D_
[KEY_FIGURES].[].[ZACTUALSALES]_x000D_
[LOCID].[].[7K10]_x000D_
[PRDID].[].[10001449]_x000D_
[KEY_FIGURES].[].[ZCONSENSUSDEMAND]_x000D_
[LOCID].[].[7K10]_x000D_
[PRDID].[].[10001449]_x000D_
[KEY_FIGURES].[].[INDEPENDENTDEMAND]_x000D_
[LOCID].[].[7K10]_x000D_
[PRDID].[].[10001450]_x000D_
[KEY_FIGURES].[].[ZCONSENSUSDEMANDQTY]_x000D_
[LOCID].[].[7K10]_x000D_
[PRDID].[].[10001450]_x000D_
[KEY_FIGURES].[].[ZINPUTSOFC]_x000D_
[LOCID].[].[7K10]_x000D_
[PRDID].[].[10001450]_x000D_
[KEY_FIGURES].[].[ZFORECASTOPENOUTPUT]_x000D_
[LOCID].[].[7K10]_x000D_
[PRDID].[].[10001450]_x000D_
[KEY_FIGURES].[].[ZACTUALSALES]_x000D_
[LOCID].[].[7K10]_x000D_
[PRDID].[].[10001450]_x000D_
[KEY_FIGURES].[].[ZCONSENSUSDEMAND]_x000D_
[LOCID].[].[7K10]_x000D_
[PRDID].[].[10001450]_x000D_
[KEY_FIGURES].[].[INDEPENDENTDEMAND]_x000D_
[LOCID].[].[7K10]_x000D_
[PRDID].[].[10001451]_x000D_
[KEY_FIGURES].[].[ZCONSENSUSDEMANDQTY]_x000D_
[LOCID].[].[7K10]_x000D_
[PRDID].[].[10001451]_x000D_
[KEY_FIGURES].[].[ZINPUTSOFC]_x000D_
[LOCID].[].[7K10]_x000D_
[PRDID].[].[10001451]_x000D_
[KEY_FIGURES].[].[ZFORECASTOPENOUTPUT]_x000D_
[LOCID].[].[7K10]_x000D_
[PRDID].[].[10001451]_x000D_
[KEY_FIGURES].[].[ZACTUALSALES]_x000D_
[LOCID].[].[7K10]_x000D_
[PRDID].[].[10001451]_x000D_
[KEY_FIGURES].[].[ZCONSENSUSDEMAND]_x000D_
[LOCID].[].[7K10]_x000D_
[PRDID].[].[10001451]_x000D_
[KEY_FIGURES].[].[INDEPENDENTDEMAND]_x000D_
[LOCID].[].[7K10]_x000D_
[PRDID].[].[10001452]_x000D_
[KEY_FIGURES].[].[ZCONSENSUSDEMANDQTY]_x000D_
[LOCID].[].[7K10]_x000D_
[PRDID].[].[10001452]_x000D_
[KEY_FIGURES].[].[ZINPUTSOFC]_x000D_
[LOCID].[].[7K10]_x000D_
[PRDID].[].[10001452]_x000D_
[KEY_FIGURES].[].[ZFORECASTOPENOUTPUT]_x000D_
[LOCID].[].[7K10]_x000D_
[PRDID].[].[10001452]_x000D_
[KEY_FIGURES].[].[ZACTUALSALES]_x000D_
[LOCID].[].[7K10]_x000D_
[PRDID].[].[10001452]_x000D_
[KEY_FIGURES].[].[ZCONSENSUSDEMAND]_x000D_
[LOCID].[].[7K10]_x000D_
[PRDID].[].[10001452]_x000D_
[KEY_FIGURES].[].[INDEPENDENTDEMAND]_x000D_
[LOCID].[].[7K10]_x000D_
[PRDID].[].[10001453]_x000D_
[KEY_FIGURES].[].[ZCONSENSUSDEMANDQTY]_x000D_
[LOCID].[].[7K10]_x000D_
[PRDID].[].[10001453]_x000D_
[KEY_FIGURES].[].[ZINPUTSOFC]_x000D_
[LOCID].[].[7K10]_x000D_
[PRDID].[].[10001453]_x000D_
[KEY_FIGURES].[].[ZFORECASTOPENOUTPUT]_x000D_
[LOCID].[].[7K10]_x000D_
[PRDID].[].[10001453]_x000D_
[KEY_FIGURES].[].[ZACTUALSALES]_x000D_
[LOCID].[].[7K10]_x000D_
[PRDID].[].[10001453]_x000D_
[KEY_FIGURES].[].[ZCONSENSUSDEMAND]_x000D_
[LOCID].[].[7K10]_x000D_
[PRDID].[].[10001453]_x000D_
[KEY_FIGURES].[].[INDEPENDENTDEMAND]_x000D_
[LOCID].[].[7K10]_x000D_
[PRDID].[].[10001454]_x000D_
[KEY_FIGURES].[].[ZCONSENSUSDEMANDQTY]_x000D_
[LOCID].[].[7K10]_x000D_
[PRDID].[].[10001454]_x000D_
[KEY_FIGURES].[].[ZINPUTSOFC]_x000D_
[LOCID].[].[7K10]_x000D_
[PRDID].[].[10001454]_x000D_
[KEY_FIGURES].[].[ZFORECASTOPENOUTPUT]_x000D_
[LOCID].[].[7K10]_x000D_
[PRDID].[].[10001454]_x000D_
[KEY_FIGURES].[].[ZACTUALSALES]_x000D_
[LOCID].[].[7K10]_x000D_
[PRDID].[].[10001454]_x000D_
[KEY_FIGURES].[].[ZCONSENSUSDEMAND]_x000D_
[LOCID].[].[7K10]_x000D_
[PRDID].[].[10001454]_x000D_
[KEY_FIGURES].[].[INDEPENDENTDEMAND]_x000D_
[LOCID].[].[7K10]_x000D_
[PRDID].[].[10001455]_x000D_
[KEY_FIGURES].[].[ZCONSENSUSDEMANDQTY]_x000D_
[LOCID].[].[7K10]_x000D_
[PRDID].[].[10001455]_x000D_
[KEY_FIGURES].[].[ZINPUTSOFC]_x000D_
[LOCID].[].[7K10]_x000D_
[PRDID].[].[10001455]_x000D_
[KEY_FIGURES].[].[ZFORECASTOPENOUTPUT]_x000D_
[LOCID].[].[7K10]_x000D_
[PRDID].[].[10001455]_x000D_
[KEY_FIGURES].[].[ZACTUALSALES]_x000D_
[LOCID].[].[7K10]_x000D_
[PRDID].[].[10001455]_x000D_
[KEY_FIGURES].[].[ZCONSENSUSDEMAND]_x000D_
[LOCID].[].[7K10]_x000D_
[PRDID].[].[10001455]_x000D_
[KEY_FIGURES].[].[INDEPENDENTDEMAND]_x000D_
[LOCID].[].[7K10]_x000D_
[PRDID].[].[10001456]_x000D_
[KEY_FIGURES].[].[ZCONSENSUSDEMANDQTY]_x000D_
[LOCID].[].[7K10]_x000D_
[PRDID].[].[10001456]_x000D_
[KEY_FIGURES].[].[ZINPUTSOFC]_x000D_
[LOCID].[].[7K10]_x000D_
[PRDID].[].[10001456]_x000D_
[KEY_FIGURES].[].[ZFORECASTOPENOUTPUT]_x000D_
[LOCID].[].[7K10]_x000D_
[PRDID].[].[10001456]_x000D_
[KEY_FIGURES].[].[ZACTUALSALES]_x000D_
[LOCID].[].[7K10]_x000D_
[PRDID].[].[10001456]_x000D_
[KEY_FIGURES].[].[ZCONSENSUSDEMAND]_x000D_
[LOCID].[].[7K10]_x000D_
[PRDID].[].[10001456]_x000D_
[KEY_FIGURES].[].[INDEPENDENTDEMAND]_x000D_
[LOCID].[].[7K10]_x000D_
[PRDID].[].[10001457]_x000D_
[KEY_FIGURES].[].[ZCONSENSUSDEMANDQTY]_x000D_
[LOCID].[].[7K10]_x000D_
[PRDID].[].[10001457]_x000D_
[KEY_FIGURES].[].[ZINPUTSOFC]_x000D_
[LOCID].[].[7K10]_x000D_
[PRDID].[].[10001457]_x000D_
[KEY_FIGURES].[].[ZFORECASTOPENOUTPUT]_x000D_
[LOCID].[].[7K10]_x000D_
[PRDID].[].[10001457]_x000D_
[KEY_FIGURES].[].[ZACTUALSALES]_x000D_
[LOCID].[].[7K10]_x000D_
[PRDID].[].[10001457]_x000D_
[KEY_FIGURES].[].[ZCONSENSUSDEMAND]_x000D_
[LOCID].[].[7K10]_x000D_
[PRDID].[].[10001457]_x000D_
[KEY_FIGURES].[].[INDEPENDENTDEMAND]_x000D_
[LOCID].[].[7K10]_x000D_
[PRDID].[].[10001458]_x000D_
[KEY_FIGURES].[].[ZCONSENSUSDEMANDQTY]_x000D_
[LOCID].[].[7K10]_x000D_
[PRDID].[].[10001458]_x000D_
[KEY_FIGURES].[].[ZINPUTSOFC]_x000D_
[LOCID].[].[7K10]_x000D_
[PRDID].[].[10001458]_x000D_
[KEY_FIGURES].[].[ZFORECASTOPENOUTPUT]_x000D_
[LOCID].[].[7K10]_x000D_
[PRDID].[].[10001458]_x000D_
[KEY_FIGURES].[].[ZACTUALSALES]_x000D_
[LOCID].[].[7K10]_x000D_
[PRDID].[].[10001458]_x000D_
[KEY_FIGURES].[].[ZCONSENSUSDEMAND]_x000D_
[LOCID].[].[7K10]_x000D_
[PRDID].[].[10001458]_x000D_
[KEY_FIGURES].[].[INDEPENDENTDEMAND]_x000D_
[LOCID].[].[7K10]_x000D_
[PRDID].[].[10001459]_x000D_
[KEY_FIGURES].[].[ZCONSENSUSDEMANDQTY]_x000D_
[LOCID].[].[7K10]</t>
  </si>
  <si>
    <t>[PRDID].[].[10001459]_x000D_
[KEY_FIGURES].[].[ZINPUTSOFC]_x000D_
[LOCID].[].[7K10]_x000D_
[PRDID].[].[10001459]_x000D_
[KEY_FIGURES].[].[ZFORECASTOPENOUTPUT]_x000D_
[LOCID].[].[7K10]_x000D_
[PRDID].[].[10001459]_x000D_
[KEY_FIGURES].[].[ZACTUALSALES]_x000D_
[LOCID].[].[7K10]_x000D_
[PRDID].[].[10001459]_x000D_
[KEY_FIGURES].[].[ZCONSENSUSDEMAND]_x000D_
[LOCID].[].[7K10]_x000D_
[PRDID].[].[10001459]_x000D_
[KEY_FIGURES].[].[INDEPENDENTDEMAND]_x000D_
[LOCID].[].[7K10]_x000D_
[PRDID].[].[10001460]_x000D_
[KEY_FIGURES].[].[ZCONSENSUSDEMANDQTY]_x000D_
[LOCID].[].[7K10]_x000D_
[PRDID].[].[10001460]_x000D_
[KEY_FIGURES].[].[ZINPUTSOFC]_x000D_
[LOCID].[].[7K10]_x000D_
[PRDID].[].[10001460]_x000D_
[KEY_FIGURES].[].[ZFORECASTOPENOUTPUT]_x000D_
[LOCID].[].[7K10]_x000D_
[PRDID].[].[10001460]_x000D_
[KEY_FIGURES].[].[ZACTUALSALES]_x000D_
[LOCID].[].[7K10]_x000D_
[PRDID].[].[10001460]_x000D_
[KEY_FIGURES].[].[ZCONSENSUSDEMAND]_x000D_
[LOCID].[].[7K10]_x000D_
[PRDID].[].[10001460]_x000D_
[KEY_FIGURES].[].[INDEPENDENTDEMAND]_x000D_
[LOCID].[].[7K10]_x000D_
[PRDID].[].[10001461]_x000D_
[KEY_FIGURES].[].[ZCONSENSUSDEMANDQTY]_x000D_
[LOCID].[].[7K10]_x000D_
[PRDID].[].[10001461]_x000D_
[KEY_FIGURES].[].[ZINPUTSOFC]_x000D_
[LOCID].[].[7K10]_x000D_
[PRDID].[].[10001461]_x000D_
[KEY_FIGURES].[].[ZFORECASTOPENOUTPUT]_x000D_
[LOCID].[].[7K10]_x000D_
[PRDID].[].[10001461]_x000D_
[KEY_FIGURES].[].[ZACTUALSALES]_x000D_
[LOCID].[].[7K10]_x000D_
[PRDID].[].[10001461]_x000D_
[KEY_FIGURES].[].[ZCONSENSUSDEMAND]_x000D_
[LOCID].[].[7K10]_x000D_
[PRDID].[].[10001461]_x000D_
[KEY_FIGURES].[].[INDEPENDENTDEMAND]_x000D_
[LOCID].[].[7K10]_x000D_
[PRDID].[].[10001462]_x000D_
[KEY_FIGURES].[].[ZCONSENSUSDEMANDQTY]_x000D_
[LOCID].[].[7K10]_x000D_
[PRDID].[].[10001462]_x000D_
[KEY_FIGURES].[].[ZINPUTSOFC]_x000D_
[LOCID].[].[7K10]_x000D_
[PRDID].[].[10001462]_x000D_
[KEY_FIGURES].[].[ZFORECASTOPENOUTPUT]_x000D_
[LOCID].[].[7K10]_x000D_
[PRDID].[].[10001462]_x000D_
[KEY_FIGURES].[].[ZACTUALSALES]_x000D_
[LOCID].[].[7K10]_x000D_
[PRDID].[].[10001462]_x000D_
[KEY_FIGURES].[].[ZCONSENSUSDEMAND]_x000D_
[LOCID].[].[7K10]_x000D_
[PRDID].[].[10001462]_x000D_
[KEY_FIGURES].[].[INDEPENDENTDEMAND]_x000D_
[LOCID].[].[7K10]_x000D_
[PRDID].[].[10001463]_x000D_
[KEY_FIGURES].[].[ZCONSENSUSDEMANDQTY]_x000D_
[LOCID].[].[7K10]_x000D_
[PRDID].[].[10001463]_x000D_
[KEY_FIGURES].[].[ZINPUTSOFC]_x000D_
[LOCID].[].[7K10]_x000D_
[PRDID].[].[10001463]_x000D_
[KEY_FIGURES].[].[ZFORECASTOPENOUTPUT]_x000D_
[LOCID].[].[7K10]_x000D_
[PRDID].[].[10001463]_x000D_
[KEY_FIGURES].[].[ZACTUALSALES]_x000D_
[LOCID].[].[7K10]_x000D_
[PRDID].[].[10001463]_x000D_
[KEY_FIGURES].[].[ZCONSENSUSDEMAND]_x000D_
[LOCID].[].[7K10]_x000D_
[PRDID].[].[10001463]_x000D_
[KEY_FIGURES].[].[INDEPENDENTDEMAND]_x000D_
[LOCID].[].[7K10]_x000D_
[PRDID].[].[10001464]_x000D_
[KEY_FIGURES].[].[ZCONSENSUSDEMANDQTY]_x000D_
[LOCID].[].[7K10]_x000D_
[PRDID].[].[10001464]_x000D_
[KEY_FIGURES].[].[ZINPUTSOFC]_x000D_
[LOCID].[].[7K10]_x000D_
[PRDID].[].[10001464]_x000D_
[KEY_FIGURES].[].[ZFORECASTOPENOUTPUT]_x000D_
[LOCID].[].[7K10]_x000D_
[PRDID].[].[10001464]_x000D_
[KEY_FIGURES].[].[ZACTUALSALES]_x000D_
[LOCID].[].[7K10]_x000D_
[PRDID].[].[10001464]_x000D_
[KEY_FIGURES].[].[ZCONSENSUSDEMAND]_x000D_
[LOCID].[].[7K10]_x000D_
[PRDID].[].[10001464]_x000D_
[KEY_FIGURES].[].[INDEPENDENTDEMAND]_x000D_
[LOCID].[].[7K10]_x000D_
[PRDID].[].[10001465]_x000D_
[KEY_FIGURES].[].[ZCONSENSUSDEMANDQTY]_x000D_
[LOCID].[].[7K10]_x000D_
[PRDID].[].[10001465]_x000D_
[KEY_FIGURES].[].[ZINPUTSOFC]_x000D_
[LOCID].[].[7K10]_x000D_
[PRDID].[].[10001465]_x000D_
[KEY_FIGURES].[].[ZFORECASTOPENOUTPUT]_x000D_
[LOCID].[].[7K10]_x000D_
[PRDID].[].[10001465]_x000D_
[KEY_FIGURES].[].[ZACTUALSALES]_x000D_
[LOCID].[].[7K10]_x000D_
[PRDID].[].[10001465]_x000D_
[KEY_FIGURES].[].[ZCONSENSUSDEMAND]_x000D_
[LOCID].[].[7K10]_x000D_
[PRDID].[].[10001465]_x000D_
[KEY_FIGURES].[].[INDEPENDENTDEMAND]_x000D_
[LOCID].[].[7K10]_x000D_
[PRDID].[].[10001466]_x000D_
[KEY_FIGURES].[].[ZCONSENSUSDEMANDQTY]_x000D_
[LOCID].[].[7K10]_x000D_
[PRDID].[].[10001466]_x000D_
[KEY_FIGURES].[].[ZINPUTSOFC]_x000D_
[LOCID].[].[7K10]_x000D_
[PRDID].[].[10001466]_x000D_
[KEY_FIGURES].[].[ZFORECASTOPENOUTPUT]_x000D_
[LOCID].[].[7K10]_x000D_
[PRDID].[].[10001466]_x000D_
[KEY_FIGURES].[].[ZACTUALSALES]_x000D_
[LOCID].[].[7K10]_x000D_
[PRDID].[].[10001466]_x000D_
[KEY_FIGURES].[].[ZCONSENSUSDEMAND]_x000D_
[LOCID].[].[7K10]_x000D_
[PRDID].[].[10001466]_x000D_
[KEY_FIGURES].[].[INDEPENDENTDEMAND]_x000D_
[LOCID].[].[7K10]_x000D_
[PRDID].[].[10001467]_x000D_
[KEY_FIGURES].[].[ZCONSENSUSDEMANDQTY]_x000D_
[LOCID].[].[7K10]_x000D_
[PRDID].[].[10001467]_x000D_
[KEY_FIGURES].[].[ZINPUTSOFC]_x000D_
[LOCID].[].[7K10]_x000D_
[PRDID].[].[10001467]_x000D_
[KEY_FIGURES].[].[ZFORECASTOPENOUTPUT]_x000D_
[LOCID].[].[7K10]_x000D_
[PRDID].[].[10001467]_x000D_
[KEY_FIGURES].[].[ZACTUALSALES]_x000D_
[LOCID].[].[7K10]_x000D_
[PRDID].[].[10001467]_x000D_
[KEY_FIGURES].[].[ZCONSENSUSDEMAND]_x000D_
[LOCID].[].[7K10]_x000D_
[PRDID].[].[10001467]_x000D_
[KEY_FIGURES].[].[INDEPENDENTDEMAND]_x000D_
[LOCID].[].[7K10]_x000D_
[PRDID].[].[10001468]_x000D_
[KEY_FIGURES].[].[ZCONSENSUSDEMANDQTY]_x000D_
[LOCID].[].[7K10]_x000D_
[PRDID].[].[10001468]_x000D_
[KEY_FIGURES].[].[ZINPUTSOFC]_x000D_
[LOCID].[].[7K10]_x000D_
[PRDID].[].[10001468]_x000D_
[KEY_FIGURES].[].[ZFORECASTOPENOUTPUT]_x000D_
[LOCID].[].[7K10]_x000D_
[PRDID].[].[10001468]_x000D_
[KEY_FIGURES].[].[ZACTUALSALES]_x000D_
[LOCID].[].[7K10]_x000D_
[PRDID].[].[10001468]_x000D_
[KEY_FIGURES].[].[ZCONSENSUSDEMAND]_x000D_
[LOCID].[].[7K10]_x000D_
[PRDID].[].[10001468]_x000D_
[KEY_FIGURES].[].[INDEPENDENTDEMAND]_x000D_
[LOCID].[].[7K10]_x000D_
[PRDID].[].[10001469]_x000D_
[KEY_FIGURES].[].[ZCONSENSUSDEMANDQTY]_x000D_
[LOCID].[].[7K10]_x000D_
[PRDID].[].[10001469]_x000D_
[KEY_FIGURES].[].[ZINPUTSOFC]_x000D_
[LOCID].[].[7K10]_x000D_
[PRDID].[].[10001469]_x000D_
[KEY_FIGURES].[].[ZFORECASTOPENOUTPUT]_x000D_
[LOCID].[].[7K10]_x000D_
[PRDID].[].[10001469]_x000D_
[KEY_FIGURES].[].[ZACTUALSALES]_x000D_
[LOCID].[].[7K10]_x000D_
[PRDID].[].[10001469]_x000D_
[KEY_FIGURES].[].[ZCONSENSUSDEMAND]_x000D_
[LOCID].[].[7K10]_x000D_
[PRDID].[].[10001469]_x000D_
[KEY_FIGURES].[].[INDEPENDENTDEMAND]_x000D_
[LOCID].[].[7K10]_x000D_
[PRDID].[].[10001470]_x000D_
[KEY_FIGURES].[].[ZCONSENSUSDEMANDQTY]_x000D_
[LOCID].[].[7K10]_x000D_
[PRDID].[].[10001470]_x000D_
[KEY_FIGURES].[].[ZINPUTSOFC]</t>
  </si>
  <si>
    <t>[LOCID].[].[7K10]_x000D_
[PRDID].[].[10001470]_x000D_
[KEY_FIGURES].[].[ZFORECASTOPENOUTPUT]_x000D_
[LOCID].[].[7K10]_x000D_
[PRDID].[].[10001470]_x000D_
[KEY_FIGURES].[].[ZACTUALSALES]_x000D_
[LOCID].[].[7K10]_x000D_
[PRDID].[].[10001470]_x000D_
[KEY_FIGURES].[].[ZCONSENSUSDEMAND]_x000D_
[LOCID].[].[7K10]_x000D_
[PRDID].[].[10001470]_x000D_
[KEY_FIGURES].[].[INDEPENDENTDEMAND]_x000D_
[LOCID].[].[7K10]_x000D_
[PRDID].[].[10001471]_x000D_
[KEY_FIGURES].[].[ZCONSENSUSDEMANDQTY]_x000D_
[LOCID].[].[7K10]_x000D_
[PRDID].[].[10001471]_x000D_
[KEY_FIGURES].[].[ZINPUTSOFC]_x000D_
[LOCID].[].[7K10]_x000D_
[PRDID].[].[10001471]_x000D_
[KEY_FIGURES].[].[ZFORECASTOPENOUTPUT]_x000D_
[LOCID].[].[7K10]_x000D_
[PRDID].[].[10001471]_x000D_
[KEY_FIGURES].[].[ZACTUALSALES]_x000D_
[LOCID].[].[7K10]_x000D_
[PRDID].[].[10001471]_x000D_
[KEY_FIGURES].[].[ZCONSENSUSDEMAND]_x000D_
[LOCID].[].[7K10]_x000D_
[PRDID].[].[10001471]_x000D_
[KEY_FIGURES].[].[INDEPENDENTDEMAND]_x000D_
[LOCID].[].[7K10]_x000D_
[PRDID].[].[10001472]_x000D_
[KEY_FIGURES].[].[ZCONSENSUSDEMANDQTY]_x000D_
[LOCID].[].[7K10]_x000D_
[PRDID].[].[10001472]_x000D_
[KEY_FIGURES].[].[ZINPUTSOFC]_x000D_
[LOCID].[].[7K10]_x000D_
[PRDID].[].[10001472]_x000D_
[KEY_FIGURES].[].[ZFORECASTOPENOUTPUT]_x000D_
[LOCID].[].[7K10]_x000D_
[PRDID].[].[10001472]_x000D_
[KEY_FIGURES].[].[ZACTUALSALES]_x000D_
[LOCID].[].[7K10]_x000D_
[PRDID].[].[10001472]_x000D_
[KEY_FIGURES].[].[ZCONSENSUSDEMAND]_x000D_
[LOCID].[].[7K10]_x000D_
[PRDID].[].[10001472]_x000D_
[KEY_FIGURES].[].[INDEPENDENTDEMAND]_x000D_
[LOCID].[].[7K10]_x000D_
[PRDID].[].[10001473]_x000D_
[KEY_FIGURES].[].[ZCONSENSUSDEMANDQTY]_x000D_
[LOCID].[].[7K10]_x000D_
[PRDID].[].[10001473]_x000D_
[KEY_FIGURES].[].[ZINPUTSOFC]_x000D_
[LOCID].[].[7K10]_x000D_
[PRDID].[].[10001473]_x000D_
[KEY_FIGURES].[].[ZFORECASTOPENOUTPUT]_x000D_
[LOCID].[].[7K10]_x000D_
[PRDID].[].[10001473]_x000D_
[KEY_FIGURES].[].[ZACTUALSALES]_x000D_
[LOCID].[].[7K10]_x000D_
[PRDID].[].[10001473]_x000D_
[KEY_FIGURES].[].[ZCONSENSUSDEMAND]_x000D_
[LOCID].[].[7K10]_x000D_
[PRDID].[].[10001473]_x000D_
[KEY_FIGURES].[].[INDEPENDENTDEMAND]_x000D_
[LOCID].[].[7K10]_x000D_
[PRDID].[].[10001474]_x000D_
[KEY_FIGURES].[].[ZCONSENSUSDEMANDQTY]_x000D_
[LOCID].[].[7K10]_x000D_
[PRDID].[].[10001474]_x000D_
[KEY_FIGURES].[].[ZINPUTSOFC]_x000D_
[LOCID].[].[7K10]_x000D_
[PRDID].[].[10001474]_x000D_
[KEY_FIGURES].[].[ZFORECASTOPENOUTPUT]_x000D_
[LOCID].[].[7K10]_x000D_
[PRDID].[].[10001474]_x000D_
[KEY_FIGURES].[].[ZACTUALSALES]_x000D_
[LOCID].[].[7K10]_x000D_
[PRDID].[].[10001474]_x000D_
[KEY_FIGURES].[].[ZCONSENSUSDEMAND]_x000D_
[LOCID].[].[7K10]_x000D_
[PRDID].[].[10001474]_x000D_
[KEY_FIGURES].[].[INDEPENDENTDEMAND]_x000D_
[LOCID].[].[7K10]_x000D_
[PRDID].[].[10001475]_x000D_
[KEY_FIGURES].[].[ZCONSENSUSDEMANDQTY]_x000D_
[LOCID].[].[7K10]_x000D_
[PRDID].[].[10001475]_x000D_
[KEY_FIGURES].[].[ZINPUTSOFC]_x000D_
[LOCID].[].[7K10]_x000D_
[PRDID].[].[10001475]_x000D_
[KEY_FIGURES].[].[ZFORECASTOPENOUTPUT]_x000D_
[LOCID].[].[7K10]_x000D_
[PRDID].[].[10001475]_x000D_
[KEY_FIGURES].[].[ZACTUALSALES]_x000D_
[LOCID].[].[7K10]_x000D_
[PRDID].[].[10001475]_x000D_
[KEY_FIGURES].[].[ZCONSENSUSDEMAND]_x000D_
[LOCID].[].[7K10]_x000D_
[PRDID].[].[10001475]_x000D_
[KEY_FIGURES].[].[INDEPENDENTDEMAND]_x000D_
[LOCID].[].[7K10]_x000D_
[PRDID].[].[10001476]_x000D_
[KEY_FIGURES].[].[ZCONSENSUSDEMANDQTY]_x000D_
[LOCID].[].[7K10]_x000D_
[PRDID].[].[10001476]_x000D_
[KEY_FIGURES].[].[ZINPUTSOFC]_x000D_
[LOCID].[].[7K10]_x000D_
[PRDID].[].[10001476]_x000D_
[KEY_FIGURES].[].[ZFORECASTOPENOUTPUT]_x000D_
[LOCID].[].[7K10]_x000D_
[PRDID].[].[10001476]_x000D_
[KEY_FIGURES].[].[ZACTUALSALES]_x000D_
[LOCID].[].[7K10]_x000D_
[PRDID].[].[10001476]_x000D_
[KEY_FIGURES].[].[ZCONSENSUSDEMAND]_x000D_
[LOCID].[].[7K10]_x000D_
[PRDID].[].[10001476]_x000D_
[KEY_FIGURES].[].[INDEPENDENTDEMAND]_x000D_
[LOCID].[].[7K10]_x000D_
[PRDID].[].[10001477]_x000D_
[KEY_FIGURES].[].[ZCONSENSUSDEMANDQTY]_x000D_
[LOCID].[].[7K10]_x000D_
[PRDID].[].[10001477]_x000D_
[KEY_FIGURES].[].[ZINPUTSOFC]_x000D_
[LOCID].[].[7K10]_x000D_
[PRDID].[].[10001477]_x000D_
[KEY_FIGURES].[].[ZFORECASTOPENOUTPUT]_x000D_
[LOCID].[].[7K10]_x000D_
[PRDID].[].[10001477]_x000D_
[KEY_FIGURES].[].[ZACTUALSALES]_x000D_
[LOCID].[].[7K10]_x000D_
[PRDID].[].[10001477]_x000D_
[KEY_FIGURES].[].[ZCONSENSUSDEMAND]_x000D_
[LOCID].[].[7K10]_x000D_
[PRDID].[].[10001477]_x000D_
[KEY_FIGURES].[].[INDEPENDENTDEMAND]_x000D_
[LOCID].[].[7K10]_x000D_
[PRDID].[].[10001478]_x000D_
[KEY_FIGURES].[].[ZCONSENSUSDEMANDQTY]_x000D_
[LOCID].[].[7K10]_x000D_
[PRDID].[].[10001478]_x000D_
[KEY_FIGURES].[].[ZINPUTSOFC]_x000D_
[LOCID].[].[7K10]_x000D_
[PRDID].[].[10001478]_x000D_
[KEY_FIGURES].[].[ZFORECASTOPENOUTPUT]_x000D_
[LOCID].[].[7K10]_x000D_
[PRDID].[].[10001478]_x000D_
[KEY_FIGURES].[].[ZACTUALSALES]_x000D_
[LOCID].[].[7K10]_x000D_
[PRDID].[].[10001478]_x000D_
[KEY_FIGURES].[].[ZCONSENSUSDEMAND]_x000D_
[LOCID].[].[7K10]_x000D_
[PRDID].[].[10001478]_x000D_
[KEY_FIGURES].[].[INDEPENDENTDEMAND]_x000D_
[LOCID].[].[7K10]_x000D_
[PRDID].[].[10001479]_x000D_
[KEY_FIGURES].[].[ZCONSENSUSDEMANDQTY]_x000D_
[LOCID].[].[7K10]_x000D_
[PRDID].[].[10001479]_x000D_
[KEY_FIGURES].[].[ZINPUTSOFC]_x000D_
[LOCID].[].[7K10]_x000D_
[PRDID].[].[10001479]_x000D_
[KEY_FIGURES].[].[ZFORECASTOPENOUTPUT]_x000D_
[LOCID].[].[7K10]_x000D_
[PRDID].[].[10001479]_x000D_
[KEY_FIGURES].[].[ZACTUALSALES]_x000D_
[LOCID].[].[7K10]_x000D_
[PRDID].[].[10001479]_x000D_
[KEY_FIGURES].[].[ZCONSENSUSDEMAND]_x000D_
[LOCID].[].[7K10]_x000D_
[PRDID].[].[10001479]_x000D_
[KEY_FIGURES].[].[INDEPENDENTDEMAND]_x000D_
[LOCID].[].[7K10]_x000D_
[PRDID].[].[10001480]_x000D_
[KEY_FIGURES].[].[ZCONSENSUSDEMANDQTY]_x000D_
[LOCID].[].[7K10]_x000D_
[PRDID].[].[10001480]_x000D_
[KEY_FIGURES].[].[ZINPUTSOFC]_x000D_
[LOCID].[].[7K10]_x000D_
[PRDID].[].[10001480]_x000D_
[KEY_FIGURES].[].[ZFORECASTOPENOUTPUT]_x000D_
[LOCID].[].[7K10]_x000D_
[PRDID].[].[10001480]_x000D_
[KEY_FIGURES].[].[ZACTUALSALES]_x000D_
[LOCID].[].[7K10]_x000D_
[PRDID].[].[10001480]_x000D_
[KEY_FIGURES].[].[ZCONSENSUSDEMAND]_x000D_
[LOCID].[].[7K10]_x000D_
[PRDID].[].[10001480]_x000D_
[KEY_FIGURES].[].[INDEPENDENTDEMAND]_x000D_
[LOCID].[].[7K10]_x000D_
[PRDID].[].[10001481]_x000D_
[KEY_FIGURES].[].[ZCONSENSUSDEMANDQTY]_x000D_
[LOCID].[].[7K10]_x000D_
[PRDID].[].[10001481]_x000D_
[KEY_FIGURES].[].[ZINPUTSOFC]_x000D_
[LOCID].[].[7K10]_x000D_
[PRDID].[].[10001481]</t>
  </si>
  <si>
    <t>[KEY_FIGURES].[].[ZFORECASTOPENOUTPUT]_x000D_
[LOCID].[].[7K10]_x000D_
[PRDID].[].[10001481]_x000D_
[KEY_FIGURES].[].[ZACTUALSALES]_x000D_
[LOCID].[].[7K10]_x000D_
[PRDID].[].[10001481]_x000D_
[KEY_FIGURES].[].[ZCONSENSUSDEMAND]_x000D_
[LOCID].[].[7K10]_x000D_
[PRDID].[].[10001481]_x000D_
[KEY_FIGURES].[].[INDEPENDENTDEMAND]_x000D_
[LOCID].[].[7K10]_x000D_
[PRDID].[].[10001482]_x000D_
[KEY_FIGURES].[].[ZCONSENSUSDEMANDQTY]_x000D_
[LOCID].[].[7K10]_x000D_
[PRDID].[].[10001482]_x000D_
[KEY_FIGURES].[].[ZINPUTSOFC]_x000D_
[LOCID].[].[7K10]_x000D_
[PRDID].[].[10001482]_x000D_
[KEY_FIGURES].[].[ZFORECASTOPENOUTPUT]_x000D_
[LOCID].[].[7K10]_x000D_
[PRDID].[].[10001482]_x000D_
[KEY_FIGURES].[].[ZACTUALSALES]_x000D_
[LOCID].[].[7K10]_x000D_
[PRDID].[].[10001482]_x000D_
[KEY_FIGURES].[].[ZCONSENSUSDEMAND]_x000D_
[LOCID].[].[7K10]_x000D_
[PRDID].[].[10001482]_x000D_
[KEY_FIGURES].[].[INDEPENDENTDEMAND]_x000D_
[LOCID].[].[7K10]_x000D_
[PRDID].[].[10001483]_x000D_
[KEY_FIGURES].[].[ZCONSENSUSDEMANDQTY]_x000D_
[LOCID].[].[7K10]_x000D_
[PRDID].[].[10001483]_x000D_
[KEY_FIGURES].[].[ZINPUTSOFC]_x000D_
[LOCID].[].[7K10]_x000D_
[PRDID].[].[10001483]_x000D_
[KEY_FIGURES].[].[ZFORECASTOPENOUTPUT]_x000D_
[LOCID].[].[7K10]_x000D_
[PRDID].[].[10001483]_x000D_
[KEY_FIGURES].[].[ZACTUALSALES]_x000D_
[LOCID].[].[7K10]_x000D_
[PRDID].[].[10001483]_x000D_
[KEY_FIGURES].[].[ZCONSENSUSDEMAND]_x000D_
[LOCID].[].[7K10]_x000D_
[PRDID].[].[10001483]_x000D_
[KEY_FIGURES].[].[INDEPENDENTDEMAND]_x000D_
[LOCID].[].[7K10]_x000D_
[PRDID].[].[10001484]_x000D_
[KEY_FIGURES].[].[ZCONSENSUSDEMANDQTY]_x000D_
[LOCID].[].[7K10]_x000D_
[PRDID].[].[10001484]_x000D_
[KEY_FIGURES].[].[ZINPUTSOFC]_x000D_
[LOCID].[].[7K10]_x000D_
[PRDID].[].[10001484]_x000D_
[KEY_FIGURES].[].[ZFORECASTOPENOUTPUT]_x000D_
[LOCID].[].[7K10]_x000D_
[PRDID].[].[10001484]_x000D_
[KEY_FIGURES].[].[ZACTUALSALES]_x000D_
[LOCID].[].[7K10]_x000D_
[PRDID].[].[10001484]_x000D_
[KEY_FIGURES].[].[ZCONSENSUSDEMAND]_x000D_
[LOCID].[].[7K10]_x000D_
[PRDID].[].[10001484]_x000D_
[KEY_FIGURES].[].[INDEPENDENTDEMAND]_x000D_
[LOCID].[].[7K10]_x000D_
[PRDID].[].[10001485]_x000D_
[KEY_FIGURES].[].[ZCONSENSUSDEMANDQTY]_x000D_
[LOCID].[].[7K10]_x000D_
[PRDID].[].[10001485]_x000D_
[KEY_FIGURES].[].[ZINPUTSOFC]_x000D_
[LOCID].[].[7K10]_x000D_
[PRDID].[].[10001485]_x000D_
[KEY_FIGURES].[].[ZFORECASTOPENOUTPUT]_x000D_
[LOCID].[].[7K10]_x000D_
[PRDID].[].[10001485]_x000D_
[KEY_FIGURES].[].[ZACTUALSALES]_x000D_
[LOCID].[].[7K10]_x000D_
[PRDID].[].[10001485]_x000D_
[KEY_FIGURES].[].[ZCONSENSUSDEMAND]_x000D_
[LOCID].[].[7K10]_x000D_
[PRDID].[].[10001485]_x000D_
[KEY_FIGURES].[].[INDEPENDENTDEMAND]_x000D_
[LOCID].[].[7K10]_x000D_
[PRDID].[].[10001486]_x000D_
[KEY_FIGURES].[].[ZCONSENSUSDEMANDQTY]_x000D_
[LOCID].[].[7K10]_x000D_
[PRDID].[].[10001486]_x000D_
[KEY_FIGURES].[].[ZINPUTSOFC]_x000D_
[LOCID].[].[7K10]_x000D_
[PRDID].[].[10001486]_x000D_
[KEY_FIGURES].[].[ZFORECASTOPENOUTPUT]_x000D_
[LOCID].[].[7K10]_x000D_
[PRDID].[].[10001486]_x000D_
[KEY_FIGURES].[].[ZACTUALSALES]_x000D_
[LOCID].[].[7K10]_x000D_
[PRDID].[].[10001486]_x000D_
[KEY_FIGURES].[].[ZCONSENSUSDEMAND]_x000D_
[LOCID].[].[7K10]_x000D_
[PRDID].[].[10001486]_x000D_
[KEY_FIGURES].[].[INDEPENDENTDEMAND]_x000D_
[LOCID].[].[7K10]_x000D_
[PRDID].[].[10001487]_x000D_
[KEY_FIGURES].[].[ZCONSENSUSDEMANDQTY]_x000D_
[LOCID].[].[7K10]_x000D_
[PRDID].[].[10001487]_x000D_
[KEY_FIGURES].[].[ZINPUTSOFC]_x000D_
[LOCID].[].[7K10]_x000D_
[PRDID].[].[10001487]_x000D_
[KEY_FIGURES].[].[ZFORECASTOPENOUTPUT]_x000D_
[LOCID].[].[7K10]_x000D_
[PRDID].[].[10001487]_x000D_
[KEY_FIGURES].[].[ZACTUALSALES]_x000D_
[LOCID].[].[7K10]_x000D_
[PRDID].[].[10001487]_x000D_
[KEY_FIGURES].[].[ZCONSENSUSDEMAND]_x000D_
[LOCID].[].[7K10]_x000D_
[PRDID].[].[10001487]_x000D_
[KEY_FIGURES].[].[INDEPENDENTDEMAND]_x000D_
[LOCID].[].[7K10]_x000D_
[PRDID].[].[10001488]_x000D_
[KEY_FIGURES].[].[ZCONSENSUSDEMANDQTY]_x000D_
[LOCID].[].[7K10]_x000D_
[PRDID].[].[10001488]_x000D_
[KEY_FIGURES].[].[ZINPUTSOFC]_x000D_
[LOCID].[].[7K10]_x000D_
[PRDID].[].[10001488]_x000D_
[KEY_FIGURES].[].[ZFORECASTOPENOUTPUT]_x000D_
[LOCID].[].[7K10]_x000D_
[PRDID].[].[10001488]_x000D_
[KEY_FIGURES].[].[ZACTUALSALES]_x000D_
[LOCID].[].[7K10]_x000D_
[PRDID].[].[10001488]_x000D_
[KEY_FIGURES].[].[ZCONSENSUSDEMAND]_x000D_
[LOCID].[].[7K10]_x000D_
[PRDID].[].[10001488]_x000D_
[KEY_FIGURES].[].[INDEPENDENTDEMAND]_x000D_
[LOCID].[].[7K10]_x000D_
[PRDID].[].[10001489]_x000D_
[KEY_FIGURES].[].[ZCONSENSUSDEMANDQTY]_x000D_
[LOCID].[].[7K10]_x000D_
[PRDID].[].[10001489]_x000D_
[KEY_FIGURES].[].[ZINPUTSOFC]_x000D_
[LOCID].[].[7K10]_x000D_
[PRDID].[].[10001489]_x000D_
[KEY_FIGURES].[].[ZFORECASTOPENOUTPUT]_x000D_
[LOCID].[].[7K10]_x000D_
[PRDID].[].[10001489]_x000D_
[KEY_FIGURES].[].[ZACTUALSALES]_x000D_
[LOCID].[].[7K10]_x000D_
[PRDID].[].[10001489]_x000D_
[KEY_FIGURES].[].[ZCONSENSUSDEMAND]_x000D_
[LOCID].[].[7K10]_x000D_
[PRDID].[].[10001489]_x000D_
[KEY_FIGURES].[].[INDEPENDENTDEMAND]_x000D_
[LOCID].[].[7K10]_x000D_
[PRDID].[].[10001490]_x000D_
[KEY_FIGURES].[].[ZCONSENSUSDEMANDQTY]_x000D_
[LOCID].[].[7K10]_x000D_
[PRDID].[].[10001490]_x000D_
[KEY_FIGURES].[].[ZINPUTSOFC]_x000D_
[LOCID].[].[7K10]_x000D_
[PRDID].[].[10001490]_x000D_
[KEY_FIGURES].[].[ZFORECASTOPENOUTPUT]_x000D_
[LOCID].[].[7K10]_x000D_
[PRDID].[].[10001490]_x000D_
[KEY_FIGURES].[].[ZACTUALSALES]_x000D_
[LOCID].[].[7K10]_x000D_
[PRDID].[].[10001490]_x000D_
[KEY_FIGURES].[].[ZCONSENSUSDEMAND]_x000D_
[LOCID].[].[7K10]_x000D_
[PRDID].[].[10001490]_x000D_
[KEY_FIGURES].[].[INDEPENDENTDEMAND]_x000D_
[LOCID].[].[7K10]_x000D_
[PRDID].[].[10001491]_x000D_
[KEY_FIGURES].[].[ZCONSENSUSDEMANDQTY]_x000D_
[LOCID].[].[7K10]_x000D_
[PRDID].[].[10001491]_x000D_
[KEY_FIGURES].[].[ZINPUTSOFC]_x000D_
[LOCID].[].[7K10]_x000D_
[PRDID].[].[10001491]_x000D_
[KEY_FIGURES].[].[ZFORECASTOPENOUTPUT]_x000D_
[LOCID].[].[7K10]_x000D_
[PRDID].[].[10001491]_x000D_
[KEY_FIGURES].[].[ZACTUALSALES]_x000D_
[LOCID].[].[7K10]_x000D_
[PRDID].[].[10001491]_x000D_
[KEY_FIGURES].[].[ZCONSENSUSDEMAND]_x000D_
[LOCID].[].[7K10]_x000D_
[PRDID].[].[10001491]_x000D_
[KEY_FIGURES].[].[INDEPENDENTDEMAND]_x000D_
[LOCID].[].[7K10]_x000D_
[PRDID].[].[10001492]_x000D_
[KEY_FIGURES].[].[ZCONSENSUSDEMANDQTY]_x000D_
[LOCID].[].[7K10]_x000D_
[PRDID].[].[10001492]_x000D_
[KEY_FIGURES].[].[ZINPUTSOFC]_x000D_
[LOCID].[].[7K10]_x000D_
[PRDID].[].[10001492]_x000D_
[KEY_FIGURES].[].[ZFORECASTOPENOUTPUT]_x000D_
[LOCID].[].[7K10]</t>
  </si>
  <si>
    <t>[PRDID].[].[10001492]_x000D_
[KEY_FIGURES].[].[ZACTUALSALES]_x000D_
[LOCID].[].[7K10]_x000D_
[PRDID].[].[10001492]_x000D_
[KEY_FIGURES].[].[ZCONSENSUSDEMAND]_x000D_
[LOCID].[].[7K10]_x000D_
[PRDID].[].[10001492]_x000D_
[KEY_FIGURES].[].[INDEPENDENTDEMAND]_x000D_
[LOCID].[].[7K10]_x000D_
[PRDID].[].[10001493]_x000D_
[KEY_FIGURES].[].[ZCONSENSUSDEMANDQTY]_x000D_
[LOCID].[].[7K10]_x000D_
[PRDID].[].[10001493]_x000D_
[KEY_FIGURES].[].[ZINPUTSOFC]_x000D_
[LOCID].[].[7K10]_x000D_
[PRDID].[].[10001493]_x000D_
[KEY_FIGURES].[].[ZFORECASTOPENOUTPUT]_x000D_
[LOCID].[].[7K10]_x000D_
[PRDID].[].[10001493]_x000D_
[KEY_FIGURES].[].[ZACTUALSALES]_x000D_
[LOCID].[].[7K10]_x000D_
[PRDID].[].[10001493]_x000D_
[KEY_FIGURES].[].[ZCONSENSUSDEMAND]_x000D_
[LOCID].[].[7K10]_x000D_
[PRDID].[].[10001493]_x000D_
[KEY_FIGURES].[].[INDEPENDENTDEMAND]_x000D_
[LOCID].[].[7K10]_x000D_
[PRDID].[].[10001494]_x000D_
[KEY_FIGURES].[].[ZCONSENSUSDEMANDQTY]_x000D_
[LOCID].[].[7K10]_x000D_
[PRDID].[].[10001494]_x000D_
[KEY_FIGURES].[].[ZINPUTSOFC]_x000D_
[LOCID].[].[7K10]_x000D_
[PRDID].[].[10001494]_x000D_
[KEY_FIGURES].[].[ZFORECASTOPENOUTPUT]_x000D_
[LOCID].[].[7K10]_x000D_
[PRDID].[].[10001494]_x000D_
[KEY_FIGURES].[].[ZACTUALSALES]_x000D_
[LOCID].[].[7K10]_x000D_
[PRDID].[].[10001494]_x000D_
[KEY_FIGURES].[].[ZCONSENSUSDEMAND]_x000D_
[LOCID].[].[7K10]_x000D_
[PRDID].[].[10001494]_x000D_
[KEY_FIGURES].[].[INDEPENDENTDEMAND]_x000D_
[LOCID].[].[7K10]_x000D_
[PRDID].[].[10001495]_x000D_
[KEY_FIGURES].[].[ZCONSENSUSDEMANDQTY]_x000D_
[LOCID].[].[7K10]_x000D_
[PRDID].[].[10001495]_x000D_
[KEY_FIGURES].[].[ZINPUTSOFC]_x000D_
[LOCID].[].[7K10]_x000D_
[PRDID].[].[10001495]_x000D_
[KEY_FIGURES].[].[ZFORECASTOPENOUTPUT]_x000D_
[LOCID].[].[7K10]_x000D_
[PRDID].[].[10001495]_x000D_
[KEY_FIGURES].[].[ZACTUALSALES]_x000D_
[LOCID].[].[7K10]_x000D_
[PRDID].[].[10001495]_x000D_
[KEY_FIGURES].[].[ZCONSENSUSDEMAND]_x000D_
[LOCID].[].[7K10]_x000D_
[PRDID].[].[10001495]_x000D_
[KEY_FIGURES].[].[INDEPENDENTDEMAND]_x000D_
[LOCID].[].[7K10]_x000D_
[PRDID].[].[10001496]_x000D_
[KEY_FIGURES].[].[ZCONSENSUSDEMANDQTY]_x000D_
[LOCID].[].[7K10]_x000D_
[PRDID].[].[10001496]_x000D_
[KEY_FIGURES].[].[ZINPUTSOFC]_x000D_
[LOCID].[].[7K10]_x000D_
[PRDID].[].[10001496]_x000D_
[KEY_FIGURES].[].[ZFORECASTOPENOUTPUT]_x000D_
[LOCID].[].[7K10]_x000D_
[PRDID].[].[10001496]_x000D_
[KEY_FIGURES].[].[ZACTUALSALES]_x000D_
[LOCID].[].[7K10]_x000D_
[PRDID].[].[10001496]_x000D_
[KEY_FIGURES].[].[ZCONSENSUSDEMAND]_x000D_
[LOCID].[].[7K10]_x000D_
[PRDID].[].[10001496]_x000D_
[KEY_FIGURES].[].[INDEPENDENTDEMAND]_x000D_
[LOCID].[].[7K10]_x000D_
[PRDID].[].[10001497]_x000D_
[KEY_FIGURES].[].[ZCONSENSUSDEMANDQTY]_x000D_
[LOCID].[].[7K10]_x000D_
[PRDID].[].[10001497]_x000D_
[KEY_FIGURES].[].[ZINPUTSOFC]_x000D_
[LOCID].[].[7K10]_x000D_
[PRDID].[].[10001497]_x000D_
[KEY_FIGURES].[].[ZFORECASTOPENOUTPUT]_x000D_
[LOCID].[].[7K10]_x000D_
[PRDID].[].[10001497]_x000D_
[KEY_FIGURES].[].[ZACTUALSALES]_x000D_
[LOCID].[].[7K10]_x000D_
[PRDID].[].[10001497]_x000D_
[KEY_FIGURES].[].[ZCONSENSUSDEMAND]_x000D_
[LOCID].[].[7K10]_x000D_
[PRDID].[].[10001497]_x000D_
[KEY_FIGURES].[].[INDEPENDENTDEMAND]_x000D_
[LOCID].[].[7K10]_x000D_
[PRDID].[].[10001498]_x000D_
[KEY_FIGURES].[].[ZCONSENSUSDEMANDQTY]_x000D_
[LOCID].[].[7K10]_x000D_
[PRDID].[].[10001498]_x000D_
[KEY_FIGURES].[].[ZINPUTSOFC]_x000D_
[LOCID].[].[7K10]_x000D_
[PRDID].[].[10001498]_x000D_
[KEY_FIGURES].[].[ZFORECASTOPENOUTPUT]_x000D_
[LOCID].[].[7K10]_x000D_
[PRDID].[].[10001498]_x000D_
[KEY_FIGURES].[].[ZACTUALSALES]_x000D_
[LOCID].[].[7K10]_x000D_
[PRDID].[].[10001498]_x000D_
[KEY_FIGURES].[].[ZCONSENSUSDEMAND]_x000D_
[LOCID].[].[7K10]_x000D_
[PRDID].[].[10001498]_x000D_
[KEY_FIGURES].[].[INDEPENDENTDEMAND]_x000D_
[LOCID].[].[7K10]_x000D_
[PRDID].[].[10001499]_x000D_
[KEY_FIGURES].[].[ZCONSENSUSDEMANDQTY]_x000D_
[LOCID].[].[7K10]_x000D_
[PRDID].[].[10001499]_x000D_
[KEY_FIGURES].[].[ZINPUTSOFC]_x000D_
[LOCID].[].[7K10]_x000D_
[PRDID].[].[10001499]_x000D_
[KEY_FIGURES].[].[ZFORECASTOPENOUTPUT]_x000D_
[LOCID].[].[7K10]_x000D_
[PRDID].[].[10001499]_x000D_
[KEY_FIGURES].[].[ZACTUALSALES]_x000D_
[LOCID].[].[7K10]_x000D_
[PRDID].[].[10001499]_x000D_
[KEY_FIGURES].[].[ZCONSENSUSDEMAND]_x000D_
[LOCID].[].[7K10]_x000D_
[PRDID].[].[10001499]_x000D_
[KEY_FIGURES].[].[INDEPENDENTDEMAND]_x000D_
[LOCID].[].[7K10]_x000D_
[PRDID].[].[10001500]_x000D_
[KEY_FIGURES].[].[ZCONSENSUSDEMANDQTY]_x000D_
[LOCID].[].[7K10]_x000D_
[PRDID].[].[10001500]_x000D_
[KEY_FIGURES].[].[ZINPUTSOFC]_x000D_
[LOCID].[].[7K10]_x000D_
[PRDID].[].[10001500]_x000D_
[KEY_FIGURES].[].[ZFORECASTOPENOUTPUT]_x000D_
[LOCID].[].[7K10]_x000D_
[PRDID].[].[10001500]_x000D_
[KEY_FIGURES].[].[ZACTUALSALES]_x000D_
[LOCID].[].[7K10]_x000D_
[PRDID].[].[10001500]_x000D_
[KEY_FIGURES].[].[ZCONSENSUSDEMAND]_x000D_
[LOCID].[].[7K10]_x000D_
[PRDID].[].[10001500]_x000D_
[KEY_FIGURES].[].[INDEPENDENTDEMAND]_x000D_
[LOCID].[].[7K10]_x000D_
[PRDID].[].[10001501]_x000D_
[KEY_FIGURES].[].[ZCONSENSUSDEMANDQTY]_x000D_
[LOCID].[].[7K10]_x000D_
[PRDID].[].[10001501]_x000D_
[KEY_FIGURES].[].[ZINPUTSOFC]_x000D_
[LOCID].[].[7K10]_x000D_
[PRDID].[].[10001501]_x000D_
[KEY_FIGURES].[].[ZFORECASTOPENOUTPUT]_x000D_
[LOCID].[].[7K10]_x000D_
[PRDID].[].[10001501]_x000D_
[KEY_FIGURES].[].[ZACTUALSALES]_x000D_
[LOCID].[].[7K10]_x000D_
[PRDID].[].[10001501]_x000D_
[KEY_FIGURES].[].[ZCONSENSUSDEMAND]_x000D_
[LOCID].[].[7K10]_x000D_
[PRDID].[].[10001501]_x000D_
[KEY_FIGURES].[].[INDEPENDENTDEMAND]_x000D_
[LOCID].[].[7K10]_x000D_
[PRDID].[].[10001502]_x000D_
[KEY_FIGURES].[].[ZCONSENSUSDEMANDQTY]_x000D_
[LOCID].[].[7K10]_x000D_
[PRDID].[].[10001502]_x000D_
[KEY_FIGURES].[].[ZINPUTSOFC]_x000D_
[LOCID].[].[7K10]_x000D_
[PRDID].[].[10001502]_x000D_
[KEY_FIGURES].[].[ZFORECASTOPENOUTPUT]_x000D_
[LOCID].[].[7K10]_x000D_
[PRDID].[].[10001502]_x000D_
[KEY_FIGURES].[].[ZACTUALSALES]_x000D_
[LOCID].[].[7K10]_x000D_
[PRDID].[].[10001502]_x000D_
[KEY_FIGURES].[].[ZCONSENSUSDEMAND]_x000D_
[LOCID].[].[7K10]_x000D_
[PRDID].[].[10001502]_x000D_
[KEY_FIGURES].[].[INDEPENDENTDEMAND]_x000D_
[LOCID].[].[7K10]_x000D_
[PRDID].[].[10001503]_x000D_
[KEY_FIGURES].[].[ZCONSENSUSDEMANDQTY]_x000D_
[LOCID].[].[7K10]_x000D_
[PRDID].[].[10001503]_x000D_
[KEY_FIGURES].[].[ZINPUTSOFC]_x000D_
[LOCID].[].[7K10]_x000D_
[PRDID].[].[10001503]_x000D_
[KEY_FIGURES].[].[ZFORECASTOPENOUTPUT]_x000D_
[LOCID].[].[7K10]_x000D_
[PRDID].[].[10001503]_x000D_
[KEY_FIGURES].[].[ZACTUALSALES]</t>
  </si>
  <si>
    <t>[LOCID].[].[7K10]_x000D_
[PRDID].[].[10001503]_x000D_
[KEY_FIGURES].[].[ZCONSENSUSDEMAND]_x000D_
[LOCID].[].[7K10]_x000D_
[PRDID].[].[10001503]_x000D_
[KEY_FIGURES].[].[INDEPENDENTDEMAND]_x000D_
[LOCID].[].[7K10]_x000D_
[PRDID].[].[10001504]_x000D_
[KEY_FIGURES].[].[ZCONSENSUSDEMANDQTY]_x000D_
[LOCID].[].[7K10]_x000D_
[PRDID].[].[10001504]_x000D_
[KEY_FIGURES].[].[ZINPUTSOFC]_x000D_
[LOCID].[].[7K10]_x000D_
[PRDID].[].[10001504]_x000D_
[KEY_FIGURES].[].[ZFORECASTOPENOUTPUT]_x000D_
[LOCID].[].[7K10]_x000D_
[PRDID].[].[10001504]_x000D_
[KEY_FIGURES].[].[ZACTUALSALES]_x000D_
[LOCID].[].[7K10]_x000D_
[PRDID].[].[10001504]_x000D_
[KEY_FIGURES].[].[ZCONSENSUSDEMAND]_x000D_
[LOCID].[].[7K10]_x000D_
[PRDID].[].[10001504]_x000D_
[KEY_FIGURES].[].[INDEPENDENTDEMAND]_x000D_
[LOCID].[].[7K10]_x000D_
[PRDID].[].[10001505]_x000D_
[KEY_FIGURES].[].[ZCONSENSUSDEMANDQTY]_x000D_
[LOCID].[].[7K10]_x000D_
[PRDID].[].[10001505]_x000D_
[KEY_FIGURES].[].[ZINPUTSOFC]_x000D_
[LOCID].[].[7K10]_x000D_
[PRDID].[].[10001505]_x000D_
[KEY_FIGURES].[].[ZFORECASTOPENOUTPUT]_x000D_
[LOCID].[].[7K10]_x000D_
[PRDID].[].[10001505]_x000D_
[KEY_FIGURES].[].[ZACTUALSALES]_x000D_
[LOCID].[].[7K10]_x000D_
[PRDID].[].[10001505]_x000D_
[KEY_FIGURES].[].[ZCONSENSUSDEMAND]_x000D_
[LOCID].[].[7K10]_x000D_
[PRDID].[].[10001505]_x000D_
[KEY_FIGURES].[].[INDEPENDENTDEMAND]_x000D_
[LOCID].[].[7K10]_x000D_
[PRDID].[].[10001506]_x000D_
[KEY_FIGURES].[].[ZCONSENSUSDEMANDQTY]_x000D_
[LOCID].[].[7K10]_x000D_
[PRDID].[].[10001506]_x000D_
[KEY_FIGURES].[].[ZINPUTSOFC]_x000D_
[LOCID].[].[7K10]_x000D_
[PRDID].[].[10001506]_x000D_
[KEY_FIGURES].[].[ZFORECASTOPENOUTPUT]_x000D_
[LOCID].[].[7K10]_x000D_
[PRDID].[].[10001506]_x000D_
[KEY_FIGURES].[].[ZACTUALSALES]_x000D_
[LOCID].[].[7K10]_x000D_
[PRDID].[].[10001506]_x000D_
[KEY_FIGURES].[].[ZCONSENSUSDEMAND]_x000D_
[LOCID].[].[7K10]_x000D_
[PRDID].[].[10001506]_x000D_
[KEY_FIGURES].[].[INDEPENDENTDEMAND]_x000D_
[LOCID].[].[7K10]_x000D_
[PRDID].[].[10001507]_x000D_
[KEY_FIGURES].[].[ZCONSENSUSDEMANDQTY]_x000D_
[LOCID].[].[7K10]_x000D_
[PRDID].[].[10001507]_x000D_
[KEY_FIGURES].[].[ZINPUTSOFC]_x000D_
[LOCID].[].[7K10]_x000D_
[PRDID].[].[10001507]_x000D_
[KEY_FIGURES].[].[ZFORECASTOPENOUTPUT]_x000D_
[LOCID].[].[7K10]_x000D_
[PRDID].[].[10001507]_x000D_
[KEY_FIGURES].[].[ZACTUALSALES]_x000D_
[LOCID].[].[7K10]_x000D_
[PRDID].[].[10001507]_x000D_
[KEY_FIGURES].[].[ZCONSENSUSDEMAND]_x000D_
[LOCID].[].[7K10]_x000D_
[PRDID].[].[10001507]_x000D_
[KEY_FIGURES].[].[INDEPENDENTDEMAND]_x000D_
[LOCID].[].[7K10]_x000D_
[PRDID].[].[10001508]_x000D_
[KEY_FIGURES].[].[ZCONSENSUSDEMANDQTY]_x000D_
[LOCID].[].[7K10]_x000D_
[PRDID].[].[10001508]_x000D_
[KEY_FIGURES].[].[ZINPUTSOFC]_x000D_
[LOCID].[].[7K10]_x000D_
[PRDID].[].[10001508]_x000D_
[KEY_FIGURES].[].[ZFORECASTOPENOUTPUT]_x000D_
[LOCID].[].[7K10]_x000D_
[PRDID].[].[10001508]_x000D_
[KEY_FIGURES].[].[ZACTUALSALES]_x000D_
[LOCID].[].[7K10]_x000D_
[PRDID].[].[10001508]_x000D_
[KEY_FIGURES].[].[ZCONSENSUSDEMAND]_x000D_
[LOCID].[].[7K10]_x000D_
[PRDID].[].[10001508]_x000D_
[KEY_FIGURES].[].[INDEPENDENTDEMAND]_x000D_
[LOCID].[].[7K10]_x000D_
[PRDID].[].[10001509]_x000D_
[KEY_FIGURES].[].[ZCONSENSUSDEMANDQTY]_x000D_
[LOCID].[].[7K10]_x000D_
[PRDID].[].[10001509]_x000D_
[KEY_FIGURES].[].[ZINPUTSOFC]_x000D_
[LOCID].[].[7K10]_x000D_
[PRDID].[].[10001509]_x000D_
[KEY_FIGURES].[].[ZFORECASTOPENOUTPUT]_x000D_
[LOCID].[].[7K10]_x000D_
[PRDID].[].[10001509]_x000D_
[KEY_FIGURES].[].[ZACTUALSALES]_x000D_
[LOCID].[].[7K10]_x000D_
[PRDID].[].[10001509]_x000D_
[KEY_FIGURES].[].[ZCONSENSUSDEMAND]_x000D_
[LOCID].[].[7K10]_x000D_
[PRDID].[].[10001509]_x000D_
[KEY_FIGURES].[].[INDEPENDENTDEMAND]_x000D_
[LOCID].[].[7K10]_x000D_
[PRDID].[].[10001510]_x000D_
[KEY_FIGURES].[].[ZCONSENSUSDEMANDQTY]_x000D_
[LOCID].[].[7K10]_x000D_
[PRDID].[].[10001510]_x000D_
[KEY_FIGURES].[].[ZINPUTSOFC]_x000D_
[LOCID].[].[7K10]_x000D_
[PRDID].[].[10001510]_x000D_
[KEY_FIGURES].[].[ZFORECASTOPENOUTPUT]_x000D_
[LOCID].[].[7K10]_x000D_
[PRDID].[].[10001510]_x000D_
[KEY_FIGURES].[].[ZACTUALSALES]_x000D_
[LOCID].[].[7K10]_x000D_
[PRDID].[].[10001510]_x000D_
[KEY_FIGURES].[].[ZCONSENSUSDEMAND]_x000D_
[LOCID].[].[7K10]_x000D_
[PRDID].[].[10001510]_x000D_
[KEY_FIGURES].[].[INDEPENDENTDEMAND]_x000D_
[LOCID].[].[7K10]_x000D_
[PRDID].[].[10001511]_x000D_
[KEY_FIGURES].[].[ZCONSENSUSDEMANDQTY]_x000D_
[LOCID].[].[7K10]_x000D_
[PRDID].[].[10001511]_x000D_
[KEY_FIGURES].[].[ZINPUTSOFC]_x000D_
[LOCID].[].[7K10]_x000D_
[PRDID].[].[10001511]_x000D_
[KEY_FIGURES].[].[ZFORECASTOPENOUTPUT]_x000D_
[LOCID].[].[7K10]_x000D_
[PRDID].[].[10001511]_x000D_
[KEY_FIGURES].[].[ZACTUALSALES]_x000D_
[LOCID].[].[7K10]_x000D_
[PRDID].[].[10001511]_x000D_
[KEY_FIGURES].[].[ZCONSENSUSDEMAND]_x000D_
[LOCID].[].[7K10]_x000D_
[PRDID].[].[10001511]_x000D_
[KEY_FIGURES].[].[INDEPENDENTDEMAND]_x000D_
[LOCID].[].[7K10]_x000D_
[PRDID].[].[10001512]_x000D_
[KEY_FIGURES].[].[ZCONSENSUSDEMANDQTY]_x000D_
[LOCID].[].[7K10]_x000D_
[PRDID].[].[10001512]_x000D_
[KEY_FIGURES].[].[ZINPUTSOFC]_x000D_
[LOCID].[].[7K10]_x000D_
[PRDID].[].[10001512]_x000D_
[KEY_FIGURES].[].[ZFORECASTOPENOUTPUT]_x000D_
[LOCID].[].[7K10]_x000D_
[PRDID].[].[10001512]_x000D_
[KEY_FIGURES].[].[ZACTUALSALES]_x000D_
[LOCID].[].[7K10]_x000D_
[PRDID].[].[10001512]_x000D_
[KEY_FIGURES].[].[ZCONSENSUSDEMAND]_x000D_
[LOCID].[].[7K10]_x000D_
[PRDID].[].[10001512]_x000D_
[KEY_FIGURES].[].[INDEPENDENTDEMAND]_x000D_
[LOCID].[].[7K10]_x000D_
[PRDID].[].[10001513]_x000D_
[KEY_FIGURES].[].[ZCONSENSUSDEMANDQTY]_x000D_
[LOCID].[].[7K10]_x000D_
[PRDID].[].[10001513]_x000D_
[KEY_FIGURES].[].[ZINPUTSOFC]_x000D_
[LOCID].[].[7K10]_x000D_
[PRDID].[].[10001513]_x000D_
[KEY_FIGURES].[].[ZFORECASTOPENOUTPUT]_x000D_
[LOCID].[].[7K10]_x000D_
[PRDID].[].[10001513]_x000D_
[KEY_FIGURES].[].[ZACTUALSALES]_x000D_
[LOCID].[].[7K10]_x000D_
[PRDID].[].[10001513]_x000D_
[KEY_FIGURES].[].[ZCONSENSUSDEMAND]_x000D_
[LOCID].[].[7K10]_x000D_
[PRDID].[].[10001513]_x000D_
[KEY_FIGURES].[].[INDEPENDENTDEMAND]_x000D_
[LOCID].[].[7K10]_x000D_
[PRDID].[].[10001514]_x000D_
[KEY_FIGURES].[].[ZCONSENSUSDEMANDQTY]_x000D_
[LOCID].[].[7K10]_x000D_
[PRDID].[].[10001514]_x000D_
[KEY_FIGURES].[].[ZINPUTSOFC]_x000D_
[LOCID].[].[7K10]_x000D_
[PRDID].[].[10001514]_x000D_
[KEY_FIGURES].[].[ZFORECASTOPENOUTPUT]_x000D_
[LOCID].[].[7K10]_x000D_
[PRDID].[].[10001514]_x000D_
[KEY_FIGURES].[].[ZACTUALSALES]_x000D_
[LOCID].[].[7K10]_x000D_
[PRDID].[].[10001514]</t>
  </si>
  <si>
    <t>[KEY_FIGURES].[].[ZCONSENSUSDEMAND]_x000D_
[LOCID].[].[7K10]_x000D_
[PRDID].[].[10001514]_x000D_
[KEY_FIGURES].[].[INDEPENDENTDEMAND]_x000D_
[LOCID].[].[7K10]_x000D_
[PRDID].[].[10001515]_x000D_
[KEY_FIGURES].[].[ZCONSENSUSDEMANDQTY]_x000D_
[LOCID].[].[7K10]_x000D_
[PRDID].[].[10001515]_x000D_
[KEY_FIGURES].[].[ZINPUTSOFC]_x000D_
[LOCID].[].[7K10]_x000D_
[PRDID].[].[10001515]_x000D_
[KEY_FIGURES].[].[ZFORECASTOPENOUTPUT]_x000D_
[LOCID].[].[7K10]_x000D_
[PRDID].[].[10001515]_x000D_
[KEY_FIGURES].[].[ZACTUALSALES]_x000D_
[LOCID].[].[7K10]_x000D_
[PRDID].[].[10001515]_x000D_
[KEY_FIGURES].[].[ZCONSENSUSDEMAND]_x000D_
[LOCID].[].[7K10]_x000D_
[PRDID].[].[10001515]_x000D_
[KEY_FIGURES].[].[INDEPENDENTDEMAND]_x000D_
[LOCID].[].[7K10]_x000D_
[PRDID].[].[10001516]_x000D_
[KEY_FIGURES].[].[ZCONSENSUSDEMANDQTY]_x000D_
[LOCID].[].[7K10]_x000D_
[PRDID].[].[10001516]_x000D_
[KEY_FIGURES].[].[ZINPUTSOFC]_x000D_
[LOCID].[].[7K10]_x000D_
[PRDID].[].[10001516]_x000D_
[KEY_FIGURES].[].[ZFORECASTOPENOUTPUT]_x000D_
[LOCID].[].[7K10]_x000D_
[PRDID].[].[10001516]_x000D_
[KEY_FIGURES].[].[ZACTUALSALES]_x000D_
[LOCID].[].[7K10]_x000D_
[PRDID].[].[10001516]_x000D_
[KEY_FIGURES].[].[ZCONSENSUSDEMAND]_x000D_
[LOCID].[].[7K10]_x000D_
[PRDID].[].[10001516]_x000D_
[KEY_FIGURES].[].[INDEPENDENTDEMAND]_x000D_
[LOCID].[].[7K10]_x000D_
[PRDID].[].[10001517]_x000D_
[KEY_FIGURES].[].[ZCONSENSUSDEMANDQTY]_x000D_
[LOCID].[].[7K10]_x000D_
[PRDID].[].[10001517]_x000D_
[KEY_FIGURES].[].[ZINPUTSOFC]_x000D_
[LOCID].[].[7K10]_x000D_
[PRDID].[].[10001517]_x000D_
[KEY_FIGURES].[].[ZFORECASTOPENOUTPUT]_x000D_
[LOCID].[].[7K10]_x000D_
[PRDID].[].[10001517]_x000D_
[KEY_FIGURES].[].[ZACTUALSALES]_x000D_
[LOCID].[].[7K10]_x000D_
[PRDID].[].[10001517]_x000D_
[KEY_FIGURES].[].[ZCONSENSUSDEMAND]_x000D_
[LOCID].[].[7K10]_x000D_
[PRDID].[].[10001517]_x000D_
[KEY_FIGURES].[].[INDEPENDENTDEMAND]_x000D_
[LOCID].[].[7K10]_x000D_
[PRDID].[].[10001518]_x000D_
[KEY_FIGURES].[].[ZCONSENSUSDEMANDQTY]_x000D_
[LOCID].[].[7K10]_x000D_
[PRDID].[].[10001518]_x000D_
[KEY_FIGURES].[].[ZINPUTSOFC]_x000D_
[LOCID].[].[7K10]_x000D_
[PRDID].[].[10001518]_x000D_
[KEY_FIGURES].[].[ZFORECASTOPENOUTPUT]_x000D_
[LOCID].[].[7K10]_x000D_
[PRDID].[].[10001518]_x000D_
[KEY_FIGURES].[].[ZACTUALSALES]_x000D_
[LOCID].[].[7K10]_x000D_
[PRDID].[].[10001518]_x000D_
[KEY_FIGURES].[].[ZCONSENSUSDEMAND]_x000D_
[LOCID].[].[7K10]_x000D_
[PRDID].[].[10001518]_x000D_
[KEY_FIGURES].[].[INDEPENDENTDEMAND]_x000D_
[LOCID].[].[7K10]_x000D_
[PRDID].[].[10001519]_x000D_
[KEY_FIGURES].[].[ZCONSENSUSDEMANDQTY]_x000D_
[LOCID].[].[7K10]_x000D_
[PRDID].[].[10001519]_x000D_
[KEY_FIGURES].[].[ZINPUTSOFC]_x000D_
[LOCID].[].[7K10]_x000D_
[PRDID].[].[10001519]_x000D_
[KEY_FIGURES].[].[ZFORECASTOPENOUTPUT]_x000D_
[LOCID].[].[7K10]_x000D_
[PRDID].[].[10001519]_x000D_
[KEY_FIGURES].[].[ZACTUALSALES]_x000D_
[LOCID].[].[7K10]_x000D_
[PRDID].[].[10001519]_x000D_
[KEY_FIGURES].[].[ZCONSENSUSDEMAND]_x000D_
[LOCID].[].[7K10]_x000D_
[PRDID].[].[10001519]_x000D_
[KEY_FIGURES].[].[INDEPENDENTDEMAND]_x000D_
[LOCID].[].[7K10]_x000D_
[PRDID].[].[10001520]_x000D_
[KEY_FIGURES].[].[ZCONSENSUSDEMANDQTY]_x000D_
[LOCID].[].[7K10]_x000D_
[PRDID].[].[10001520]_x000D_
[KEY_FIGURES].[].[ZINPUTSOFC]_x000D_
[LOCID].[].[7K10]_x000D_
[PRDID].[].[10001520]_x000D_
[KEY_FIGURES].[].[ZFORECASTOPENOUTPUT]_x000D_
[LOCID].[].[7K10]_x000D_
[PRDID].[].[10001520]_x000D_
[KEY_FIGURES].[].[ZACTUALSALES]_x000D_
[LOCID].[].[7K10]_x000D_
[PRDID].[].[10001520]_x000D_
[KEY_FIGURES].[].[ZCONSENSUSDEMAND]_x000D_
[LOCID].[].[7K10]_x000D_
[PRDID].[].[10001520]_x000D_
[KEY_FIGURES].[].[INDEPENDENTDEMAND]_x000D_
[LOCID].[].[7K10]_x000D_
[PRDID].[].[10001521]_x000D_
[KEY_FIGURES].[].[ZCONSENSUSDEMANDQTY]_x000D_
[LOCID].[].[7K10]_x000D_
[PRDID].[].[10001521]_x000D_
[KEY_FIGURES].[].[ZINPUTSOFC]_x000D_
[LOCID].[].[7K10]_x000D_
[PRDID].[].[10001521]_x000D_
[KEY_FIGURES].[].[ZFORECASTOPENOUTPUT]_x000D_
[LOCID].[].[7K10]_x000D_
[PRDID].[].[10001521]_x000D_
[KEY_FIGURES].[].[ZACTUALSALES]_x000D_
[LOCID].[].[7K10]_x000D_
[PRDID].[].[10001521]_x000D_
[KEY_FIGURES].[].[ZCONSENSUSDEMAND]_x000D_
[LOCID].[].[7K10]_x000D_
[PRDID].[].[10001521]_x000D_
[KEY_FIGURES].[].[INDEPENDENTDEMAND]_x000D_
[LOCID].[].[7K10]_x000D_
[PRDID].[].[10001522]_x000D_
[KEY_FIGURES].[].[ZCONSENSUSDEMANDQTY]_x000D_
[LOCID].[].[7K10]_x000D_
[PRDID].[].[10001522]_x000D_
[KEY_FIGURES].[].[ZINPUTSOFC]_x000D_
[LOCID].[].[7K10]_x000D_
[PRDID].[].[10001522]_x000D_
[KEY_FIGURES].[].[ZFORECASTOPENOUTPUT]_x000D_
[LOCID].[].[7K10]_x000D_
[PRDID].[].[10001522]_x000D_
[KEY_FIGURES].[].[ZACTUALSALES]_x000D_
[LOCID].[].[7K10]_x000D_
[PRDID].[].[10001522]_x000D_
[KEY_FIGURES].[].[ZCONSENSUSDEMAND]_x000D_
[LOCID].[].[7K10]_x000D_
[PRDID].[].[10001522]_x000D_
[KEY_FIGURES].[].[INDEPENDENTDEMAND]_x000D_
[LOCID].[].[7K10]_x000D_
[PRDID].[].[10001523]_x000D_
[KEY_FIGURES].[].[ZCONSENSUSDEMANDQTY]_x000D_
[LOCID].[].[7K10]_x000D_
[PRDID].[].[10001523]_x000D_
[KEY_FIGURES].[].[ZINPUTSOFC]_x000D_
[LOCID].[].[7K10]_x000D_
[PRDID].[].[10001523]_x000D_
[KEY_FIGURES].[].[ZFORECASTOPENOUTPUT]_x000D_
[LOCID].[].[7K10]_x000D_
[PRDID].[].[10001523]_x000D_
[KEY_FIGURES].[].[ZACTUALSALES]_x000D_
[LOCID].[].[7K10]_x000D_
[PRDID].[].[10001523]_x000D_
[KEY_FIGURES].[].[ZCONSENSUSDEMAND]_x000D_
[LOCID].[].[7K10]_x000D_
[PRDID].[].[10001523]_x000D_
[KEY_FIGURES].[].[INDEPENDENTDEMAND]_x000D_
[LOCID].[].[7K10]_x000D_
[PRDID].[].[10001524]_x000D_
[KEY_FIGURES].[].[ZCONSENSUSDEMANDQTY]_x000D_
[LOCID].[].[7K10]_x000D_
[PRDID].[].[10001524]_x000D_
[KEY_FIGURES].[].[ZINPUTSOFC]_x000D_
[LOCID].[].[7K10]_x000D_
[PRDID].[].[10001524]_x000D_
[KEY_FIGURES].[].[ZFORECASTOPENOUTPUT]_x000D_
[LOCID].[].[7K10]_x000D_
[PRDID].[].[10001524]_x000D_
[KEY_FIGURES].[].[ZACTUALSALES]_x000D_
[LOCID].[].[7K10]_x000D_
[PRDID].[].[10001524]_x000D_
[KEY_FIGURES].[].[ZCONSENSUSDEMAND]_x000D_
[LOCID].[].[7K10]_x000D_
[PRDID].[].[10001524]_x000D_
[KEY_FIGURES].[].[INDEPENDENTDEMAND]_x000D_
[LOCID].[].[7K10]_x000D_
[PRDID].[].[10001525]_x000D_
[KEY_FIGURES].[].[ZCONSENSUSDEMANDQTY]_x000D_
[LOCID].[].[7K10]_x000D_
[PRDID].[].[10001525]_x000D_
[KEY_FIGURES].[].[ZINPUTSOFC]_x000D_
[LOCID].[].[7K10]_x000D_
[PRDID].[].[10001525]_x000D_
[KEY_FIGURES].[].[ZFORECASTOPENOUTPUT]_x000D_
[LOCID].[].[7K10]_x000D_
[PRDID].[].[10001525]_x000D_
[KEY_FIGURES].[].[ZACTUALSALES]_x000D_
[LOCID].[].[7K10]_x000D_
[PRDID].[].[10001525]_x000D_
[KEY_FIGURES].[].[ZCONSENSUSDEMAND]_x000D_
[LOCID].[].[7K10]</t>
  </si>
  <si>
    <t>[PRDID].[].[10001525]_x000D_
[KEY_FIGURES].[].[INDEPENDENTDEMAND]_x000D_
[LOCID].[].[7K10]_x000D_
[PRDID].[].[10001526]_x000D_
[KEY_FIGURES].[].[ZCONSENSUSDEMANDQTY]_x000D_
[LOCID].[].[7K10]_x000D_
[PRDID].[].[10001526]_x000D_
[KEY_FIGURES].[].[ZINPUTSOFC]_x000D_
[LOCID].[].[7K10]_x000D_
[PRDID].[].[10001526]_x000D_
[KEY_FIGURES].[].[ZFORECASTOPENOUTPUT]_x000D_
[LOCID].[].[7K10]_x000D_
[PRDID].[].[10001526]_x000D_
[KEY_FIGURES].[].[ZACTUALSALES]_x000D_
[LOCID].[].[7K10]_x000D_
[PRDID].[].[10001526]_x000D_
[KEY_FIGURES].[].[ZCONSENSUSDEMAND]_x000D_
[LOCID].[].[7K10]_x000D_
[PRDID].[].[10001526]_x000D_
[KEY_FIGURES].[].[INDEPENDENTDEMAND]_x000D_
[LOCID].[].[7K10]_x000D_
[PRDID].[].[10001527]_x000D_
[KEY_FIGURES].[].[ZCONSENSUSDEMANDQTY]_x000D_
[LOCID].[].[7K10]_x000D_
[PRDID].[].[10001527]_x000D_
[KEY_FIGURES].[].[ZINPUTSOFC]_x000D_
[LOCID].[].[7K10]_x000D_
[PRDID].[].[10001527]_x000D_
[KEY_FIGURES].[].[ZFORECASTOPENOUTPUT]_x000D_
[LOCID].[].[7K10]_x000D_
[PRDID].[].[10001527]_x000D_
[KEY_FIGURES].[].[ZACTUALSALES]_x000D_
[LOCID].[].[7K10]_x000D_
[PRDID].[].[10001527]_x000D_
[KEY_FIGURES].[].[ZCONSENSUSDEMAND]_x000D_
[LOCID].[].[7K10]_x000D_
[PRDID].[].[10001527]_x000D_
[KEY_FIGURES].[].[INDEPENDENTDEMAND]_x000D_
[LOCID].[].[7K10]_x000D_
[PRDID].[].[10001528]_x000D_
[KEY_FIGURES].[].[ZCONSENSUSDEMANDQTY]_x000D_
[LOCID].[].[7K10]_x000D_
[PRDID].[].[10001528]_x000D_
[KEY_FIGURES].[].[ZINPUTSOFC]_x000D_
[LOCID].[].[7K10]_x000D_
[PRDID].[].[10001528]_x000D_
[KEY_FIGURES].[].[ZFORECASTOPENOUTPUT]_x000D_
[LOCID].[].[7K10]_x000D_
[PRDID].[].[10001528]_x000D_
[KEY_FIGURES].[].[ZACTUALSALES]_x000D_
[LOCID].[].[7K10]_x000D_
[PRDID].[].[10001528]_x000D_
[KEY_FIGURES].[].[ZCONSENSUSDEMAND]_x000D_
[LOCID].[].[7K10]_x000D_
[PRDID].[].[10001528]_x000D_
[KEY_FIGURES].[].[INDEPENDENTDEMAND]_x000D_
[LOCID].[].[7K10]_x000D_
[PRDID].[].[10001529]_x000D_
[KEY_FIGURES].[].[ZCONSENSUSDEMANDQTY]_x000D_
[LOCID].[].[7K10]_x000D_
[PRDID].[].[10001529]_x000D_
[KEY_FIGURES].[].[ZINPUTSOFC]_x000D_
[LOCID].[].[7K10]_x000D_
[PRDID].[].[10001529]_x000D_
[KEY_FIGURES].[].[ZFORECASTOPENOUTPUT]_x000D_
[LOCID].[].[7K10]_x000D_
[PRDID].[].[10001529]_x000D_
[KEY_FIGURES].[].[ZACTUALSALES]_x000D_
[LOCID].[].[7K10]_x000D_
[PRDID].[].[10001529]_x000D_
[KEY_FIGURES].[].[ZCONSENSUSDEMAND]_x000D_
[LOCID].[].[7K10]_x000D_
[PRDID].[].[10001529]_x000D_
[KEY_FIGURES].[].[INDEPENDENTDEMAND]_x000D_
[LOCID].[].[7K10]_x000D_
[PRDID].[].[10001530]_x000D_
[KEY_FIGURES].[].[ZCONSENSUSDEMANDQTY]_x000D_
[LOCID].[].[7K10]_x000D_
[PRDID].[].[10001530]_x000D_
[KEY_FIGURES].[].[ZINPUTSOFC]_x000D_
[LOCID].[].[7K10]_x000D_
[PRDID].[].[10001530]_x000D_
[KEY_FIGURES].[].[ZFORECASTOPENOUTPUT]_x000D_
[LOCID].[].[7K10]_x000D_
[PRDID].[].[10001530]_x000D_
[KEY_FIGURES].[].[ZACTUALSALES]_x000D_
[LOCID].[].[7K10]_x000D_
[PRDID].[].[10001530]_x000D_
[KEY_FIGURES].[].[ZCONSENSUSDEMAND]_x000D_
[LOCID].[].[7K10]_x000D_
[PRDID].[].[10001530]_x000D_
[KEY_FIGURES].[].[INDEPENDENTDEMAND]_x000D_
[LOCID].[].[7K10]_x000D_
[PRDID].[].[10001531]_x000D_
[KEY_FIGURES].[].[ZCONSENSUSDEMANDQTY]_x000D_
[LOCID].[].[7K10]_x000D_
[PRDID].[].[10001531]_x000D_
[KEY_FIGURES].[].[ZINPUTSOFC]_x000D_
[LOCID].[].[7K10]_x000D_
[PRDID].[].[10001531]_x000D_
[KEY_FIGURES].[].[ZFORECASTOPENOUTPUT]_x000D_
[LOCID].[].[7K10]_x000D_
[PRDID].[].[10001531]_x000D_
[KEY_FIGURES].[].[ZACTUALSALES]_x000D_
[LOCID].[].[7K10]_x000D_
[PRDID].[].[10001531]_x000D_
[KEY_FIGURES].[].[ZCONSENSUSDEMAND]_x000D_
[LOCID].[].[7K10]_x000D_
[PRDID].[].[10001531]_x000D_
[KEY_FIGURES].[].[INDEPENDENTDEMAND]_x000D_
[LOCID].[].[7K10]_x000D_
[PRDID].[].[10001532]_x000D_
[KEY_FIGURES].[].[ZCONSENSUSDEMANDQTY]_x000D_
[LOCID].[].[7K10]_x000D_
[PRDID].[].[10001532]_x000D_
[KEY_FIGURES].[].[ZINPUTSOFC]_x000D_
[LOCID].[].[7K10]_x000D_
[PRDID].[].[10001532]_x000D_
[KEY_FIGURES].[].[ZFORECASTOPENOUTPUT]_x000D_
[LOCID].[].[7K10]_x000D_
[PRDID].[].[10001532]_x000D_
[KEY_FIGURES].[].[ZACTUALSALES]_x000D_
[LOCID].[].[7K10]_x000D_
[PRDID].[].[10001532]_x000D_
[KEY_FIGURES].[].[ZCONSENSUSDEMAND]_x000D_
[LOCID].[].[7K10]_x000D_
[PRDID].[].[10001532]_x000D_
[KEY_FIGURES].[].[INDEPENDENTDEMAND]_x000D_
[LOCID].[].[7K10]_x000D_
[PRDID].[].[10001533]_x000D_
[KEY_FIGURES].[].[ZCONSENSUSDEMANDQTY]_x000D_
[LOCID].[].[7K10]_x000D_
[PRDID].[].[10001533]_x000D_
[KEY_FIGURES].[].[ZINPUTSOFC]_x000D_
[LOCID].[].[7K10]_x000D_
[PRDID].[].[10001533]_x000D_
[KEY_FIGURES].[].[ZFORECASTOPENOUTPUT]_x000D_
[LOCID].[].[7K10]_x000D_
[PRDID].[].[10001533]_x000D_
[KEY_FIGURES].[].[ZACTUALSALES]_x000D_
[LOCID].[].[7K10]_x000D_
[PRDID].[].[10001533]_x000D_
[KEY_FIGURES].[].[ZCONSENSUSDEMAND]_x000D_
[LOCID].[].[7K10]_x000D_
[PRDID].[].[10001533]_x000D_
[KEY_FIGURES].[].[INDEPENDENTDEMAND]_x000D_
[LOCID].[].[7K10]_x000D_
[PRDID].[].[10001534]_x000D_
[KEY_FIGURES].[].[ZCONSENSUSDEMANDQTY]_x000D_
[LOCID].[].[7K10]_x000D_
[PRDID].[].[10001534]_x000D_
[KEY_FIGURES].[].[ZINPUTSOFC]_x000D_
[LOCID].[].[7K10]_x000D_
[PRDID].[].[10001534]_x000D_
[KEY_FIGURES].[].[ZFORECASTOPENOUTPUT]_x000D_
[LOCID].[].[7K10]_x000D_
[PRDID].[].[10001534]_x000D_
[KEY_FIGURES].[].[ZACTUALSALES]_x000D_
[LOCID].[].[7K10]_x000D_
[PRDID].[].[10001534]_x000D_
[KEY_FIGURES].[].[ZCONSENSUSDEMAND]_x000D_
[LOCID].[].[7K10]_x000D_
[PRDID].[].[10001534]_x000D_
[KEY_FIGURES].[].[INDEPENDENTDEMAND]_x000D_
[LOCID].[].[7K10]_x000D_
[PRDID].[].[10001535]_x000D_
[KEY_FIGURES].[].[ZCONSENSUSDEMANDQTY]_x000D_
[LOCID].[].[7K10]_x000D_
[PRDID].[].[10001535]_x000D_
[KEY_FIGURES].[].[ZINPUTSOFC]_x000D_
[LOCID].[].[7K10]_x000D_
[PRDID].[].[10001535]_x000D_
[KEY_FIGURES].[].[ZFORECASTOPENOUTPUT]_x000D_
[LOCID].[].[7K10]_x000D_
[PRDID].[].[10001535]_x000D_
[KEY_FIGURES].[].[ZACTUALSALES]_x000D_
[LOCID].[].[7K10]_x000D_
[PRDID].[].[10001535]_x000D_
[KEY_FIGURES].[].[ZCONSENSUSDEMAND]_x000D_
[LOCID].[].[7K10]_x000D_
[PRDID].[].[10001535]_x000D_
[KEY_FIGURES].[].[INDEPENDENTDEMAND]_x000D_
[LOCID].[].[7K10]_x000D_
[PRDID].[].[10001536]_x000D_
[KEY_FIGURES].[].[ZCONSENSUSDEMANDQTY]_x000D_
[LOCID].[].[7K10]_x000D_
[PRDID].[].[10001536]_x000D_
[KEY_FIGURES].[].[ZINPUTSOFC]_x000D_
[LOCID].[].[7K10]_x000D_
[PRDID].[].[10001536]_x000D_
[KEY_FIGURES].[].[ZFORECASTOPENOUTPUT]_x000D_
[LOCID].[].[7K10]_x000D_
[PRDID].[].[10001536]_x000D_
[KEY_FIGURES].[].[ZACTUALSALES]_x000D_
[LOCID].[].[7K10]_x000D_
[PRDID].[].[10001536]_x000D_
[KEY_FIGURES].[].[ZCONSENSUSDEMAND]_x000D_
[LOCID].[].[7K10]_x000D_
[PRDID].[].[10001536]_x000D_
[KEY_FIGURES].[].[INDEPENDENTDEMAND]</t>
  </si>
  <si>
    <t>[LOCID].[].[7K10]_x000D_
[PRDID].[].[10001537]_x000D_
[KEY_FIGURES].[].[ZCONSENSUSDEMANDQTY]_x000D_
[LOCID].[].[7K10]_x000D_
[PRDID].[].[10001537]_x000D_
[KEY_FIGURES].[].[ZINPUTSOFC]_x000D_
[LOCID].[].[7K10]_x000D_
[PRDID].[].[10001537]_x000D_
[KEY_FIGURES].[].[ZFORECASTOPENOUTPUT]_x000D_
[LOCID].[].[7K10]_x000D_
[PRDID].[].[10001537]_x000D_
[KEY_FIGURES].[].[ZACTUALSALES]_x000D_
[LOCID].[].[7K10]_x000D_
[PRDID].[].[10001537]_x000D_
[KEY_FIGURES].[].[ZCONSENSUSDEMAND]_x000D_
[LOCID].[].[7K10]_x000D_
[PRDID].[].[10001537]_x000D_
[KEY_FIGURES].[].[INDEPENDENTDEMAND]_x000D_
[LOCID].[].[7K10]_x000D_
[PRDID].[].[10001538]_x000D_
[KEY_FIGURES].[].[ZCONSENSUSDEMANDQTY]_x000D_
[LOCID].[].[7K10]_x000D_
[PRDID].[].[10001538]_x000D_
[KEY_FIGURES].[].[ZINPUTSOFC]_x000D_
[LOCID].[].[7K10]_x000D_
[PRDID].[].[10001538]_x000D_
[KEY_FIGURES].[].[ZFORECASTOPENOUTPUT]_x000D_
[LOCID].[].[7K10]_x000D_
[PRDID].[].[10001538]_x000D_
[KEY_FIGURES].[].[ZACTUALSALES]_x000D_
[LOCID].[].[7K10]_x000D_
[PRDID].[].[10001538]_x000D_
[KEY_FIGURES].[].[ZCONSENSUSDEMAND]_x000D_
[LOCID].[].[7K10]_x000D_
[PRDID].[].[10001538]_x000D_
[KEY_FIGURES].[].[INDEPENDENTDEMAND]_x000D_
[LOCID].[].[7K10]_x000D_
[PRDID].[].[10001539]_x000D_
[KEY_FIGURES].[].[ZCONSENSUSDEMANDQTY]_x000D_
[LOCID].[].[7K10]_x000D_
[PRDID].[].[10001539]_x000D_
[KEY_FIGURES].[].[ZINPUTSOFC]_x000D_
[LOCID].[].[7K10]_x000D_
[PRDID].[].[10001539]_x000D_
[KEY_FIGURES].[].[ZFORECASTOPENOUTPUT]_x000D_
[LOCID].[].[7K10]_x000D_
[PRDID].[].[10001539]_x000D_
[KEY_FIGURES].[].[ZACTUALSALES]_x000D_
[LOCID].[].[7K10]_x000D_
[PRDID].[].[10001539]_x000D_
[KEY_FIGURES].[].[ZCONSENSUSDEMAND]_x000D_
[LOCID].[].[7K10]_x000D_
[PRDID].[].[10001539]_x000D_
[KEY_FIGURES].[].[INDEPENDENTDEMAND]_x000D_
[LOCID].[].[7K10]_x000D_
[PRDID].[].[10001540]_x000D_
[KEY_FIGURES].[].[ZCONSENSUSDEMANDQTY]_x000D_
[LOCID].[].[7K10]_x000D_
[PRDID].[].[10001540]_x000D_
[KEY_FIGURES].[].[ZINPUTSOFC]_x000D_
[LOCID].[].[7K10]_x000D_
[PRDID].[].[10001540]_x000D_
[KEY_FIGURES].[].[ZFORECASTOPENOUTPUT]_x000D_
[LOCID].[].[7K10]_x000D_
[PRDID].[].[10001540]_x000D_
[KEY_FIGURES].[].[ZACTUALSALES]_x000D_
[LOCID].[].[7K10]_x000D_
[PRDID].[].[10001540]_x000D_
[KEY_FIGURES].[].[ZCONSENSUSDEMAND]_x000D_
[LOCID].[].[7K10]_x000D_
[PRDID].[].[10001540]_x000D_
[KEY_FIGURES].[].[INDEPENDENTDEMAND]_x000D_
[LOCID].[].[7K10]_x000D_
[PRDID].[].[10001541]_x000D_
[KEY_FIGURES].[].[ZCONSENSUSDEMANDQTY]_x000D_
[LOCID].[].[7K10]_x000D_
[PRDID].[].[10001541]_x000D_
[KEY_FIGURES].[].[ZINPUTSOFC]_x000D_
[LOCID].[].[7K10]_x000D_
[PRDID].[].[10001541]_x000D_
[KEY_FIGURES].[].[ZFORECASTOPENOUTPUT]_x000D_
[LOCID].[].[7K10]_x000D_
[PRDID].[].[10001541]_x000D_
[KEY_FIGURES].[].[ZACTUALSALES]_x000D_
[LOCID].[].[7K10]_x000D_
[PRDID].[].[10001541]_x000D_
[KEY_FIGURES].[].[ZCONSENSUSDEMAND]_x000D_
[LOCID].[].[7K10]_x000D_
[PRDID].[].[10001541]_x000D_
[KEY_FIGURES].[].[INDEPENDENTDEMAND]_x000D_
[LOCID].[].[7K10]_x000D_
[PRDID].[].[10001542]_x000D_
[KEY_FIGURES].[].[ZCONSENSUSDEMANDQTY]_x000D_
[LOCID].[].[7K10]_x000D_
[PRDID].[].[10001542]_x000D_
[KEY_FIGURES].[].[ZINPUTSOFC]_x000D_
[LOCID].[].[7K10]_x000D_
[PRDID].[].[10001542]_x000D_
[KEY_FIGURES].[].[ZFORECASTOPENOUTPUT]_x000D_
[LOCID].[].[7K10]_x000D_
[PRDID].[].[10001542]_x000D_
[KEY_FIGURES].[].[ZACTUALSALES]_x000D_
[LOCID].[].[7K10]_x000D_
[PRDID].[].[10001542]_x000D_
[KEY_FIGURES].[].[ZCONSENSUSDEMAND]_x000D_
[LOCID].[].[7K10]_x000D_
[PRDID].[].[10001542]_x000D_
[KEY_FIGURES].[].[INDEPENDENTDEMAND]_x000D_
[LOCID].[].[7K10]_x000D_
[PRDID].[].[10001543]_x000D_
[KEY_FIGURES].[].[ZCONSENSUSDEMANDQTY]_x000D_
[LOCID].[].[7K10]_x000D_
[PRDID].[].[10001543]_x000D_
[KEY_FIGURES].[].[ZINPUTSOFC]_x000D_
[LOCID].[].[7K10]_x000D_
[PRDID].[].[10001543]_x000D_
[KEY_FIGURES].[].[ZFORECASTOPENOUTPUT]_x000D_
[LOCID].[].[7K10]_x000D_
[PRDID].[].[10001543]_x000D_
[KEY_FIGURES].[].[ZACTUALSALES]_x000D_
[LOCID].[].[7K10]_x000D_
[PRDID].[].[10001543]_x000D_
[KEY_FIGURES].[].[ZCONSENSUSDEMAND]_x000D_
[LOCID].[].[7K10]_x000D_
[PRDID].[].[10001543]_x000D_
[KEY_FIGURES].[].[INDEPENDENTDEMAND]_x000D_
[LOCID].[].[7K10]_x000D_
[PRDID].[].[10001544]_x000D_
[KEY_FIGURES].[].[ZCONSENSUSDEMANDQTY]_x000D_
[LOCID].[].[7K10]_x000D_
[PRDID].[].[10001544]_x000D_
[KEY_FIGURES].[].[ZINPUTSOFC]_x000D_
[LOCID].[].[7K10]_x000D_
[PRDID].[].[10001544]_x000D_
[KEY_FIGURES].[].[ZFORECASTOPENOUTPUT]_x000D_
[LOCID].[].[7K10]_x000D_
[PRDID].[].[10001544]_x000D_
[KEY_FIGURES].[].[ZACTUALSALES]_x000D_
[LOCID].[].[7K10]_x000D_
[PRDID].[].[10001544]_x000D_
[KEY_FIGURES].[].[ZCONSENSUSDEMAND]_x000D_
[LOCID].[].[7K10]_x000D_
[PRDID].[].[10001544]_x000D_
[KEY_FIGURES].[].[INDEPENDENTDEMAND]_x000D_
[LOCID].[].[7K10]_x000D_
[PRDID].[].[10001545]_x000D_
[KEY_FIGURES].[].[ZCONSENSUSDEMANDQTY]_x000D_
[LOCID].[].[7K10]_x000D_
[PRDID].[].[10001545]_x000D_
[KEY_FIGURES].[].[ZINPUTSOFC]_x000D_
[LOCID].[].[7K10]_x000D_
[PRDID].[].[10001545]_x000D_
[KEY_FIGURES].[].[ZFORECASTOPENOUTPUT]_x000D_
[LOCID].[].[7K10]_x000D_
[PRDID].[].[10001545]_x000D_
[KEY_FIGURES].[].[ZACTUALSALES]_x000D_
[LOCID].[].[7K10]_x000D_
[PRDID].[].[10001545]_x000D_
[KEY_FIGURES].[].[ZCONSENSUSDEMAND]_x000D_
[LOCID].[].[7K10]_x000D_
[PRDID].[].[10001545]_x000D_
[KEY_FIGURES].[].[INDEPENDENTDEMAND]_x000D_
[LOCID].[].[7K10]_x000D_
[PRDID].[].[10001546]_x000D_
[KEY_FIGURES].[].[ZCONSENSUSDEMANDQTY]_x000D_
[LOCID].[].[7K10]_x000D_
[PRDID].[].[10001546]_x000D_
[KEY_FIGURES].[].[ZINPUTSOFC]_x000D_
[LOCID].[].[7K10]_x000D_
[PRDID].[].[10001546]_x000D_
[KEY_FIGURES].[].[ZFORECASTOPENOUTPUT]_x000D_
[LOCID].[].[7K10]_x000D_
[PRDID].[].[10001546]_x000D_
[KEY_FIGURES].[].[ZACTUALSALES]_x000D_
[LOCID].[].[7K10]_x000D_
[PRDID].[].[10001546]_x000D_
[KEY_FIGURES].[].[ZCONSENSUSDEMAND]_x000D_
[LOCID].[].[7K10]_x000D_
[PRDID].[].[10001546]_x000D_
[KEY_FIGURES].[].[INDEPENDENTDEMAND]_x000D_
[LOCID].[].[7K10]_x000D_
[PRDID].[].[10001547]_x000D_
[KEY_FIGURES].[].[ZCONSENSUSDEMANDQTY]_x000D_
[LOCID].[].[7K10]_x000D_
[PRDID].[].[10001547]_x000D_
[KEY_FIGURES].[].[ZINPUTSOFC]_x000D_
[LOCID].[].[7K10]_x000D_
[PRDID].[].[10001547]_x000D_
[KEY_FIGURES].[].[ZFORECASTOPENOUTPUT]_x000D_
[LOCID].[].[7K10]_x000D_
[PRDID].[].[10001547]_x000D_
[KEY_FIGURES].[].[ZACTUALSALES]_x000D_
[LOCID].[].[7K10]_x000D_
[PRDID].[].[10001547]_x000D_
[KEY_FIGURES].[].[ZCONSENSUSDEMAND]_x000D_
[LOCID].[].[7K10]_x000D_
[PRDID].[].[10001547]_x000D_
[KEY_FIGURES].[].[INDEPENDENTDEMAND]_x000D_
[LOCID].[].[7K10]_x000D_
[PRDID].[].[10001548]</t>
  </si>
  <si>
    <t>[KEY_FIGURES].[].[ZCONSENSUSDEMANDQTY]_x000D_
[LOCID].[].[7K10]_x000D_
[PRDID].[].[10001548]_x000D_
[KEY_FIGURES].[].[ZINPUTSOFC]_x000D_
[LOCID].[].[7K10]_x000D_
[PRDID].[].[10001548]_x000D_
[KEY_FIGURES].[].[ZFORECASTOPENOUTPUT]_x000D_
[LOCID].[].[7K10]_x000D_
[PRDID].[].[10001548]_x000D_
[KEY_FIGURES].[].[ZACTUALSALES]_x000D_
[LOCID].[].[7K10]_x000D_
[PRDID].[].[10001548]_x000D_
[KEY_FIGURES].[].[ZCONSENSUSDEMAND]_x000D_
[LOCID].[].[7K10]_x000D_
[PRDID].[].[10001548]_x000D_
[KEY_FIGURES].[].[INDEPENDENTDEMAND]_x000D_
[LOCID].[].[7K10]_x000D_
[PRDID].[].[10001549]_x000D_
[KEY_FIGURES].[].[ZCONSENSUSDEMANDQTY]_x000D_
[LOCID].[].[7K10]_x000D_
[PRDID].[].[10001549]_x000D_
[KEY_FIGURES].[].[ZINPUTSOFC]_x000D_
[LOCID].[].[7K10]_x000D_
[PRDID].[].[10001549]_x000D_
[KEY_FIGURES].[].[ZFORECASTOPENOUTPUT]_x000D_
[LOCID].[].[7K10]_x000D_
[PRDID].[].[10001549]_x000D_
[KEY_FIGURES].[].[ZACTUALSALES]_x000D_
[LOCID].[].[7K10]_x000D_
[PRDID].[].[10001549]_x000D_
[KEY_FIGURES].[].[ZCONSENSUSDEMAND]_x000D_
[LOCID].[].[7K10]_x000D_
[PRDID].[].[10001549]_x000D_
[KEY_FIGURES].[].[INDEPENDENTDEMAND]_x000D_
[LOCID].[].[7K10]_x000D_
[PRDID].[].[10001550]_x000D_
[KEY_FIGURES].[].[ZCONSENSUSDEMANDQTY]_x000D_
[LOCID].[].[7K10]_x000D_
[PRDID].[].[10001550]_x000D_
[KEY_FIGURES].[].[ZINPUTSOFC]_x000D_
[LOCID].[].[7K10]_x000D_
[PRDID].[].[10001550]_x000D_
[KEY_FIGURES].[].[ZFORECASTOPENOUTPUT]_x000D_
[LOCID].[].[7K10]_x000D_
[PRDID].[].[10001550]_x000D_
[KEY_FIGURES].[].[ZACTUALSALES]_x000D_
[LOCID].[].[7K10]_x000D_
[PRDID].[].[10001550]_x000D_
[KEY_FIGURES].[].[ZCONSENSUSDEMAND]_x000D_
[LOCID].[].[7K10]_x000D_
[PRDID].[].[10001550]_x000D_
[KEY_FIGURES].[].[INDEPENDENTDEMAND]_x000D_
[LOCID].[].[7K10]_x000D_
[PRDID].[].[10001551]_x000D_
[KEY_FIGURES].[].[ZCONSENSUSDEMANDQTY]_x000D_
[LOCID].[].[7K10]_x000D_
[PRDID].[].[10001551]_x000D_
[KEY_FIGURES].[].[ZINPUTSOFC]_x000D_
[LOCID].[].[7K10]_x000D_
[PRDID].[].[10001551]_x000D_
[KEY_FIGURES].[].[ZFORECASTOPENOUTPUT]_x000D_
[LOCID].[].[7K10]_x000D_
[PRDID].[].[10001551]_x000D_
[KEY_FIGURES].[].[ZACTUALSALES]_x000D_
[LOCID].[].[7K10]_x000D_
[PRDID].[].[10001551]_x000D_
[KEY_FIGURES].[].[ZCONSENSUSDEMAND]_x000D_
[LOCID].[].[7K10]_x000D_
[PRDID].[].[10001551]_x000D_
[KEY_FIGURES].[].[INDEPENDENTDEMAND]_x000D_
[LOCID].[].[7K10]_x000D_
[PRDID].[].[10001552]_x000D_
[KEY_FIGURES].[].[ZCONSENSUSDEMANDQTY]_x000D_
[LOCID].[].[7K10]_x000D_
[PRDID].[].[10001552]_x000D_
[KEY_FIGURES].[].[ZINPUTSOFC]_x000D_
[LOCID].[].[7K10]_x000D_
[PRDID].[].[10001552]_x000D_
[KEY_FIGURES].[].[ZFORECASTOPENOUTPUT]_x000D_
[LOCID].[].[7K10]_x000D_
[PRDID].[].[10001552]_x000D_
[KEY_FIGURES].[].[ZACTUALSALES]_x000D_
[LOCID].[].[7K10]_x000D_
[PRDID].[].[10001552]_x000D_
[KEY_FIGURES].[].[ZCONSENSUSDEMAND]_x000D_
[LOCID].[].[7K10]_x000D_
[PRDID].[].[10001552]_x000D_
[KEY_FIGURES].[].[INDEPENDENTDEMAND]_x000D_
[LOCID].[].[7K10]_x000D_
[PRDID].[].[10001553]_x000D_
[KEY_FIGURES].[].[ZCONSENSUSDEMANDQTY]_x000D_
[LOCID].[].[7K10]_x000D_
[PRDID].[].[10001553]_x000D_
[KEY_FIGURES].[].[ZINPUTSOFC]_x000D_
[LOCID].[].[7K10]_x000D_
[PRDID].[].[10001553]_x000D_
[KEY_FIGURES].[].[ZFORECASTOPENOUTPUT]_x000D_
[LOCID].[].[7K10]_x000D_
[PRDID].[].[10001553]_x000D_
[KEY_FIGURES].[].[ZACTUALSALES]_x000D_
[LOCID].[].[7K10]_x000D_
[PRDID].[].[10001553]_x000D_
[KEY_FIGURES].[].[ZCONSENSUSDEMAND]_x000D_
[LOCID].[].[7K10]_x000D_
[PRDID].[].[10001553]_x000D_
[KEY_FIGURES].[].[INDEPENDENTDEMAND]_x000D_
[LOCID].[].[7K10]_x000D_
[PRDID].[].[10001554]_x000D_
[KEY_FIGURES].[].[ZCONSENSUSDEMANDQTY]_x000D_
[LOCID].[].[7K10]_x000D_
[PRDID].[].[10001554]_x000D_
[KEY_FIGURES].[].[ZINPUTSOFC]_x000D_
[LOCID].[].[7K10]_x000D_
[PRDID].[].[10001554]_x000D_
[KEY_FIGURES].[].[ZFORECASTOPENOUTPUT]_x000D_
[LOCID].[].[7K10]_x000D_
[PRDID].[].[10001554]_x000D_
[KEY_FIGURES].[].[ZACTUALSALES]_x000D_
[LOCID].[].[7K10]_x000D_
[PRDID].[].[10001554]_x000D_
[KEY_FIGURES].[].[ZCONSENSUSDEMAND]_x000D_
[LOCID].[].[7K10]_x000D_
[PRDID].[].[10001554]_x000D_
[KEY_FIGURES].[].[INDEPENDENTDEMAND]_x000D_
[LOCID].[].[7K10]_x000D_
[PRDID].[].[10001555]_x000D_
[KEY_FIGURES].[].[ZCONSENSUSDEMANDQTY]_x000D_
[LOCID].[].[7K10]_x000D_
[PRDID].[].[10001555]_x000D_
[KEY_FIGURES].[].[ZINPUTSOFC]_x000D_
[LOCID].[].[7K10]_x000D_
[PRDID].[].[10001555]_x000D_
[KEY_FIGURES].[].[ZFORECASTOPENOUTPUT]_x000D_
[LOCID].[].[7K10]_x000D_
[PRDID].[].[10001555]_x000D_
[KEY_FIGURES].[].[ZACTUALSALES]_x000D_
[LOCID].[].[7K10]_x000D_
[PRDID].[].[10001555]_x000D_
[KEY_FIGURES].[].[ZCONSENSUSDEMAND]_x000D_
[LOCID].[].[7K10]_x000D_
[PRDID].[].[10001555]_x000D_
[KEY_FIGURES].[].[INDEPENDENTDEMAND]_x000D_
[LOCID].[].[7K10]_x000D_
[PRDID].[].[10001556]_x000D_
[KEY_FIGURES].[].[ZCONSENSUSDEMANDQTY]_x000D_
[LOCID].[].[7K10]_x000D_
[PRDID].[].[10001556]_x000D_
[KEY_FIGURES].[].[ZINPUTSOFC]_x000D_
[LOCID].[].[7K10]_x000D_
[PRDID].[].[10001556]_x000D_
[KEY_FIGURES].[].[ZFORECASTOPENOUTPUT]_x000D_
[LOCID].[].[7K10]_x000D_
[PRDID].[].[10001556]_x000D_
[KEY_FIGURES].[].[ZACTUALSALES]_x000D_
[LOCID].[].[7K10]_x000D_
[PRDID].[].[10001556]_x000D_
[KEY_FIGURES].[].[ZCONSENSUSDEMAND]_x000D_
[LOCID].[].[7K10]_x000D_
[PRDID].[].[10001556]_x000D_
[KEY_FIGURES].[].[INDEPENDENTDEMAND]_x000D_
[LOCID].[].[7K10]_x000D_
[PRDID].[].[10001557]_x000D_
[KEY_FIGURES].[].[ZCONSENSUSDEMANDQTY]_x000D_
[LOCID].[].[7K10]_x000D_
[PRDID].[].[10001557]_x000D_
[KEY_FIGURES].[].[ZINPUTSOFC]_x000D_
[LOCID].[].[7K10]_x000D_
[PRDID].[].[10001557]_x000D_
[KEY_FIGURES].[].[ZFORECASTOPENOUTPUT]_x000D_
[LOCID].[].[7K10]_x000D_
[PRDID].[].[10001557]_x000D_
[KEY_FIGURES].[].[ZACTUALSALES]_x000D_
[LOCID].[].[7K10]_x000D_
[PRDID].[].[10001557]_x000D_
[KEY_FIGURES].[].[ZCONSENSUSDEMAND]_x000D_
[LOCID].[].[7K10]_x000D_
[PRDID].[].[10001557]_x000D_
[KEY_FIGURES].[].[INDEPENDENTDEMAND]_x000D_
[LOCID].[].[7K10]_x000D_
[PRDID].[].[10001558]_x000D_
[KEY_FIGURES].[].[ZCONSENSUSDEMANDQTY]_x000D_
[LOCID].[].[7K10]_x000D_
[PRDID].[].[10001558]_x000D_
[KEY_FIGURES].[].[ZINPUTSOFC]_x000D_
[LOCID].[].[7K10]_x000D_
[PRDID].[].[10001558]_x000D_
[KEY_FIGURES].[].[ZFORECASTOPENOUTPUT]_x000D_
[LOCID].[].[7K10]_x000D_
[PRDID].[].[10001558]_x000D_
[KEY_FIGURES].[].[ZACTUALSALES]_x000D_
[LOCID].[].[7K10]_x000D_
[PRDID].[].[10001558]_x000D_
[KEY_FIGURES].[].[ZCONSENSUSDEMAND]_x000D_
[LOCID].[].[7K10]_x000D_
[PRDID].[].[10001558]_x000D_
[KEY_FIGURES].[].[INDEPENDENTDEMAND]_x000D_
[LOCID].[].[7K10]_x000D_
[PRDID].[].[10001559]_x000D_
[KEY_FIGURES].[].[ZCONSENSUSDEMANDQTY]_x000D_
[LOCID].[].[7K10]</t>
  </si>
  <si>
    <t>[PRDID].[].[10001559]_x000D_
[KEY_FIGURES].[].[ZINPUTSOFC]_x000D_
[LOCID].[].[7K10]_x000D_
[PRDID].[].[10001559]_x000D_
[KEY_FIGURES].[].[ZFORECASTOPENOUTPUT]_x000D_
[LOCID].[].[7K10]_x000D_
[PRDID].[].[10001559]_x000D_
[KEY_FIGURES].[].[ZACTUALSALES]_x000D_
[LOCID].[].[7K10]_x000D_
[PRDID].[].[10001559]_x000D_
[KEY_FIGURES].[].[ZCONSENSUSDEMAND]_x000D_
[LOCID].[].[7K10]_x000D_
[PRDID].[].[10001559]_x000D_
[KEY_FIGURES].[].[INDEPENDENTDEMAND]_x000D_
[LOCID].[].[7K10]_x000D_
[PRDID].[].[10001560]_x000D_
[KEY_FIGURES].[].[ZCONSENSUSDEMANDQTY]_x000D_
[LOCID].[].[7K10]_x000D_
[PRDID].[].[10001560]_x000D_
[KEY_FIGURES].[].[ZINPUTSOFC]_x000D_
[LOCID].[].[7K10]_x000D_
[PRDID].[].[10001560]_x000D_
[KEY_FIGURES].[].[ZFORECASTOPENOUTPUT]_x000D_
[LOCID].[].[7K10]_x000D_
[PRDID].[].[10001560]_x000D_
[KEY_FIGURES].[].[ZACTUALSALES]_x000D_
[LOCID].[].[7K10]_x000D_
[PRDID].[].[10001560]_x000D_
[KEY_FIGURES].[].[ZCONSENSUSDEMAND]_x000D_
[LOCID].[].[7K10]_x000D_
[PRDID].[].[10001560]_x000D_
[KEY_FIGURES].[].[INDEPENDENTDEMAND]_x000D_
[LOCID].[].[7K10]_x000D_
[PRDID].[].[10001561]_x000D_
[KEY_FIGURES].[].[ZCONSENSUSDEMANDQTY]_x000D_
[LOCID].[].[7K10]_x000D_
[PRDID].[].[10001561]_x000D_
[KEY_FIGURES].[].[ZINPUTSOFC]_x000D_
[LOCID].[].[7K10]_x000D_
[PRDID].[].[10001561]_x000D_
[KEY_FIGURES].[].[ZFORECASTOPENOUTPUT]_x000D_
[LOCID].[].[7K10]_x000D_
[PRDID].[].[10001561]_x000D_
[KEY_FIGURES].[].[ZACTUALSALES]_x000D_
[LOCID].[].[7K10]_x000D_
[PRDID].[].[10001561]_x000D_
[KEY_FIGURES].[].[ZCONSENSUSDEMAND]_x000D_
[LOCID].[].[7K10]_x000D_
[PRDID].[].[10001561]_x000D_
[KEY_FIGURES].[].[INDEPENDENTDEMAND]_x000D_
[LOCID].[].[7K10]_x000D_
[PRDID].[].[10001562]_x000D_
[KEY_FIGURES].[].[ZCONSENSUSDEMANDQTY]_x000D_
[LOCID].[].[7K10]_x000D_
[PRDID].[].[10001562]_x000D_
[KEY_FIGURES].[].[ZINPUTSOFC]_x000D_
[LOCID].[].[7K10]_x000D_
[PRDID].[].[10001562]_x000D_
[KEY_FIGURES].[].[ZFORECASTOPENOUTPUT]_x000D_
[LOCID].[].[7K10]_x000D_
[PRDID].[].[10001562]_x000D_
[KEY_FIGURES].[].[ZACTUALSALES]_x000D_
[LOCID].[].[7K10]_x000D_
[PRDID].[].[10001562]_x000D_
[KEY_FIGURES].[].[ZCONSENSUSDEMAND]_x000D_
[LOCID].[].[7K10]_x000D_
[PRDID].[].[10001562]_x000D_
[KEY_FIGURES].[].[INDEPENDENTDEMAND]_x000D_
[LOCID].[].[7K10]_x000D_
[PRDID].[].[10001563]_x000D_
[KEY_FIGURES].[].[ZCONSENSUSDEMANDQTY]_x000D_
[LOCID].[].[7K10]_x000D_
[PRDID].[].[10001563]_x000D_
[KEY_FIGURES].[].[ZINPUTSOFC]_x000D_
[LOCID].[].[7K10]_x000D_
[PRDID].[].[10001563]_x000D_
[KEY_FIGURES].[].[ZFORECASTOPENOUTPUT]_x000D_
[LOCID].[].[7K10]_x000D_
[PRDID].[].[10001563]_x000D_
[KEY_FIGURES].[].[ZACTUALSALES]_x000D_
[LOCID].[].[7K10]_x000D_
[PRDID].[].[10001563]_x000D_
[KEY_FIGURES].[].[ZCONSENSUSDEMAND]_x000D_
[LOCID].[].[7K10]_x000D_
[PRDID].[].[10001563]_x000D_
[KEY_FIGURES].[].[INDEPENDENTDEMAND]_x000D_
[LOCID].[].[7K10]_x000D_
[PRDID].[].[10001564]_x000D_
[KEY_FIGURES].[].[ZCONSENSUSDEMANDQTY]_x000D_
[LOCID].[].[7K10]_x000D_
[PRDID].[].[10001564]_x000D_
[KEY_FIGURES].[].[ZINPUTSOFC]_x000D_
[LOCID].[].[7K10]_x000D_
[PRDID].[].[10001564]_x000D_
[KEY_FIGURES].[].[ZFORECASTOPENOUTPUT]_x000D_
[LOCID].[].[7K10]_x000D_
[PRDID].[].[10001564]_x000D_
[KEY_FIGURES].[].[ZACTUALSALES]_x000D_
[LOCID].[].[7K10]_x000D_
[PRDID].[].[10001564]_x000D_
[KEY_FIGURES].[].[ZCONSENSUSDEMAND]_x000D_
[LOCID].[].[7K10]_x000D_
[PRDID].[].[10001564]_x000D_
[KEY_FIGURES].[].[INDEPENDENTDEMAND]_x000D_
[LOCID].[].[7K10]_x000D_
[PRDID].[].[10001565]_x000D_
[KEY_FIGURES].[].[ZCONSENSUSDEMANDQTY]_x000D_
[LOCID].[].[7K10]_x000D_
[PRDID].[].[10001565]_x000D_
[KEY_FIGURES].[].[ZINPUTSOFC]_x000D_
[LOCID].[].[7K10]_x000D_
[PRDID].[].[10001565]_x000D_
[KEY_FIGURES].[].[ZFORECASTOPENOUTPUT]_x000D_
[LOCID].[].[7K10]_x000D_
[PRDID].[].[10001565]_x000D_
[KEY_FIGURES].[].[ZACTUALSALES]_x000D_
[LOCID].[].[7K10]_x000D_
[PRDID].[].[10001565]_x000D_
[KEY_FIGURES].[].[ZCONSENSUSDEMAND]_x000D_
[LOCID].[].[7K10]_x000D_
[PRDID].[].[10001565]_x000D_
[KEY_FIGURES].[].[INDEPENDENTDEMAND]_x000D_
[LOCID].[].[7K10]_x000D_
[PRDID].[].[10001566]_x000D_
[KEY_FIGURES].[].[ZCONSENSUSDEMANDQTY]_x000D_
[LOCID].[].[7K10]_x000D_
[PRDID].[].[10001566]_x000D_
[KEY_FIGURES].[].[ZINPUTSOFC]_x000D_
[LOCID].[].[7K10]_x000D_
[PRDID].[].[10001566]_x000D_
[KEY_FIGURES].[].[ZFORECASTOPENOUTPUT]_x000D_
[LOCID].[].[7K10]_x000D_
[PRDID].[].[10001566]_x000D_
[KEY_FIGURES].[].[ZACTUALSALES]_x000D_
[LOCID].[].[7K10]_x000D_
[PRDID].[].[10001566]_x000D_
[KEY_FIGURES].[].[ZCONSENSUSDEMAND]_x000D_
[LOCID].[].[7K10]_x000D_
[PRDID].[].[10001566]_x000D_
[KEY_FIGURES].[].[INDEPENDENTDEMAND]_x000D_
[LOCID].[].[7K10]_x000D_
[PRDID].[].[10001567]_x000D_
[KEY_FIGURES].[].[ZCONSENSUSDEMANDQTY]_x000D_
[LOCID].[].[7K10]_x000D_
[PRDID].[].[10001567]_x000D_
[KEY_FIGURES].[].[ZINPUTSOFC]_x000D_
[LOCID].[].[7K10]_x000D_
[PRDID].[].[10001567]_x000D_
[KEY_FIGURES].[].[ZFORECASTOPENOUTPUT]_x000D_
[LOCID].[].[7K10]_x000D_
[PRDID].[].[10001567]_x000D_
[KEY_FIGURES].[].[ZACTUALSALES]_x000D_
[LOCID].[].[7K10]_x000D_
[PRDID].[].[10001567]_x000D_
[KEY_FIGURES].[].[ZCONSENSUSDEMAND]_x000D_
[LOCID].[].[7K10]_x000D_
[PRDID].[].[10001567]_x000D_
[KEY_FIGURES].[].[INDEPENDENTDEMAND]_x000D_
[LOCID].[].[7K10]_x000D_
[PRDID].[].[10001568]_x000D_
[KEY_FIGURES].[].[ZCONSENSUSDEMANDQTY]_x000D_
[LOCID].[].[7K10]_x000D_
[PRDID].[].[10001568]_x000D_
[KEY_FIGURES].[].[ZINPUTSOFC]_x000D_
[LOCID].[].[7K10]_x000D_
[PRDID].[].[10001568]_x000D_
[KEY_FIGURES].[].[ZFORECASTOPENOUTPUT]_x000D_
[LOCID].[].[7K10]_x000D_
[PRDID].[].[10001568]_x000D_
[KEY_FIGURES].[].[ZACTUALSALES]_x000D_
[LOCID].[].[7K10]_x000D_
[PRDID].[].[10001568]_x000D_
[KEY_FIGURES].[].[ZCONSENSUSDEMAND]_x000D_
[LOCID].[].[7K10]_x000D_
[PRDID].[].[10001568]_x000D_
[KEY_FIGURES].[].[INDEPENDENTDEMAND]_x000D_
[LOCID].[].[7K10]_x000D_
[PRDID].[].[10001569]_x000D_
[KEY_FIGURES].[].[ZCONSENSUSDEMANDQTY]_x000D_
[LOCID].[].[7K10]_x000D_
[PRDID].[].[10001569]_x000D_
[KEY_FIGURES].[].[ZINPUTSOFC]_x000D_
[LOCID].[].[7K10]_x000D_
[PRDID].[].[10001569]_x000D_
[KEY_FIGURES].[].[ZFORECASTOPENOUTPUT]_x000D_
[LOCID].[].[7K10]_x000D_
[PRDID].[].[10001569]_x000D_
[KEY_FIGURES].[].[ZACTUALSALES]_x000D_
[LOCID].[].[7K10]_x000D_
[PRDID].[].[10001569]_x000D_
[KEY_FIGURES].[].[ZCONSENSUSDEMAND]_x000D_
[LOCID].[].[7K10]_x000D_
[PRDID].[].[10001569]_x000D_
[KEY_FIGURES].[].[INDEPENDENTDEMAND]_x000D_
[LOCID].[].[7K10]_x000D_
[PRDID].[].[10001570]_x000D_
[KEY_FIGURES].[].[ZCONSENSUSDEMANDQTY]_x000D_
[LOCID].[].[7K10]_x000D_
[PRDID].[].[10001570]_x000D_
[KEY_FIGURES].[].[ZINPUTSOFC]</t>
  </si>
  <si>
    <t>[LOCID].[].[7K10]_x000D_
[PRDID].[].[10001570]_x000D_
[KEY_FIGURES].[].[ZFORECASTOPENOUTPUT]_x000D_
[LOCID].[].[7K10]_x000D_
[PRDID].[].[10001570]_x000D_
[KEY_FIGURES].[].[ZACTUALSALES]_x000D_
[LOCID].[].[7K10]_x000D_
[PRDID].[].[10001570]_x000D_
[KEY_FIGURES].[].[ZCONSENSUSDEMAND]_x000D_
[LOCID].[].[7K10]_x000D_
[PRDID].[].[10001570]_x000D_
[KEY_FIGURES].[].[INDEPENDENTDEMAND]_x000D_
[LOCID].[].[7K10]_x000D_
[PRDID].[].[10001571]_x000D_
[KEY_FIGURES].[].[ZCONSENSUSDEMANDQTY]_x000D_
[LOCID].[].[7K10]_x000D_
[PRDID].[].[10001571]_x000D_
[KEY_FIGURES].[].[ZINPUTSOFC]_x000D_
[LOCID].[].[7K10]_x000D_
[PRDID].[].[10001571]_x000D_
[KEY_FIGURES].[].[ZFORECASTOPENOUTPUT]_x000D_
[LOCID].[].[7K10]_x000D_
[PRDID].[].[10001571]_x000D_
[KEY_FIGURES].[].[ZACTUALSALES]_x000D_
[LOCID].[].[7K10]_x000D_
[PRDID].[].[10001571]_x000D_
[KEY_FIGURES].[].[ZCONSENSUSDEMAND]_x000D_
[LOCID].[].[7K10]_x000D_
[PRDID].[].[10001571]_x000D_
[KEY_FIGURES].[].[INDEPENDENTDEMAND]_x000D_
[LOCID].[].[7K10]_x000D_
[PRDID].[].[10001572]_x000D_
[KEY_FIGURES].[].[ZCONSENSUSDEMANDQTY]_x000D_
[LOCID].[].[7K10]_x000D_
[PRDID].[].[10001572]_x000D_
[KEY_FIGURES].[].[ZINPUTSOFC]_x000D_
[LOCID].[].[7K10]_x000D_
[PRDID].[].[10001572]_x000D_
[KEY_FIGURES].[].[ZFORECASTOPENOUTPUT]_x000D_
[LOCID].[].[7K10]_x000D_
[PRDID].[].[10001572]_x000D_
[KEY_FIGURES].[].[ZACTUALSALES]_x000D_
[LOCID].[].[7K10]_x000D_
[PRDID].[].[10001572]_x000D_
[KEY_FIGURES].[].[ZCONSENSUSDEMAND]_x000D_
[LOCID].[].[7K10]_x000D_
[PRDID].[].[10001572]_x000D_
[KEY_FIGURES].[].[INDEPENDENTDEMAND]_x000D_
[LOCID].[].[7K10]_x000D_
[PRDID].[].[10001573]_x000D_
[KEY_FIGURES].[].[ZCONSENSUSDEMANDQTY]_x000D_
[LOCID].[].[7K10]_x000D_
[PRDID].[].[10001573]_x000D_
[KEY_FIGURES].[].[ZINPUTSOFC]_x000D_
[LOCID].[].[7K10]_x000D_
[PRDID].[].[10001573]_x000D_
[KEY_FIGURES].[].[ZFORECASTOPENOUTPUT]_x000D_
[LOCID].[].[7K10]_x000D_
[PRDID].[].[10001573]_x000D_
[KEY_FIGURES].[].[ZACTUALSALES]_x000D_
[LOCID].[].[7K10]_x000D_
[PRDID].[].[10001573]_x000D_
[KEY_FIGURES].[].[ZCONSENSUSDEMAND]_x000D_
[LOCID].[].[7K10]_x000D_
[PRDID].[].[10001573]_x000D_
[KEY_FIGURES].[].[INDEPENDENTDEMAND]_x000D_
[LOCID].[].[7K10]_x000D_
[PRDID].[].[10001574]_x000D_
[KEY_FIGURES].[].[ZCONSENSUSDEMANDQTY]_x000D_
[LOCID].[].[7K10]_x000D_
[PRDID].[].[10001574]_x000D_
[KEY_FIGURES].[].[ZINPUTSOFC]_x000D_
[LOCID].[].[7K10]_x000D_
[PRDID].[].[10001574]_x000D_
[KEY_FIGURES].[].[ZFORECASTOPENOUTPUT]_x000D_
[LOCID].[].[7K10]_x000D_
[PRDID].[].[10001574]_x000D_
[KEY_FIGURES].[].[ZACTUALSALES]_x000D_
[LOCID].[].[7K10]_x000D_
[PRDID].[].[10001574]_x000D_
[KEY_FIGURES].[].[ZCONSENSUSDEMAND]_x000D_
[LOCID].[].[7K10]_x000D_
[PRDID].[].[10001574]_x000D_
[KEY_FIGURES].[].[INDEPENDENTDEMAND]_x000D_
[LOCID].[].[7K10]_x000D_
[PRDID].[].[10001575]_x000D_
[KEY_FIGURES].[].[ZCONSENSUSDEMANDQTY]_x000D_
[LOCID].[].[7K10]_x000D_
[PRDID].[].[10001575]_x000D_
[KEY_FIGURES].[].[ZINPUTSOFC]_x000D_
[LOCID].[].[7K10]_x000D_
[PRDID].[].[10001575]_x000D_
[KEY_FIGURES].[].[ZFORECASTOPENOUTPUT]_x000D_
[LOCID].[].[7K10]_x000D_
[PRDID].[].[10001575]_x000D_
[KEY_FIGURES].[].[ZACTUALSALES]_x000D_
[LOCID].[].[7K10]_x000D_
[PRDID].[].[10001575]_x000D_
[KEY_FIGURES].[].[ZCONSENSUSDEMAND]_x000D_
[LOCID].[].[7K10]_x000D_
[PRDID].[].[10001575]_x000D_
[KEY_FIGURES].[].[INDEPENDENTDEMAND]_x000D_
[LOCID].[].[7K10]_x000D_
[PRDID].[].[10001576]_x000D_
[KEY_FIGURES].[].[ZCONSENSUSDEMANDQTY]_x000D_
[LOCID].[].[7K10]_x000D_
[PRDID].[].[10001576]_x000D_
[KEY_FIGURES].[].[ZINPUTSOFC]_x000D_
[LOCID].[].[7K10]_x000D_
[PRDID].[].[10001576]_x000D_
[KEY_FIGURES].[].[ZFORECASTOPENOUTPUT]_x000D_
[LOCID].[].[7K10]_x000D_
[PRDID].[].[10001576]_x000D_
[KEY_FIGURES].[].[ZACTUALSALES]_x000D_
[LOCID].[].[7K10]_x000D_
[PRDID].[].[10001576]_x000D_
[KEY_FIGURES].[].[ZCONSENSUSDEMAND]_x000D_
[LOCID].[].[7K10]_x000D_
[PRDID].[].[10001576]_x000D_
[KEY_FIGURES].[].[INDEPENDENTDEMAND]_x000D_
[LOCID].[].[7K10]_x000D_
[PRDID].[].[10001577]_x000D_
[KEY_FIGURES].[].[ZCONSENSUSDEMANDQTY]_x000D_
[LOCID].[].[7K10]_x000D_
[PRDID].[].[10001577]_x000D_
[KEY_FIGURES].[].[ZINPUTSOFC]_x000D_
[LOCID].[].[7K10]_x000D_
[PRDID].[].[10001577]_x000D_
[KEY_FIGURES].[].[ZFORECASTOPENOUTPUT]_x000D_
[LOCID].[].[7K10]_x000D_
[PRDID].[].[10001577]_x000D_
[KEY_FIGURES].[].[ZACTUALSALES]_x000D_
[LOCID].[].[7K10]_x000D_
[PRDID].[].[10001577]_x000D_
[KEY_FIGURES].[].[ZCONSENSUSDEMAND]_x000D_
[LOCID].[].[7K10]_x000D_
[PRDID].[].[10001577]_x000D_
[KEY_FIGURES].[].[INDEPENDENTDEMAND]_x000D_
[LOCID].[].[7K10]_x000D_
[PRDID].[].[10001578]_x000D_
[KEY_FIGURES].[].[ZCONSENSUSDEMANDQTY]_x000D_
[LOCID].[].[7K10]_x000D_
[PRDID].[].[10001578]_x000D_
[KEY_FIGURES].[].[ZINPUTSOFC]_x000D_
[LOCID].[].[7K10]_x000D_
[PRDID].[].[10001578]_x000D_
[KEY_FIGURES].[].[ZFORECASTOPENOUTPUT]_x000D_
[LOCID].[].[7K10]_x000D_
[PRDID].[].[10001578]_x000D_
[KEY_FIGURES].[].[ZACTUALSALES]_x000D_
[LOCID].[].[7K10]_x000D_
[PRDID].[].[10001578]_x000D_
[KEY_FIGURES].[].[ZCONSENSUSDEMAND]_x000D_
[LOCID].[].[7K10]_x000D_
[PRDID].[].[10001578]_x000D_
[KEY_FIGURES].[].[INDEPENDENTDEMAND]_x000D_
[LOCID].[].[7K10]_x000D_
[PRDID].[].[10001579]_x000D_
[KEY_FIGURES].[].[ZCONSENSUSDEMANDQTY]_x000D_
[LOCID].[].[7K10]_x000D_
[PRDID].[].[10001579]_x000D_
[KEY_FIGURES].[].[ZINPUTSOFC]_x000D_
[LOCID].[].[7K10]_x000D_
[PRDID].[].[10001579]_x000D_
[KEY_FIGURES].[].[ZFORECASTOPENOUTPUT]_x000D_
[LOCID].[].[7K10]_x000D_
[PRDID].[].[10001579]_x000D_
[KEY_FIGURES].[].[ZACTUALSALES]_x000D_
[LOCID].[].[7K10]_x000D_
[PRDID].[].[10001579]_x000D_
[KEY_FIGURES].[].[ZCONSENSUSDEMAND]_x000D_
[LOCID].[].[7K10]_x000D_
[PRDID].[].[10001579]_x000D_
[KEY_FIGURES].[].[INDEPENDENTDEMAND]_x000D_
[LOCID].[].[7K10]_x000D_
[PRDID].[].[10001580]_x000D_
[KEY_FIGURES].[].[ZCONSENSUSDEMANDQTY]_x000D_
[LOCID].[].[7K10]_x000D_
[PRDID].[].[10001580]_x000D_
[KEY_FIGURES].[].[ZINPUTSOFC]_x000D_
[LOCID].[].[7K10]_x000D_
[PRDID].[].[10001580]_x000D_
[KEY_FIGURES].[].[ZFORECASTOPENOUTPUT]_x000D_
[LOCID].[].[7K10]_x000D_
[PRDID].[].[10001580]_x000D_
[KEY_FIGURES].[].[ZACTUALSALES]_x000D_
[LOCID].[].[7K10]_x000D_
[PRDID].[].[10001580]_x000D_
[KEY_FIGURES].[].[ZCONSENSUSDEMAND]_x000D_
[LOCID].[].[7K10]_x000D_
[PRDID].[].[10001580]_x000D_
[KEY_FIGURES].[].[INDEPENDENTDEMAND]_x000D_
[LOCID].[].[7K10]_x000D_
[PRDID].[].[10001582]_x000D_
[KEY_FIGURES].[].[ZCONSENSUSDEMANDQTY]_x000D_
[LOCID].[].[7K10]_x000D_
[PRDID].[].[10001582]_x000D_
[KEY_FIGURES].[].[ZINPUTSOFC]_x000D_
[LOCID].[].[7K10]_x000D_
[PRDID].[].[10001582]</t>
  </si>
  <si>
    <t>[KEY_FIGURES].[].[ZFORECASTOPENOUTPUT]_x000D_
[LOCID].[].[7K10]_x000D_
[PRDID].[].[10001582]_x000D_
[KEY_FIGURES].[].[ZACTUALSALES]_x000D_
[LOCID].[].[7K10]_x000D_
[PRDID].[].[10001582]_x000D_
[KEY_FIGURES].[].[ZCONSENSUSDEMAND]_x000D_
[LOCID].[].[7K10]_x000D_
[PRDID].[].[10001582]_x000D_
[KEY_FIGURES].[].[INDEPENDENTDEMAND]_x000D_
[LOCID].[].[7K10]_x000D_
[PRDID].[].[10001583]_x000D_
[KEY_FIGURES].[].[ZCONSENSUSDEMANDQTY]_x000D_
[LOCID].[].[7K10]_x000D_
[PRDID].[].[10001583]_x000D_
[KEY_FIGURES].[].[ZINPUTSOFC]_x000D_
[LOCID].[].[7K10]_x000D_
[PRDID].[].[10001583]_x000D_
[KEY_FIGURES].[].[ZFORECASTOPENOUTPUT]_x000D_
[LOCID].[].[7K10]_x000D_
[PRDID].[].[10001583]_x000D_
[KEY_FIGURES].[].[ZACTUALSALES]_x000D_
[LOCID].[].[7K10]_x000D_
[PRDID].[].[10001583]_x000D_
[KEY_FIGURES].[].[ZCONSENSUSDEMAND]_x000D_
[LOCID].[].[7K10]_x000D_
[PRDID].[].[10001583]_x000D_
[KEY_FIGURES].[].[INDEPENDENTDEMAND]_x000D_
[LOCID].[].[7K10]_x000D_
[PRDID].[].[10001584]_x000D_
[KEY_FIGURES].[].[ZCONSENSUSDEMANDQTY]_x000D_
[LOCID].[].[7K10]_x000D_
[PRDID].[].[10001584]_x000D_
[KEY_FIGURES].[].[ZINPUTSOFC]_x000D_
[LOCID].[].[7K10]_x000D_
[PRDID].[].[10001584]_x000D_
[KEY_FIGURES].[].[ZFORECASTOPENOUTPUT]_x000D_
[LOCID].[].[7K10]_x000D_
[PRDID].[].[10001584]_x000D_
[KEY_FIGURES].[].[ZACTUALSALES]_x000D_
[LOCID].[].[7K10]_x000D_
[PRDID].[].[10001584]_x000D_
[KEY_FIGURES].[].[ZCONSENSUSDEMAND]_x000D_
[LOCID].[].[7K10]_x000D_
[PRDID].[].[10001584]_x000D_
[KEY_FIGURES].[].[INDEPENDENTDEMAND]_x000D_
[LOCID].[].[7K10]_x000D_
[PRDID].[].[10001585]_x000D_
[KEY_FIGURES].[].[ZCONSENSUSDEMANDQTY]_x000D_
[LOCID].[].[7K10]_x000D_
[PRDID].[].[10001585]_x000D_
[KEY_FIGURES].[].[ZINPUTSOFC]_x000D_
[LOCID].[].[7K10]_x000D_
[PRDID].[].[10001585]_x000D_
[KEY_FIGURES].[].[ZFORECASTOPENOUTPUT]_x000D_
[LOCID].[].[7K10]_x000D_
[PRDID].[].[10001585]_x000D_
[KEY_FIGURES].[].[ZACTUALSALES]_x000D_
[LOCID].[].[7K10]_x000D_
[PRDID].[].[10001585]_x000D_
[KEY_FIGURES].[].[ZCONSENSUSDEMAND]_x000D_
[LOCID].[].[7K10]_x000D_
[PRDID].[].[10001585]_x000D_
[KEY_FIGURES].[].[INDEPENDENTDEMAND]_x000D_
[LOCID].[].[7K10]_x000D_
[PRDID].[].[10001586]_x000D_
[KEY_FIGURES].[].[ZCONSENSUSDEMANDQTY]_x000D_
[LOCID].[].[7K10]_x000D_
[PRDID].[].[10001586]_x000D_
[KEY_FIGURES].[].[ZINPUTSOFC]_x000D_
[LOCID].[].[7K10]_x000D_
[PRDID].[].[10001586]_x000D_
[KEY_FIGURES].[].[ZFORECASTOPENOUTPUT]_x000D_
[LOCID].[].[7K10]_x000D_
[PRDID].[].[10001586]_x000D_
[KEY_FIGURES].[].[ZACTUALSALES]_x000D_
[LOCID].[].[7K10]_x000D_
[PRDID].[].[10001586]_x000D_
[KEY_FIGURES].[].[ZCONSENSUSDEMAND]_x000D_
[LOCID].[].[7K10]_x000D_
[PRDID].[].[10001586]_x000D_
[KEY_FIGURES].[].[INDEPENDENTDEMAND]_x000D_
[LOCID].[].[7K10]_x000D_
[PRDID].[].[10001587]_x000D_
[KEY_FIGURES].[].[ZCONSENSUSDEMANDQTY]_x000D_
[LOCID].[].[7K10]_x000D_
[PRDID].[].[10001587]_x000D_
[KEY_FIGURES].[].[ZINPUTSOFC]_x000D_
[LOCID].[].[7K10]_x000D_
[PRDID].[].[10001587]_x000D_
[KEY_FIGURES].[].[ZFORECASTOPENOUTPUT]_x000D_
[LOCID].[].[7K10]_x000D_
[PRDID].[].[10001587]_x000D_
[KEY_FIGURES].[].[ZACTUALSALES]_x000D_
[LOCID].[].[7K10]_x000D_
[PRDID].[].[10001587]_x000D_
[KEY_FIGURES].[].[ZCONSENSUSDEMAND]_x000D_
[LOCID].[].[7K10]_x000D_
[PRDID].[].[10001587]_x000D_
[KEY_FIGURES].[].[INDEPENDENTDEMAND]_x000D_
[LOCID].[].[7K10]_x000D_
[PRDID].[].[10001588]_x000D_
[KEY_FIGURES].[].[ZCONSENSUSDEMANDQTY]_x000D_
[LOCID].[].[7K10]_x000D_
[PRDID].[].[10001588]_x000D_
[KEY_FIGURES].[].[ZINPUTSOFC]_x000D_
[LOCID].[].[7K10]_x000D_
[PRDID].[].[10001588]_x000D_
[KEY_FIGURES].[].[ZFORECASTOPENOUTPUT]_x000D_
[LOCID].[].[7K10]_x000D_
[PRDID].[].[10001588]_x000D_
[KEY_FIGURES].[].[ZACTUALSALES]_x000D_
[LOCID].[].[7K10]_x000D_
[PRDID].[].[10001588]_x000D_
[KEY_FIGURES].[].[ZCONSENSUSDEMAND]_x000D_
[LOCID].[].[7K10]_x000D_
[PRDID].[].[10001588]_x000D_
[KEY_FIGURES].[].[INDEPENDENTDEMAND]_x000D_
[LOCID].[].[7K10]_x000D_
[PRDID].[].[10001589]_x000D_
[KEY_FIGURES].[].[ZCONSENSUSDEMANDQTY]_x000D_
[LOCID].[].[7K10]_x000D_
[PRDID].[].[10001589]_x000D_
[KEY_FIGURES].[].[ZINPUTSOFC]_x000D_
[LOCID].[].[7K10]_x000D_
[PRDID].[].[10001589]_x000D_
[KEY_FIGURES].[].[ZFORECASTOPENOUTPUT]_x000D_
[LOCID].[].[7K10]_x000D_
[PRDID].[].[10001589]_x000D_
[KEY_FIGURES].[].[ZACTUALSALES]_x000D_
[LOCID].[].[7K10]_x000D_
[PRDID].[].[10001589]_x000D_
[KEY_FIGURES].[].[ZCONSENSUSDEMAND]_x000D_
[LOCID].[].[7K10]_x000D_
[PRDID].[].[10001589]_x000D_
[KEY_FIGURES].[].[INDEPENDENTDEMAND]_x000D_
[LOCID].[].[7K10]_x000D_
[PRDID].[].[10001590]_x000D_
[KEY_FIGURES].[].[ZCONSENSUSDEMANDQTY]_x000D_
[LOCID].[].[7K10]_x000D_
[PRDID].[].[10001590]_x000D_
[KEY_FIGURES].[].[ZINPUTSOFC]_x000D_
[LOCID].[].[7K10]_x000D_
[PRDID].[].[10001590]_x000D_
[KEY_FIGURES].[].[ZFORECASTOPENOUTPUT]_x000D_
[LOCID].[].[7K10]_x000D_
[PRDID].[].[10001590]_x000D_
[KEY_FIGURES].[].[ZACTUALSALES]_x000D_
[LOCID].[].[7K10]_x000D_
[PRDID].[].[10001590]_x000D_
[KEY_FIGURES].[].[ZCONSENSUSDEMAND]_x000D_
[LOCID].[].[7K10]_x000D_
[PRDID].[].[10001590]_x000D_
[KEY_FIGURES].[].[INDEPENDENTDEMAND]_x000D_
[LOCID].[].[7K10]_x000D_
[PRDID].[].[10001591]_x000D_
[KEY_FIGURES].[].[ZCONSENSUSDEMANDQTY]_x000D_
[LOCID].[].[7K10]_x000D_
[PRDID].[].[10001591]_x000D_
[KEY_FIGURES].[].[ZINPUTSOFC]_x000D_
[LOCID].[].[7K10]_x000D_
[PRDID].[].[10001591]_x000D_
[KEY_FIGURES].[].[ZFORECASTOPENOUTPUT]_x000D_
[LOCID].[].[7K10]_x000D_
[PRDID].[].[10001591]_x000D_
[KEY_FIGURES].[].[ZACTUALSALES]_x000D_
[LOCID].[].[7K10]_x000D_
[PRDID].[].[10001591]_x000D_
[KEY_FIGURES].[].[ZCONSENSUSDEMAND]_x000D_
[LOCID].[].[7K10]_x000D_
[PRDID].[].[10001591]_x000D_
[KEY_FIGURES].[].[INDEPENDENTDEMAND]_x000D_
[LOCID].[].[7K10]_x000D_
[PRDID].[].[10001592]_x000D_
[KEY_FIGURES].[].[ZCONSENSUSDEMANDQTY]_x000D_
[LOCID].[].[7K10]_x000D_
[PRDID].[].[10001592]_x000D_
[KEY_FIGURES].[].[ZINPUTSOFC]_x000D_
[LOCID].[].[7K10]_x000D_
[PRDID].[].[10001592]_x000D_
[KEY_FIGURES].[].[ZFORECASTOPENOUTPUT]_x000D_
[LOCID].[].[7K10]_x000D_
[PRDID].[].[10001592]_x000D_
[KEY_FIGURES].[].[ZACTUALSALES]_x000D_
[LOCID].[].[7K10]_x000D_
[PRDID].[].[10001592]_x000D_
[KEY_FIGURES].[].[ZCONSENSUSDEMAND]_x000D_
[LOCID].[].[7K10]_x000D_
[PRDID].[].[10001592]_x000D_
[KEY_FIGURES].[].[INDEPENDENTDEMAND]_x000D_
[LOCID].[].[7K10]_x000D_
[PRDID].[].[10001593]_x000D_
[KEY_FIGURES].[].[ZCONSENSUSDEMANDQTY]_x000D_
[LOCID].[].[7K10]_x000D_
[PRDID].[].[10001593]_x000D_
[KEY_FIGURES].[].[ZINPUTSOFC]_x000D_
[LOCID].[].[7K10]_x000D_
[PRDID].[].[10001593]_x000D_
[KEY_FIGURES].[].[ZFORECASTOPENOUTPUT]_x000D_
[LOCID].[].[7K10]</t>
  </si>
  <si>
    <t>[PRDID].[].[10001593]_x000D_
[KEY_FIGURES].[].[ZACTUALSALES]_x000D_
[LOCID].[].[7K10]_x000D_
[PRDID].[].[10001593]_x000D_
[KEY_FIGURES].[].[ZCONSENSUSDEMAND]_x000D_
[LOCID].[].[7K10]_x000D_
[PRDID].[].[10001593]_x000D_
[KEY_FIGURES].[].[INDEPENDENTDEMAND]_x000D_
[LOCID].[].[7K10]_x000D_
[PRDID].[].[10001594]_x000D_
[KEY_FIGURES].[].[ZCONSENSUSDEMANDQTY]_x000D_
[LOCID].[].[7K10]_x000D_
[PRDID].[].[10001594]_x000D_
[KEY_FIGURES].[].[ZINPUTSOFC]_x000D_
[LOCID].[].[7K10]_x000D_
[PRDID].[].[10001594]_x000D_
[KEY_FIGURES].[].[ZFORECASTOPENOUTPUT]_x000D_
[LOCID].[].[7K10]_x000D_
[PRDID].[].[10001594]_x000D_
[KEY_FIGURES].[].[ZACTUALSALES]_x000D_
[LOCID].[].[7K10]_x000D_
[PRDID].[].[10001594]_x000D_
[KEY_FIGURES].[].[ZCONSENSUSDEMAND]_x000D_
[LOCID].[].[7K10]_x000D_
[PRDID].[].[10001594]_x000D_
[KEY_FIGURES].[].[INDEPENDENTDEMAND]_x000D_
[LOCID].[].[7K10]_x000D_
[PRDID].[].[10001595]_x000D_
[KEY_FIGURES].[].[ZCONSENSUSDEMANDQTY]_x000D_
[LOCID].[].[7K10]_x000D_
[PRDID].[].[10001595]_x000D_
[KEY_FIGURES].[].[ZINPUTSOFC]_x000D_
[LOCID].[].[7K10]_x000D_
[PRDID].[].[10001595]_x000D_
[KEY_FIGURES].[].[ZFORECASTOPENOUTPUT]_x000D_
[LOCID].[].[7K10]_x000D_
[PRDID].[].[10001595]_x000D_
[KEY_FIGURES].[].[ZACTUALSALES]_x000D_
[LOCID].[].[7K10]_x000D_
[PRDID].[].[10001595]_x000D_
[KEY_FIGURES].[].[ZCONSENSUSDEMAND]_x000D_
[LOCID].[].[7K10]_x000D_
[PRDID].[].[10001595]_x000D_
[KEY_FIGURES].[].[INDEPENDENTDEMAND]_x000D_
[LOCID].[].[7K10]_x000D_
[PRDID].[].[10001596]_x000D_
[KEY_FIGURES].[].[ZCONSENSUSDEMANDQTY]_x000D_
[LOCID].[].[7K10]_x000D_
[PRDID].[].[10001596]_x000D_
[KEY_FIGURES].[].[ZINPUTSOFC]_x000D_
[LOCID].[].[7K10]_x000D_
[PRDID].[].[10001596]_x000D_
[KEY_FIGURES].[].[ZFORECASTOPENOUTPUT]_x000D_
[LOCID].[].[7K10]_x000D_
[PRDID].[].[10001596]_x000D_
[KEY_FIGURES].[].[ZACTUALSALES]_x000D_
[LOCID].[].[7K10]_x000D_
[PRDID].[].[10001596]_x000D_
[KEY_FIGURES].[].[ZCONSENSUSDEMAND]_x000D_
[LOCID].[].[7K10]_x000D_
[PRDID].[].[10001596]_x000D_
[KEY_FIGURES].[].[INDEPENDENTDEMAND]_x000D_
[LOCID].[].[7K10]_x000D_
[PRDID].[].[10001597]_x000D_
[KEY_FIGURES].[].[ZCONSENSUSDEMANDQTY]_x000D_
[LOCID].[].[7K10]_x000D_
[PRDID].[].[10001597]_x000D_
[KEY_FIGURES].[].[ZINPUTSOFC]_x000D_
[LOCID].[].[7K10]_x000D_
[PRDID].[].[10001597]_x000D_
[KEY_FIGURES].[].[ZFORECASTOPENOUTPUT]_x000D_
[LOCID].[].[7K10]_x000D_
[PRDID].[].[10001597]_x000D_
[KEY_FIGURES].[].[ZACTUALSALES]_x000D_
[LOCID].[].[7K10]_x000D_
[PRDID].[].[10001597]_x000D_
[KEY_FIGURES].[].[ZCONSENSUSDEMAND]_x000D_
[LOCID].[].[7K10]_x000D_
[PRDID].[].[10001597]_x000D_
[KEY_FIGURES].[].[INDEPENDENTDEMAND]_x000D_
[LOCID].[].[7K10]_x000D_
[PRDID].[].[10001598]_x000D_
[KEY_FIGURES].[].[ZCONSENSUSDEMANDQTY]_x000D_
[LOCID].[].[7K10]_x000D_
[PRDID].[].[10001598]_x000D_
[KEY_FIGURES].[].[ZINPUTSOFC]_x000D_
[LOCID].[].[7K10]_x000D_
[PRDID].[].[10001598]_x000D_
[KEY_FIGURES].[].[ZFORECASTOPENOUTPUT]_x000D_
[LOCID].[].[7K10]_x000D_
[PRDID].[].[10001598]_x000D_
[KEY_FIGURES].[].[ZACTUALSALES]_x000D_
[LOCID].[].[7K10]_x000D_
[PRDID].[].[10001598]_x000D_
[KEY_FIGURES].[].[ZCONSENSUSDEMAND]_x000D_
[LOCID].[].[7K10]_x000D_
[PRDID].[].[10001598]_x000D_
[KEY_FIGURES].[].[INDEPENDENTDEMAND]_x000D_
[LOCID].[].[7K10]_x000D_
[PRDID].[].[10001599]_x000D_
[KEY_FIGURES].[].[ZCONSENSUSDEMANDQTY]_x000D_
[LOCID].[].[7K10]_x000D_
[PRDID].[].[10001599]_x000D_
[KEY_FIGURES].[].[ZINPUTSOFC]_x000D_
[LOCID].[].[7K10]_x000D_
[PRDID].[].[10001599]_x000D_
[KEY_FIGURES].[].[ZFORECASTOPENOUTPUT]_x000D_
[LOCID].[].[7K10]_x000D_
[PRDID].[].[10001599]_x000D_
[KEY_FIGURES].[].[ZACTUALSALES]_x000D_
[LOCID].[].[7K10]_x000D_
[PRDID].[].[10001599]_x000D_
[KEY_FIGURES].[].[ZCONSENSUSDEMAND]_x000D_
[LOCID].[].[7K10]_x000D_
[PRDID].[].[10001599]_x000D_
[KEY_FIGURES].[].[INDEPENDENTDEMAND]_x000D_
[LOCID].[].[7K10]_x000D_
[PRDID].[].[10001600]_x000D_
[KEY_FIGURES].[].[ZCONSENSUSDEMANDQTY]_x000D_
[LOCID].[].[7K10]_x000D_
[PRDID].[].[10001600]_x000D_
[KEY_FIGURES].[].[ZINPUTSOFC]_x000D_
[LOCID].[].[7K10]_x000D_
[PRDID].[].[10001600]_x000D_
[KEY_FIGURES].[].[ZFORECASTOPENOUTPUT]_x000D_
[LOCID].[].[7K10]_x000D_
[PRDID].[].[10001600]_x000D_
[KEY_FIGURES].[].[ZACTUALSALES]_x000D_
[LOCID].[].[7K10]_x000D_
[PRDID].[].[10001600]_x000D_
[KEY_FIGURES].[].[ZCONSENSUSDEMAND]_x000D_
[LOCID].[].[7K10]_x000D_
[PRDID].[].[10001600]_x000D_
[KEY_FIGURES].[].[INDEPENDENTDEMAND]_x000D_
[LOCID].[].[7K10]_x000D_
[PRDID].[].[10001601]_x000D_
[KEY_FIGURES].[].[ZCONSENSUSDEMANDQTY]_x000D_
[LOCID].[].[7K10]_x000D_
[PRDID].[].[10001601]_x000D_
[KEY_FIGURES].[].[ZINPUTSOFC]_x000D_
[LOCID].[].[7K10]_x000D_
[PRDID].[].[10001601]_x000D_
[KEY_FIGURES].[].[ZFORECASTOPENOUTPUT]_x000D_
[LOCID].[].[7K10]_x000D_
[PRDID].[].[10001601]_x000D_
[KEY_FIGURES].[].[ZACTUALSALES]_x000D_
[LOCID].[].[7K10]_x000D_
[PRDID].[].[10001601]_x000D_
[KEY_FIGURES].[].[ZCONSENSUSDEMAND]_x000D_
[LOCID].[].[7K10]_x000D_
[PRDID].[].[10001601]_x000D_
[KEY_FIGURES].[].[INDEPENDENTDEMAND]_x000D_
[LOCID].[].[7K10]_x000D_
[PRDID].[].[10001605]_x000D_
[KEY_FIGURES].[].[ZCONSENSUSDEMANDQTY]_x000D_
[LOCID].[].[7K10]_x000D_
[PRDID].[].[10001605]_x000D_
[KEY_FIGURES].[].[ZINPUTSOFC]_x000D_
[LOCID].[].[7K10]_x000D_
[PRDID].[].[10001605]_x000D_
[KEY_FIGURES].[].[ZFORECASTOPENOUTPUT]_x000D_
[LOCID].[].[7K10]_x000D_
[PRDID].[].[10001605]_x000D_
[KEY_FIGURES].[].[ZACTUALSALES]_x000D_
[LOCID].[].[7K10]_x000D_
[PRDID].[].[10001605]_x000D_
[KEY_FIGURES].[].[ZCONSENSUSDEMAND]_x000D_
[LOCID].[].[7K10]_x000D_
[PRDID].[].[10001605]_x000D_
[KEY_FIGURES].[].[INDEPENDENTDEMAND]_x000D_
[LOCID].[].[7K10]_x000D_
[PRDID].[].[10001606]_x000D_
[KEY_FIGURES].[].[ZCONSENSUSDEMANDQTY]_x000D_
[LOCID].[].[7K10]_x000D_
[PRDID].[].[10001606]_x000D_
[KEY_FIGURES].[].[ZINPUTSOFC]_x000D_
[LOCID].[].[7K10]_x000D_
[PRDID].[].[10001606]_x000D_
[KEY_FIGURES].[].[ZFORECASTOPENOUTPUT]_x000D_
[LOCID].[].[7K10]_x000D_
[PRDID].[].[10001606]_x000D_
[KEY_FIGURES].[].[ZACTUALSALES]_x000D_
[LOCID].[].[7K10]_x000D_
[PRDID].[].[10001606]_x000D_
[KEY_FIGURES].[].[ZCONSENSUSDEMAND]_x000D_
[LOCID].[].[7K10]_x000D_
[PRDID].[].[10001606]_x000D_
[KEY_FIGURES].[].[INDEPENDENTDEMAND]_x000D_
[LOCID].[].[7K10]_x000D_
[PRDID].[].[10001608]_x000D_
[KEY_FIGURES].[].[ZCONSENSUSDEMANDQTY]_x000D_
[LOCID].[].[7K10]_x000D_
[PRDID].[].[10001608]_x000D_
[KEY_FIGURES].[].[ZINPUTSOFC]_x000D_
[LOCID].[].[7K10]_x000D_
[PRDID].[].[10001608]_x000D_
[KEY_FIGURES].[].[ZFORECASTOPENOUTPUT]_x000D_
[LOCID].[].[7K10]_x000D_
[PRDID].[].[10001608]_x000D_
[KEY_FIGURES].[].[ZACTUALSALES]</t>
  </si>
  <si>
    <t>[LOCID].[].[7K10]_x000D_
[PRDID].[].[10001608]_x000D_
[KEY_FIGURES].[].[ZCONSENSUSDEMAND]_x000D_
[LOCID].[].[7K10]_x000D_
[PRDID].[].[10001608]_x000D_
[KEY_FIGURES].[].[INDEPENDENTDEMAND]_x000D_
[LOCID].[].[7K10]_x000D_
[PRDID].[].[10001619]_x000D_
[KEY_FIGURES].[].[ZCONSENSUSDEMANDQTY]_x000D_
[LOCID].[].[7K10]_x000D_
[PRDID].[].[10001619]_x000D_
[KEY_FIGURES].[].[ZINPUTSOFC]_x000D_
[LOCID].[].[7K10]_x000D_
[PRDID].[].[10001619]_x000D_
[KEY_FIGURES].[].[ZFORECASTOPENOUTPUT]_x000D_
[LOCID].[].[7K10]_x000D_
[PRDID].[].[10001619]_x000D_
[KEY_FIGURES].[].[ZACTUALSALES]_x000D_
[LOCID].[].[7K10]_x000D_
[PRDID].[].[10001619]_x000D_
[KEY_FIGURES].[].[ZCONSENSUSDEMAND]_x000D_
[LOCID].[].[7K10]_x000D_
[PRDID].[].[10001619]_x000D_
[KEY_FIGURES].[].[INDEPENDENTDEMAND]_x000D_
[LOCID].[].[7K10]_x000D_
[PRDID].[].[10001629]_x000D_
[KEY_FIGURES].[].[ZCONSENSUSDEMANDQTY]_x000D_
[LOCID].[].[7K10]_x000D_
[PRDID].[].[10001629]_x000D_
[KEY_FIGURES].[].[ZINPUTSOFC]_x000D_
[LOCID].[].[7K10]_x000D_
[PRDID].[].[10001629]_x000D_
[KEY_FIGURES].[].[ZFORECASTOPENOUTPUT]_x000D_
[LOCID].[].[7K10]_x000D_
[PRDID].[].[10001629]_x000D_
[KEY_FIGURES].[].[ZACTUALSALES]_x000D_
[LOCID].[].[7K10]_x000D_
[PRDID].[].[10001629]_x000D_
[KEY_FIGURES].[].[ZCONSENSUSDEMAND]_x000D_
[LOCID].[].[7K10]_x000D_
[PRDID].[].[10001629]_x000D_
[KEY_FIGURES].[].[INDEPENDENTDEMAND]_x000D_
[LOCID].[].[7K10]_x000D_
[PRDID].[].[10001630]_x000D_
[KEY_FIGURES].[].[ZCONSENSUSDEMANDQTY]_x000D_
[LOCID].[].[7K10]_x000D_
[PRDID].[].[10001630]_x000D_
[KEY_FIGURES].[].[ZINPUTSOFC]_x000D_
[LOCID].[].[7K10]_x000D_
[PRDID].[].[10001630]_x000D_
[KEY_FIGURES].[].[ZFORECASTOPENOUTPUT]_x000D_
[LOCID].[].[7K10]_x000D_
[PRDID].[].[10001630]_x000D_
[KEY_FIGURES].[].[ZACTUALSALES]_x000D_
[LOCID].[].[7K10]_x000D_
[PRDID].[].[10001630]_x000D_
[KEY_FIGURES].[].[ZCONSENSUSDEMAND]_x000D_
[LOCID].[].[7K10]_x000D_
[PRDID].[].[10001630]_x000D_
[KEY_FIGURES].[].[INDEPENDENTDEMAND]_x000D_
[LOCID].[].[7K10]_x000D_
[PRDID].[].[10001632]_x000D_
[KEY_FIGURES].[].[ZCONSENSUSDEMANDQTY]_x000D_
[LOCID].[].[7K10]_x000D_
[PRDID].[].[10001632]_x000D_
[KEY_FIGURES].[].[ZINPUTSOFC]_x000D_
[LOCID].[].[7K10]_x000D_
[PRDID].[].[10001632]_x000D_
[KEY_FIGURES].[].[ZFORECASTOPENOUTPUT]_x000D_
[LOCID].[].[7K10]_x000D_
[PRDID].[].[10001632]_x000D_
[KEY_FIGURES].[].[ZACTUALSALES]_x000D_
[LOCID].[].[7K10]_x000D_
[PRDID].[].[10001632]_x000D_
[KEY_FIGURES].[].[ZCONSENSUSDEMAND]_x000D_
[LOCID].[].[7K10]_x000D_
[PRDID].[].[10001632]_x000D_
[KEY_FIGURES].[].[INDEPENDENTDEMAND]_x000D_
[LOCID].[].[7K10]_x000D_
[PRDID].[].[10001633]_x000D_
[KEY_FIGURES].[].[ZCONSENSUSDEMANDQTY]_x000D_
[LOCID].[].[7K10]_x000D_
[PRDID].[].[10001633]_x000D_
[KEY_FIGURES].[].[ZINPUTSOFC]_x000D_
[LOCID].[].[7K10]_x000D_
[PRDID].[].[10001633]_x000D_
[KEY_FIGURES].[].[ZFORECASTOPENOUTPUT]_x000D_
[LOCID].[].[7K10]_x000D_
[PRDID].[].[10001633]_x000D_
[KEY_FIGURES].[].[ZACTUALSALES]_x000D_
[LOCID].[].[7K10]_x000D_
[PRDID].[].[10001633]_x000D_
[KEY_FIGURES].[].[ZCONSENSUSDEMAND]_x000D_
[LOCID].[].[7K10]_x000D_
[PRDID].[].[10001633]_x000D_
[KEY_FIGURES].[].[INDEPENDENTDEMAND]_x000D_
[LOCID].[].[7K10]_x000D_
[PRDID].[].[10001634]_x000D_
[KEY_FIGURES].[].[ZCONSENSUSDEMANDQTY]_x000D_
[LOCID].[].[7K10]_x000D_
[PRDID].[].[10001634]_x000D_
[KEY_FIGURES].[].[ZINPUTSOFC]_x000D_
[LOCID].[].[7K10]_x000D_
[PRDID].[].[10001634]_x000D_
[KEY_FIGURES].[].[ZFORECASTOPENOUTPUT]_x000D_
[LOCID].[].[7K10]_x000D_
[PRDID].[].[10001634]_x000D_
[KEY_FIGURES].[].[ZACTUALSALES]_x000D_
[LOCID].[].[7K10]_x000D_
[PRDID].[].[10001634]_x000D_
[KEY_FIGURES].[].[ZCONSENSUSDEMAND]_x000D_
[LOCID].[].[7K10]_x000D_
[PRDID].[].[10001634]_x000D_
[KEY_FIGURES].[].[INDEPENDENTDEMAND]_x000D_
[LOCID].[].[7K10]_x000D_
[PRDID].[].[10001636]_x000D_
[KEY_FIGURES].[].[ZCONSENSUSDEMANDQTY]_x000D_
[LOCID].[].[7K10]_x000D_
[PRDID].[].[10001636]_x000D_
[KEY_FIGURES].[].[ZINPUTSOFC]_x000D_
[LOCID].[].[7K10]_x000D_
[PRDID].[].[10001636]_x000D_
[KEY_FIGURES].[].[ZFORECASTOPENOUTPUT]_x000D_
[LOCID].[].[7K10]_x000D_
[PRDID].[].[10001636]_x000D_
[KEY_FIGURES].[].[ZACTUALSALES]_x000D_
[LOCID].[].[7K10]_x000D_
[PRDID].[].[10001636]_x000D_
[KEY_FIGURES].[].[ZCONSENSUSDEMAND]_x000D_
[LOCID].[].[7K10]_x000D_
[PRDID].[].[10001636]_x000D_
[KEY_FIGURES].[].[INDEPENDENTDEMAND]_x000D_
[LOCID].[].[7K10]_x000D_
[PRDID].[].[10001637]_x000D_
[KEY_FIGURES].[].[ZCONSENSUSDEMANDQTY]_x000D_
[LOCID].[].[7K10]_x000D_
[PRDID].[].[10001637]_x000D_
[KEY_FIGURES].[].[ZINPUTSOFC]_x000D_
[LOCID].[].[7K10]_x000D_
[PRDID].[].[10001637]_x000D_
[KEY_FIGURES].[].[ZFORECASTOPENOUTPUT]_x000D_
[LOCID].[].[7K10]_x000D_
[PRDID].[].[10001637]_x000D_
[KEY_FIGURES].[].[ZACTUALSALES]_x000D_
[LOCID].[].[7K10]_x000D_
[PRDID].[].[10001637]_x000D_
[KEY_FIGURES].[].[ZCONSENSUSDEMAND]_x000D_
[LOCID].[].[7K10]_x000D_
[PRDID].[].[10001637]_x000D_
[KEY_FIGURES].[].[INDEPENDENTDEMAND]_x000D_
[LOCID].[].[7K10]_x000D_
[PRDID].[].[10001638]_x000D_
[KEY_FIGURES].[].[ZCONSENSUSDEMANDQTY]_x000D_
[LOCID].[].[7K10]_x000D_
[PRDID].[].[10001638]_x000D_
[KEY_FIGURES].[].[ZINPUTSOFC]_x000D_
[LOCID].[].[7K10]_x000D_
[PRDID].[].[10001638]_x000D_
[KEY_FIGURES].[].[ZFORECASTOPENOUTPUT]_x000D_
[LOCID].[].[7K10]_x000D_
[PRDID].[].[10001638]_x000D_
[KEY_FIGURES].[].[ZACTUALSALES]_x000D_
[LOCID].[].[7K10]_x000D_
[PRDID].[].[10001638]_x000D_
[KEY_FIGURES].[].[ZCONSENSUSDEMAND]_x000D_
[LOCID].[].[7K10]_x000D_
[PRDID].[].[10001638]_x000D_
[KEY_FIGURES].[].[INDEPENDENTDEMAND]_x000D_
[LOCID].[].[7K10]_x000D_
[PRDID].[].[10001639]_x000D_
[KEY_FIGURES].[].[ZCONSENSUSDEMANDQTY]_x000D_
[LOCID].[].[7K10]_x000D_
[PRDID].[].[10001639]_x000D_
[KEY_FIGURES].[].[ZINPUTSOFC]_x000D_
[LOCID].[].[7K10]_x000D_
[PRDID].[].[10001639]_x000D_
[KEY_FIGURES].[].[ZFORECASTOPENOUTPUT]_x000D_
[LOCID].[].[7K10]_x000D_
[PRDID].[].[10001639]_x000D_
[KEY_FIGURES].[].[ZACTUALSALES]_x000D_
[LOCID].[].[7K10]_x000D_
[PRDID].[].[10001639]_x000D_
[KEY_FIGURES].[].[ZCONSENSUSDEMAND]_x000D_
[LOCID].[].[7K10]_x000D_
[PRDID].[].[10001639]_x000D_
[KEY_FIGURES].[].[INDEPENDENTDEMAND]_x000D_
[LOCID].[].[7K10]_x000D_
[PRDID].[].[10001641]_x000D_
[KEY_FIGURES].[].[ZCONSENSUSDEMANDQTY]_x000D_
[LOCID].[].[7K10]_x000D_
[PRDID].[].[10001641]_x000D_
[KEY_FIGURES].[].[ZINPUTSOFC]_x000D_
[LOCID].[].[7K10]_x000D_
[PRDID].[].[10001641]_x000D_
[KEY_FIGURES].[].[ZFORECASTOPENOUTPUT]_x000D_
[LOCID].[].[7K10]_x000D_
[PRDID].[].[10001641]_x000D_
[KEY_FIGURES].[].[ZACTUALSALES]_x000D_
[LOCID].[].[7K10]_x000D_
[PRDID].[].[10001641]</t>
  </si>
  <si>
    <t>[KEY_FIGURES].[].[ZCONSENSUSDEMAND]_x000D_
[LOCID].[].[7K10]_x000D_
[PRDID].[].[10001641]_x000D_
[KEY_FIGURES].[].[INDEPENDENTDEMAND]_x000D_
[LOCID].[].[7K10]_x000D_
[PRDID].[].[10001643]_x000D_
[KEY_FIGURES].[].[ZCONSENSUSDEMANDQTY]_x000D_
[LOCID].[].[7K10]_x000D_
[PRDID].[].[10001643]_x000D_
[KEY_FIGURES].[].[ZINPUTSOFC]_x000D_
[LOCID].[].[7K10]_x000D_
[PRDID].[].[10001643]_x000D_
[KEY_FIGURES].[].[ZFORECASTOPENOUTPUT]_x000D_
[LOCID].[].[7K10]_x000D_
[PRDID].[].[10001643]_x000D_
[KEY_FIGURES].[].[ZACTUALSALES]_x000D_
[LOCID].[].[7K10]_x000D_
[PRDID].[].[10001643]_x000D_
[KEY_FIGURES].[].[ZCONSENSUSDEMAND]_x000D_
[LOCID].[].[7K10]_x000D_
[PRDID].[].[10001643]_x000D_
[KEY_FIGURES].[].[INDEPENDENTDEMAND]_x000D_
[LOCID].[].[7K10]_x000D_
[PRDID].[].[10001644]_x000D_
[KEY_FIGURES].[].[ZCONSENSUSDEMANDQTY]_x000D_
[LOCID].[].[7K10]_x000D_
[PRDID].[].[10001644]_x000D_
[KEY_FIGURES].[].[ZINPUTSOFC]_x000D_
[LOCID].[].[7K10]_x000D_
[PRDID].[].[10001644]_x000D_
[KEY_FIGURES].[].[ZFORECASTOPENOUTPUT]_x000D_
[LOCID].[].[7K10]_x000D_
[PRDID].[].[10001644]_x000D_
[KEY_FIGURES].[].[ZACTUALSALES]_x000D_
[LOCID].[].[7K10]_x000D_
[PRDID].[].[10001644]_x000D_
[KEY_FIGURES].[].[ZCONSENSUSDEMAND]_x000D_
[LOCID].[].[7K10]_x000D_
[PRDID].[].[10001644]_x000D_
[KEY_FIGURES].[].[INDEPENDENTDEMAND]_x000D_
[LOCID].[].[7K10]_x000D_
[PRDID].[].[10001645]_x000D_
[KEY_FIGURES].[].[ZCONSENSUSDEMANDQTY]_x000D_
[LOCID].[].[7K10]_x000D_
[PRDID].[].[10001645]_x000D_
[KEY_FIGURES].[].[ZINPUTSOFC]_x000D_
[LOCID].[].[7K10]_x000D_
[PRDID].[].[10001645]_x000D_
[KEY_FIGURES].[].[ZFORECASTOPENOUTPUT]_x000D_
[LOCID].[].[7K10]_x000D_
[PRDID].[].[10001645]_x000D_
[KEY_FIGURES].[].[ZACTUALSALES]_x000D_
[LOCID].[].[7K10]_x000D_
[PRDID].[].[10001645]_x000D_
[KEY_FIGURES].[].[ZCONSENSUSDEMAND]_x000D_
[LOCID].[].[7K10]_x000D_
[PRDID].[].[10001645]_x000D_
[KEY_FIGURES].[].[INDEPENDENTDEMAND]_x000D_
[LOCID].[].[7K10]_x000D_
[PRDID].[].[10001647]_x000D_
[KEY_FIGURES].[].[ZCONSENSUSDEMANDQTY]_x000D_
[LOCID].[].[7K10]_x000D_
[PRDID].[].[10001647]_x000D_
[KEY_FIGURES].[].[ZINPUTSOFC]_x000D_
[LOCID].[].[7K10]_x000D_
[PRDID].[].[10001647]_x000D_
[KEY_FIGURES].[].[ZFORECASTOPENOUTPUT]_x000D_
[LOCID].[].[7K10]_x000D_
[PRDID].[].[10001647]_x000D_
[KEY_FIGURES].[].[ZACTUALSALES]_x000D_
[LOCID].[].[7K10]_x000D_
[PRDID].[].[10001647]_x000D_
[KEY_FIGURES].[].[ZCONSENSUSDEMAND]_x000D_
[LOCID].[].[7K10]_x000D_
[PRDID].[].[10001647]_x000D_
[KEY_FIGURES].[].[INDEPENDENTDEMAND]_x000D_
[LOCID].[].[7K10]_x000D_
[PRDID].[].[10001648]_x000D_
[KEY_FIGURES].[].[ZCONSENSUSDEMANDQTY]_x000D_
[LOCID].[].[7K10]_x000D_
[PRDID].[].[10001648]_x000D_
[KEY_FIGURES].[].[ZINPUTSOFC]_x000D_
[LOCID].[].[7K10]_x000D_
[PRDID].[].[10001648]_x000D_
[KEY_FIGURES].[].[ZFORECASTOPENOUTPUT]_x000D_
[LOCID].[].[7K10]_x000D_
[PRDID].[].[10001648]_x000D_
[KEY_FIGURES].[].[ZACTUALSALES]_x000D_
[LOCID].[].[7K10]_x000D_
[PRDID].[].[10001648]_x000D_
[KEY_FIGURES].[].[ZCONSENSUSDEMAND]_x000D_
[LOCID].[].[7K10]_x000D_
[PRDID].[].[10001648]_x000D_
[KEY_FIGURES].[].[INDEPENDENTDEMAND]_x000D_
[LOCID].[].[7K10]_x000D_
[PRDID].[].[10001649]_x000D_
[KEY_FIGURES].[].[ZCONSENSUSDEMANDQTY]_x000D_
[LOCID].[].[7K10]_x000D_
[PRDID].[].[10001649]_x000D_
[KEY_FIGURES].[].[ZINPUTSOFC]_x000D_
[LOCID].[].[7K10]_x000D_
[PRDID].[].[10001649]_x000D_
[KEY_FIGURES].[].[ZFORECASTOPENOUTPUT]_x000D_
[LOCID].[].[7K10]_x000D_
[PRDID].[].[10001649]_x000D_
[KEY_FIGURES].[].[ZACTUALSALES]_x000D_
[LOCID].[].[7K10]_x000D_
[PRDID].[].[10001649]_x000D_
[KEY_FIGURES].[].[ZCONSENSUSDEMAND]_x000D_
[LOCID].[].[7K10]_x000D_
[PRDID].[].[10001649]_x000D_
[KEY_FIGURES].[].[INDEPENDENTDEMAND]_x000D_
[LOCID].[].[7K10]_x000D_
[PRDID].[].[10001650]_x000D_
[KEY_FIGURES].[].[ZCONSENSUSDEMANDQTY]_x000D_
[LOCID].[].[7K10]_x000D_
[PRDID].[].[10001650]_x000D_
[KEY_FIGURES].[].[ZINPUTSOFC]_x000D_
[LOCID].[].[7K10]_x000D_
[PRDID].[].[10001650]_x000D_
[KEY_FIGURES].[].[ZFORECASTOPENOUTPUT]_x000D_
[LOCID].[].[7K10]_x000D_
[PRDID].[].[10001650]_x000D_
[KEY_FIGURES].[].[ZACTUALSALES]_x000D_
[LOCID].[].[7K10]_x000D_
[PRDID].[].[10001650]_x000D_
[KEY_FIGURES].[].[ZCONSENSUSDEMAND]_x000D_
[LOCID].[].[7K10]_x000D_
[PRDID].[].[10001650]_x000D_
[KEY_FIGURES].[].[INDEPENDENTDEMAND]_x000D_
[LOCID].[].[7K10]_x000D_
[PRDID].[].[10001652]_x000D_
[KEY_FIGURES].[].[ZCONSENSUSDEMANDQTY]_x000D_
[LOCID].[].[7K10]_x000D_
[PRDID].[].[10001652]_x000D_
[KEY_FIGURES].[].[ZINPUTSOFC]_x000D_
[LOCID].[].[7K10]_x000D_
[PRDID].[].[10001652]_x000D_
[KEY_FIGURES].[].[ZFORECASTOPENOUTPUT]_x000D_
[LOCID].[].[7K10]_x000D_
[PRDID].[].[10001652]_x000D_
[KEY_FIGURES].[].[ZACTUALSALES]_x000D_
[LOCID].[].[7K10]_x000D_
[PRDID].[].[10001652]_x000D_
[KEY_FIGURES].[].[ZCONSENSUSDEMAND]_x000D_
[LOCID].[].[7K10]_x000D_
[PRDID].[].[10001652]_x000D_
[KEY_FIGURES].[].[INDEPENDENTDEMAND]_x000D_
[LOCID].[].[7K10]_x000D_
[PRDID].[].[10001653]_x000D_
[KEY_FIGURES].[].[ZCONSENSUSDEMANDQTY]_x000D_
[LOCID].[].[7K10]_x000D_
[PRDID].[].[10001653]_x000D_
[KEY_FIGURES].[].[ZINPUTSOFC]_x000D_
[LOCID].[].[7K10]_x000D_
[PRDID].[].[10001653]_x000D_
[KEY_FIGURES].[].[ZFORECASTOPENOUTPUT]_x000D_
[LOCID].[].[7K10]_x000D_
[PRDID].[].[10001653]_x000D_
[KEY_FIGURES].[].[ZACTUALSALES]_x000D_
[LOCID].[].[7K10]_x000D_
[PRDID].[].[10001653]_x000D_
[KEY_FIGURES].[].[ZCONSENSUSDEMAND]_x000D_
[LOCID].[].[7K10]_x000D_
[PRDID].[].[10001653]_x000D_
[KEY_FIGURES].[].[INDEPENDENTDEMAND]_x000D_
[LOCID].[].[7K10]_x000D_
[PRDID].[].[10001654]_x000D_
[KEY_FIGURES].[].[ZCONSENSUSDEMANDQTY]_x000D_
[LOCID].[].[7K10]_x000D_
[PRDID].[].[10001654]_x000D_
[KEY_FIGURES].[].[ZINPUTSOFC]_x000D_
[LOCID].[].[7K10]_x000D_
[PRDID].[].[10001654]_x000D_
[KEY_FIGURES].[].[ZFORECASTOPENOUTPUT]_x000D_
[LOCID].[].[7K10]_x000D_
[PRDID].[].[10001654]_x000D_
[KEY_FIGURES].[].[ZACTUALSALES]_x000D_
[LOCID].[].[7K10]_x000D_
[PRDID].[].[10001654]_x000D_
[KEY_FIGURES].[].[ZCONSENSUSDEMAND]_x000D_
[LOCID].[].[7K10]_x000D_
[PRDID].[].[10001654]_x000D_
[KEY_FIGURES].[].[INDEPENDENTDEMAND]_x000D_
[LOCID].[].[7K10]_x000D_
[PRDID].[].[10001655]_x000D_
[KEY_FIGURES].[].[ZCONSENSUSDEMANDQTY]_x000D_
[LOCID].[].[7K10]_x000D_
[PRDID].[].[10001655]_x000D_
[KEY_FIGURES].[].[ZINPUTSOFC]_x000D_
[LOCID].[].[7K10]_x000D_
[PRDID].[].[10001655]_x000D_
[KEY_FIGURES].[].[ZFORECASTOPENOUTPUT]_x000D_
[LOCID].[].[7K10]_x000D_
[PRDID].[].[10001655]_x000D_
[KEY_FIGURES].[].[ZACTUALSALES]_x000D_
[LOCID].[].[7K10]_x000D_
[PRDID].[].[10001655]_x000D_
[KEY_FIGURES].[].[ZCONSENSUSDEMAND]_x000D_
[LOCID].[].[7K10]</t>
  </si>
  <si>
    <t>[PRDID].[].[10001655]_x000D_
[KEY_FIGURES].[].[INDEPENDENTDEMAND]_x000D_
[LOCID].[].[7K10]_x000D_
[PRDID].[].[10001657]_x000D_
[KEY_FIGURES].[].[ZCONSENSUSDEMANDQTY]_x000D_
[LOCID].[].[7K10]_x000D_
[PRDID].[].[10001657]_x000D_
[KEY_FIGURES].[].[ZINPUTSOFC]_x000D_
[LOCID].[].[7K10]_x000D_
[PRDID].[].[10001657]_x000D_
[KEY_FIGURES].[].[ZFORECASTOPENOUTPUT]_x000D_
[LOCID].[].[7K10]_x000D_
[PRDID].[].[10001657]_x000D_
[KEY_FIGURES].[].[ZACTUALSALES]_x000D_
[LOCID].[].[7K10]_x000D_
[PRDID].[].[10001657]_x000D_
[KEY_FIGURES].[].[ZCONSENSUSDEMAND]_x000D_
[LOCID].[].[7K10]_x000D_
[PRDID].[].[10001657]_x000D_
[KEY_FIGURES].[].[INDEPENDENTDEMAND]_x000D_
[LOCID].[].[7K10]_x000D_
[PRDID].[].[10001658]_x000D_
[KEY_FIGURES].[].[ZCONSENSUSDEMANDQTY]_x000D_
[LOCID].[].[7K10]_x000D_
[PRDID].[].[10001658]_x000D_
[KEY_FIGURES].[].[ZINPUTSOFC]_x000D_
[LOCID].[].[7K10]_x000D_
[PRDID].[].[10001658]_x000D_
[KEY_FIGURES].[].[ZFORECASTOPENOUTPUT]_x000D_
[LOCID].[].[7K10]_x000D_
[PRDID].[].[10001658]_x000D_
[KEY_FIGURES].[].[ZACTUALSALES]_x000D_
[LOCID].[].[7K10]_x000D_
[PRDID].[].[10001658]_x000D_
[KEY_FIGURES].[].[ZCONSENSUSDEMAND]_x000D_
[LOCID].[].[7K10]_x000D_
[PRDID].[].[10001658]_x000D_
[KEY_FIGURES].[].[INDEPENDENTDEMAND]_x000D_
[LOCID].[].[7K10]_x000D_
[PRDID].[].[10001659]_x000D_
[KEY_FIGURES].[].[ZCONSENSUSDEMANDQTY]_x000D_
[LOCID].[].[7K10]_x000D_
[PRDID].[].[10001659]_x000D_
[KEY_FIGURES].[].[ZINPUTSOFC]_x000D_
[LOCID].[].[7K10]_x000D_
[PRDID].[].[10001659]_x000D_
[KEY_FIGURES].[].[ZFORECASTOPENOUTPUT]_x000D_
[LOCID].[].[7K10]_x000D_
[PRDID].[].[10001659]_x000D_
[KEY_FIGURES].[].[ZACTUALSALES]_x000D_
[LOCID].[].[7K10]_x000D_
[PRDID].[].[10001659]_x000D_
[KEY_FIGURES].[].[ZCONSENSUSDEMAND]_x000D_
[LOCID].[].[7K10]_x000D_
[PRDID].[].[10001659]_x000D_
[KEY_FIGURES].[].[INDEPENDENTDEMAND]_x000D_
[LOCID].[].[7K10]_x000D_
[PRDID].[].[10001660]_x000D_
[KEY_FIGURES].[].[ZCONSENSUSDEMANDQTY]_x000D_
[LOCID].[].[7K10]_x000D_
[PRDID].[].[10001660]_x000D_
[KEY_FIGURES].[].[ZINPUTSOFC]_x000D_
[LOCID].[].[7K10]_x000D_
[PRDID].[].[10001660]_x000D_
[KEY_FIGURES].[].[ZFORECASTOPENOUTPUT]_x000D_
[LOCID].[].[7K10]_x000D_
[PRDID].[].[10001660]_x000D_
[KEY_FIGURES].[].[ZACTUALSALES]_x000D_
[LOCID].[].[7K10]_x000D_
[PRDID].[].[10001660]_x000D_
[KEY_FIGURES].[].[ZCONSENSUSDEMAND]_x000D_
[LOCID].[].[7K10]_x000D_
[PRDID].[].[10001660]_x000D_
[KEY_FIGURES].[].[INDEPENDENTDEMAND]_x000D_
[LOCID].[].[7K10]_x000D_
[PRDID].[].[10001662]_x000D_
[KEY_FIGURES].[].[ZCONSENSUSDEMANDQTY]_x000D_
[LOCID].[].[7K10]_x000D_
[PRDID].[].[10001662]_x000D_
[KEY_FIGURES].[].[ZINPUTSOFC]_x000D_
[LOCID].[].[7K10]_x000D_
[PRDID].[].[10001662]_x000D_
[KEY_FIGURES].[].[ZFORECASTOPENOUTPUT]_x000D_
[LOCID].[].[7K10]_x000D_
[PRDID].[].[10001662]_x000D_
[KEY_FIGURES].[].[ZACTUALSALES]_x000D_
[LOCID].[].[7K10]_x000D_
[PRDID].[].[10001662]_x000D_
[KEY_FIGURES].[].[ZCONSENSUSDEMAND]_x000D_
[LOCID].[].[7K10]_x000D_
[PRDID].[].[10001662]_x000D_
[KEY_FIGURES].[].[INDEPENDENTDEMAND]_x000D_
[LOCID].[].[7K10]_x000D_
[PRDID].[].[10001664]_x000D_
[KEY_FIGURES].[].[ZCONSENSUSDEMANDQTY]_x000D_
[LOCID].[].[7K10]_x000D_
[PRDID].[].[10001664]_x000D_
[KEY_FIGURES].[].[ZINPUTSOFC]_x000D_
[LOCID].[].[7K10]_x000D_
[PRDID].[].[10001664]_x000D_
[KEY_FIGURES].[].[ZFORECASTOPENOUTPUT]_x000D_
[LOCID].[].[7K10]_x000D_
[PRDID].[].[10001664]_x000D_
[KEY_FIGURES].[].[ZACTUALSALES]_x000D_
[LOCID].[].[7K10]_x000D_
[PRDID].[].[10001664]_x000D_
[KEY_FIGURES].[].[ZCONSENSUSDEMAND]_x000D_
[LOCID].[].[7K10]_x000D_
[PRDID].[].[10001664]_x000D_
[KEY_FIGURES].[].[INDEPENDENTDEMAND]_x000D_
[LOCID].[].[7K10]_x000D_
[PRDID].[].[10001665]_x000D_
[KEY_FIGURES].[].[ZCONSENSUSDEMANDQTY]_x000D_
[LOCID].[].[7K10]_x000D_
[PRDID].[].[10001665]_x000D_
[KEY_FIGURES].[].[ZINPUTSOFC]_x000D_
[LOCID].[].[7K10]_x000D_
[PRDID].[].[10001665]_x000D_
[KEY_FIGURES].[].[ZFORECASTOPENOUTPUT]_x000D_
[LOCID].[].[7K10]_x000D_
[PRDID].[].[10001665]_x000D_
[KEY_FIGURES].[].[ZACTUALSALES]_x000D_
[LOCID].[].[7K10]_x000D_
[PRDID].[].[10001665]_x000D_
[KEY_FIGURES].[].[ZCONSENSUSDEMAND]_x000D_
[LOCID].[].[7K10]_x000D_
[PRDID].[].[10001665]_x000D_
[KEY_FIGURES].[].[INDEPENDENTDEMAND]_x000D_
[LOCID].[].[7K10]_x000D_
[PRDID].[].[10001666]_x000D_
[KEY_FIGURES].[].[ZCONSENSUSDEMANDQTY]_x000D_
[LOCID].[].[7K10]_x000D_
[PRDID].[].[10001666]_x000D_
[KEY_FIGURES].[].[ZINPUTSOFC]_x000D_
[LOCID].[].[7K10]_x000D_
[PRDID].[].[10001666]_x000D_
[KEY_FIGURES].[].[ZFORECASTOPENOUTPUT]_x000D_
[LOCID].[].[7K10]_x000D_
[PRDID].[].[10001666]_x000D_
[KEY_FIGURES].[].[ZACTUALSALES]_x000D_
[LOCID].[].[7K10]_x000D_
[PRDID].[].[10001666]_x000D_
[KEY_FIGURES].[].[ZCONSENSUSDEMAND]_x000D_
[LOCID].[].[7K10]_x000D_
[PRDID].[].[10001666]_x000D_
[KEY_FIGURES].[].[INDEPENDENTDEMAND]_x000D_
[LOCID].[].[7K10]_x000D_
[PRDID].[].[10001667]_x000D_
[KEY_FIGURES].[].[ZCONSENSUSDEMANDQTY]_x000D_
[LOCID].[].[7K10]_x000D_
[PRDID].[].[10001667]_x000D_
[KEY_FIGURES].[].[ZINPUTSOFC]_x000D_
[LOCID].[].[7K10]_x000D_
[PRDID].[].[10001667]_x000D_
[KEY_FIGURES].[].[ZFORECASTOPENOUTPUT]_x000D_
[LOCID].[].[7K10]_x000D_
[PRDID].[].[10001667]_x000D_
[KEY_FIGURES].[].[ZACTUALSALES]_x000D_
[LOCID].[].[7K10]_x000D_
[PRDID].[].[10001667]_x000D_
[KEY_FIGURES].[].[ZCONSENSUSDEMAND]_x000D_
[LOCID].[].[7K10]_x000D_
[PRDID].[].[10001667]_x000D_
[KEY_FIGURES].[].[INDEPENDENTDEMAND]_x000D_
[LOCID].[].[7K10]_x000D_
[PRDID].[].[10001668]_x000D_
[KEY_FIGURES].[].[ZCONSENSUSDEMANDQTY]_x000D_
[LOCID].[].[7K10]_x000D_
[PRDID].[].[10001668]_x000D_
[KEY_FIGURES].[].[ZINPUTSOFC]_x000D_
[LOCID].[].[7K10]_x000D_
[PRDID].[].[10001668]_x000D_
[KEY_FIGURES].[].[ZFORECASTOPENOUTPUT]_x000D_
[LOCID].[].[7K10]_x000D_
[PRDID].[].[10001668]_x000D_
[KEY_FIGURES].[].[ZACTUALSALES]_x000D_
[LOCID].[].[7K10]_x000D_
[PRDID].[].[10001668]_x000D_
[KEY_FIGURES].[].[ZCONSENSUSDEMAND]_x000D_
[LOCID].[].[7K10]_x000D_
[PRDID].[].[10001668]_x000D_
[KEY_FIGURES].[].[INDEPENDENTDEMAND]_x000D_
[LOCID].[].[7K10]_x000D_
[PRDID].[].[10001670]_x000D_
[KEY_FIGURES].[].[ZCONSENSUSDEMANDQTY]_x000D_
[LOCID].[].[7K10]_x000D_
[PRDID].[].[10001670]_x000D_
[KEY_FIGURES].[].[ZINPUTSOFC]_x000D_
[LOCID].[].[7K10]_x000D_
[PRDID].[].[10001670]_x000D_
[KEY_FIGURES].[].[ZFORECASTOPENOUTPUT]_x000D_
[LOCID].[].[7K10]_x000D_
[PRDID].[].[10001670]_x000D_
[KEY_FIGURES].[].[ZACTUALSALES]_x000D_
[LOCID].[].[7K10]_x000D_
[PRDID].[].[10001670]_x000D_
[KEY_FIGURES].[].[ZCONSENSUSDEMAND]_x000D_
[LOCID].[].[7K10]_x000D_
[PRDID].[].[10001670]_x000D_
[KEY_FIGURES].[].[INDEPENDENTDEMAND]</t>
  </si>
  <si>
    <t>[LOCID].[].[7K10]_x000D_
[PRDID].[].[10001674]_x000D_
[KEY_FIGURES].[].[ZCONSENSUSDEMANDQTY]_x000D_
[LOCID].[].[7K10]_x000D_
[PRDID].[].[10001674]_x000D_
[KEY_FIGURES].[].[ZINPUTSOFC]_x000D_
[LOCID].[].[7K10]_x000D_
[PRDID].[].[10001674]_x000D_
[KEY_FIGURES].[].[ZFORECASTOPENOUTPUT]_x000D_
[LOCID].[].[7K10]_x000D_
[PRDID].[].[10001674]_x000D_
[KEY_FIGURES].[].[ZACTUALSALES]_x000D_
[LOCID].[].[7K10]_x000D_
[PRDID].[].[10001674]_x000D_
[KEY_FIGURES].[].[ZCONSENSUSDEMAND]_x000D_
[LOCID].[].[7K10]_x000D_
[PRDID].[].[10001674]_x000D_
[KEY_FIGURES].[].[INDEPENDENTDEMAND]_x000D_
[LOCID].[].[7K10]_x000D_
[PRDID].[].[10001675]_x000D_
[KEY_FIGURES].[].[ZCONSENSUSDEMANDQTY]_x000D_
[LOCID].[].[7K10]_x000D_
[PRDID].[].[10001675]_x000D_
[KEY_FIGURES].[].[ZINPUTSOFC]_x000D_
[LOCID].[].[7K10]_x000D_
[PRDID].[].[10001675]_x000D_
[KEY_FIGURES].[].[ZFORECASTOPENOUTPUT]_x000D_
[LOCID].[].[7K10]_x000D_
[PRDID].[].[10001675]_x000D_
[KEY_FIGURES].[].[ZACTUALSALES]_x000D_
[LOCID].[].[7K10]_x000D_
[PRDID].[].[10001675]_x000D_
[KEY_FIGURES].[].[ZCONSENSUSDEMAND]_x000D_
[LOCID].[].[7K10]_x000D_
[PRDID].[].[10001675]_x000D_
[KEY_FIGURES].[].[INDEPENDENTDEMAND]_x000D_
[LOCID].[].[7K10]_x000D_
[PRDID].[].[10001677]_x000D_
[KEY_FIGURES].[].[ZCONSENSUSDEMANDQTY]_x000D_
[LOCID].[].[7K10]_x000D_
[PRDID].[].[10001677]_x000D_
[KEY_FIGURES].[].[ZINPUTSOFC]_x000D_
[LOCID].[].[7K10]_x000D_
[PRDID].[].[10001677]_x000D_
[KEY_FIGURES].[].[ZFORECASTOPENOUTPUT]_x000D_
[LOCID].[].[7K10]_x000D_
[PRDID].[].[10001677]_x000D_
[KEY_FIGURES].[].[ZACTUALSALES]_x000D_
[LOCID].[].[7K10]_x000D_
[PRDID].[].[10001677]_x000D_
[KEY_FIGURES].[].[ZCONSENSUSDEMAND]_x000D_
[LOCID].[].[7K10]_x000D_
[PRDID].[].[10001677]_x000D_
[KEY_FIGURES].[].[INDEPENDENTDEMAND]_x000D_
[LOCID].[].[7K10]_x000D_
[PRDID].[].[10001678]_x000D_
[KEY_FIGURES].[].[ZCONSENSUSDEMANDQTY]_x000D_
[LOCID].[].[7K10]_x000D_
[PRDID].[].[10001678]_x000D_
[KEY_FIGURES].[].[ZINPUTSOFC]_x000D_
[LOCID].[].[7K10]_x000D_
[PRDID].[].[10001678]_x000D_
[KEY_FIGURES].[].[ZFORECASTOPENOUTPUT]_x000D_
[LOCID].[].[7K10]_x000D_
[PRDID].[].[10001678]_x000D_
[KEY_FIGURES].[].[ZACTUALSALES]_x000D_
[LOCID].[].[7K10]_x000D_
[PRDID].[].[10001678]_x000D_
[KEY_FIGURES].[].[ZCONSENSUSDEMAND]_x000D_
[LOCID].[].[7K10]_x000D_
[PRDID].[].[10001678]_x000D_
[KEY_FIGURES].[].[INDEPENDENTDEMAND]_x000D_
[LOCID].[].[7K10]_x000D_
[PRDID].[].[10001679]_x000D_
[KEY_FIGURES].[].[ZCONSENSUSDEMANDQTY]_x000D_
[LOCID].[].[7K10]_x000D_
[PRDID].[].[10001679]_x000D_
[KEY_FIGURES].[].[ZINPUTSOFC]_x000D_
[LOCID].[].[7K10]_x000D_
[PRDID].[].[10001679]_x000D_
[KEY_FIGURES].[].[ZFORECASTOPENOUTPUT]_x000D_
[LOCID].[].[7K10]_x000D_
[PRDID].[].[10001679]_x000D_
[KEY_FIGURES].[].[ZACTUALSALES]_x000D_
[LOCID].[].[7K10]_x000D_
[PRDID].[].[10001679]_x000D_
[KEY_FIGURES].[].[ZCONSENSUSDEMAND]_x000D_
[LOCID].[].[7K10]_x000D_
[PRDID].[].[10001679]_x000D_
[KEY_FIGURES].[].[INDEPENDENTDEMAND]_x000D_
[LOCID].[].[7K10]_x000D_
[PRDID].[].[10001680]_x000D_
[KEY_FIGURES].[].[ZCONSENSUSDEMANDQTY]_x000D_
[LOCID].[].[7K10]_x000D_
[PRDID].[].[10001680]_x000D_
[KEY_FIGURES].[].[ZINPUTSOFC]_x000D_
[LOCID].[].[7K10]_x000D_
[PRDID].[].[10001680]_x000D_
[KEY_FIGURES].[].[ZFORECASTOPENOUTPUT]_x000D_
[LOCID].[].[7K10]_x000D_
[PRDID].[].[10001680]_x000D_
[KEY_FIGURES].[].[ZACTUALSALES]_x000D_
[LOCID].[].[7K10]_x000D_
[PRDID].[].[10001680]_x000D_
[KEY_FIGURES].[].[ZCONSENSUSDEMAND]_x000D_
[LOCID].[].[7K10]_x000D_
[PRDID].[].[10001680]_x000D_
[KEY_FIGURES].[].[INDEPENDENTDEMAND]_x000D_
[LOCID].[].[7K10]_x000D_
[PRDID].[].[10001681]_x000D_
[KEY_FIGURES].[].[ZCONSENSUSDEMANDQTY]_x000D_
[LOCID].[].[7K10]_x000D_
[PRDID].[].[10001681]_x000D_
[KEY_FIGURES].[].[ZINPUTSOFC]_x000D_
[LOCID].[].[7K10]_x000D_
[PRDID].[].[10001681]_x000D_
[KEY_FIGURES].[].[ZFORECASTOPENOUTPUT]_x000D_
[LOCID].[].[7K10]_x000D_
[PRDID].[].[10001681]_x000D_
[KEY_FIGURES].[].[ZACTUALSALES]_x000D_
[LOCID].[].[7K10]_x000D_
[PRDID].[].[10001681]_x000D_
[KEY_FIGURES].[].[ZCONSENSUSDEMAND]_x000D_
[LOCID].[].[7K10]_x000D_
[PRDID].[].[10001681]_x000D_
[KEY_FIGURES].[].[INDEPENDENTDEMAND]_x000D_
[LOCID].[].[7K10]_x000D_
[PRDID].[].[10001683]_x000D_
[KEY_FIGURES].[].[ZCONSENSUSDEMANDQTY]_x000D_
[LOCID].[].[7K10]_x000D_
[PRDID].[].[10001683]_x000D_
[KEY_FIGURES].[].[ZINPUTSOFC]_x000D_
[LOCID].[].[7K10]_x000D_
[PRDID].[].[10001683]_x000D_
[KEY_FIGURES].[].[ZFORECASTOPENOUTPUT]_x000D_
[LOCID].[].[7K10]_x000D_
[PRDID].[].[10001683]_x000D_
[KEY_FIGURES].[].[ZACTUALSALES]_x000D_
[LOCID].[].[7K10]_x000D_
[PRDID].[].[10001683]_x000D_
[KEY_FIGURES].[].[ZCONSENSUSDEMAND]_x000D_
[LOCID].[].[7K10]_x000D_
[PRDID].[].[10001683]_x000D_
[KEY_FIGURES].[].[INDEPENDENTDEMAND]_x000D_
[LOCID].[].[7K10]_x000D_
[PRDID].[].[10001684]_x000D_
[KEY_FIGURES].[].[ZCONSENSUSDEMANDQTY]_x000D_
[LOCID].[].[7K10]_x000D_
[PRDID].[].[10001684]_x000D_
[KEY_FIGURES].[].[ZINPUTSOFC]_x000D_
[LOCID].[].[7K10]_x000D_
[PRDID].[].[10001684]_x000D_
[KEY_FIGURES].[].[ZFORECASTOPENOUTPUT]_x000D_
[LOCID].[].[7K10]_x000D_
[PRDID].[].[10001684]_x000D_
[KEY_FIGURES].[].[ZACTUALSALES]_x000D_
[LOCID].[].[7K10]_x000D_
[PRDID].[].[10001684]_x000D_
[KEY_FIGURES].[].[ZCONSENSUSDEMAND]_x000D_
[LOCID].[].[7K10]_x000D_
[PRDID].[].[10001684]_x000D_
[KEY_FIGURES].[].[INDEPENDENTDEMAND]_x000D_
[LOCID].[].[7K10]_x000D_
[PRDID].[].[10001685]_x000D_
[KEY_FIGURES].[].[ZCONSENSUSDEMANDQTY]_x000D_
[LOCID].[].[7K10]_x000D_
[PRDID].[].[10001685]_x000D_
[KEY_FIGURES].[].[ZINPUTSOFC]_x000D_
[LOCID].[].[7K10]_x000D_
[PRDID].[].[10001685]_x000D_
[KEY_FIGURES].[].[ZFORECASTOPENOUTPUT]_x000D_
[LOCID].[].[7K10]_x000D_
[PRDID].[].[10001685]_x000D_
[KEY_FIGURES].[].[ZACTUALSALES]_x000D_
[LOCID].[].[7K10]_x000D_
[PRDID].[].[10001685]_x000D_
[KEY_FIGURES].[].[ZCONSENSUSDEMAND]_x000D_
[LOCID].[].[7K10]_x000D_
[PRDID].[].[10001685]_x000D_
[KEY_FIGURES].[].[INDEPENDENTDEMAND]_x000D_
[LOCID].[].[7K10]_x000D_
[PRDID].[].[10001686]_x000D_
[KEY_FIGURES].[].[ZCONSENSUSDEMANDQTY]_x000D_
[LOCID].[].[7K10]_x000D_
[PRDID].[].[10001686]_x000D_
[KEY_FIGURES].[].[ZINPUTSOFC]_x000D_
[LOCID].[].[7K10]_x000D_
[PRDID].[].[10001686]_x000D_
[KEY_FIGURES].[].[ZFORECASTOPENOUTPUT]_x000D_
[LOCID].[].[7K10]_x000D_
[PRDID].[].[10001686]_x000D_
[KEY_FIGURES].[].[ZACTUALSALES]_x000D_
[LOCID].[].[7K10]_x000D_
[PRDID].[].[10001686]_x000D_
[KEY_FIGURES].[].[ZCONSENSUSDEMAND]_x000D_
[LOCID].[].[7K10]_x000D_
[PRDID].[].[10001686]_x000D_
[KEY_FIGURES].[].[INDEPENDENTDEMAND]_x000D_
[LOCID].[].[7K10]_x000D_
[PRDID].[].[10001687]</t>
  </si>
  <si>
    <t>[KEY_FIGURES].[].[ZCONSENSUSDEMANDQTY]_x000D_
[LOCID].[].[7K10]_x000D_
[PRDID].[].[10001687]_x000D_
[KEY_FIGURES].[].[ZINPUTSOFC]_x000D_
[LOCID].[].[7K10]_x000D_
[PRDID].[].[10001687]_x000D_
[KEY_FIGURES].[].[ZFORECASTOPENOUTPUT]_x000D_
[LOCID].[].[7K10]_x000D_
[PRDID].[].[10001687]_x000D_
[KEY_FIGURES].[].[ZACTUALSALES]_x000D_
[LOCID].[].[7K10]_x000D_
[PRDID].[].[10001687]_x000D_
[KEY_FIGURES].[].[ZCONSENSUSDEMAND]_x000D_
[LOCID].[].[7K10]_x000D_
[PRDID].[].[10001687]_x000D_
[KEY_FIGURES].[].[INDEPENDENTDEMAND]_x000D_
[LOCID].[].[7K10]_x000D_
[PRDID].[].[10001688]_x000D_
[KEY_FIGURES].[].[ZCONSENSUSDEMANDQTY]_x000D_
[LOCID].[].[7K10]_x000D_
[PRDID].[].[10001688]_x000D_
[KEY_FIGURES].[].[ZINPUTSOFC]_x000D_
[LOCID].[].[7K10]_x000D_
[PRDID].[].[10001688]_x000D_
[KEY_FIGURES].[].[ZFORECASTOPENOUTPUT]_x000D_
[LOCID].[].[7K10]_x000D_
[PRDID].[].[10001688]_x000D_
[KEY_FIGURES].[].[ZACTUALSALES]_x000D_
[LOCID].[].[7K10]_x000D_
[PRDID].[].[10001688]_x000D_
[KEY_FIGURES].[].[ZCONSENSUSDEMAND]_x000D_
[LOCID].[].[7K10]_x000D_
[PRDID].[].[10001688]_x000D_
[KEY_FIGURES].[].[INDEPENDENTDEMAND]_x000D_
[LOCID].[].[7K10]_x000D_
[PRDID].[].[10001689]_x000D_
[KEY_FIGURES].[].[ZCONSENSUSDEMANDQTY]_x000D_
[LOCID].[].[7K10]_x000D_
[PRDID].[].[10001689]_x000D_
[KEY_FIGURES].[].[ZINPUTSOFC]_x000D_
[LOCID].[].[7K10]_x000D_
[PRDID].[].[10001689]_x000D_
[KEY_FIGURES].[].[ZFORECASTOPENOUTPUT]_x000D_
[LOCID].[].[7K10]_x000D_
[PRDID].[].[10001689]_x000D_
[KEY_FIGURES].[].[ZACTUALSALES]_x000D_
[LOCID].[].[7K10]_x000D_
[PRDID].[].[10001689]_x000D_
[KEY_FIGURES].[].[ZCONSENSUSDEMAND]_x000D_
[LOCID].[].[7K10]_x000D_
[PRDID].[].[10001689]_x000D_
[KEY_FIGURES].[].[INDEPENDENTDEMAND]_x000D_
[LOCID].[].[7K10]_x000D_
[PRDID].[].[10001690]_x000D_
[KEY_FIGURES].[].[ZCONSENSUSDEMANDQTY]_x000D_
[LOCID].[].[7K10]_x000D_
[PRDID].[].[10001690]_x000D_
[KEY_FIGURES].[].[ZINPUTSOFC]_x000D_
[LOCID].[].[7K10]_x000D_
[PRDID].[].[10001690]_x000D_
[KEY_FIGURES].[].[ZFORECASTOPENOUTPUT]_x000D_
[LOCID].[].[7K10]_x000D_
[PRDID].[].[10001690]_x000D_
[KEY_FIGURES].[].[ZACTUALSALES]_x000D_
[LOCID].[].[7K10]_x000D_
[PRDID].[].[10001690]_x000D_
[KEY_FIGURES].[].[ZCONSENSUSDEMAND]_x000D_
[LOCID].[].[7K10]_x000D_
[PRDID].[].[10001690]_x000D_
[KEY_FIGURES].[].[INDEPENDENTDEMAND]_x000D_
[LOCID].[].[7K10]_x000D_
[PRDID].[].[10001691]_x000D_
[KEY_FIGURES].[].[ZCONSENSUSDEMANDQTY]_x000D_
[LOCID].[].[7K10]_x000D_
[PRDID].[].[10001691]_x000D_
[KEY_FIGURES].[].[ZINPUTSOFC]_x000D_
[LOCID].[].[7K10]_x000D_
[PRDID].[].[10001691]_x000D_
[KEY_FIGURES].[].[ZFORECASTOPENOUTPUT]_x000D_
[LOCID].[].[7K10]_x000D_
[PRDID].[].[10001691]_x000D_
[KEY_FIGURES].[].[ZACTUALSALES]_x000D_
[LOCID].[].[7K10]_x000D_
[PRDID].[].[10001691]_x000D_
[KEY_FIGURES].[].[ZCONSENSUSDEMAND]_x000D_
[LOCID].[].[7K10]_x000D_
[PRDID].[].[10001691]_x000D_
[KEY_FIGURES].[].[INDEPENDENTDEMAND]_x000D_
[LOCID].[].[7K10]_x000D_
[PRDID].[].[10001692]_x000D_
[KEY_FIGURES].[].[ZCONSENSUSDEMANDQTY]_x000D_
[LOCID].[].[7K10]_x000D_
[PRDID].[].[10001692]_x000D_
[KEY_FIGURES].[].[ZINPUTSOFC]_x000D_
[LOCID].[].[7K10]_x000D_
[PRDID].[].[10001692]_x000D_
[KEY_FIGURES].[].[ZFORECASTOPENOUTPUT]_x000D_
[LOCID].[].[7K10]_x000D_
[PRDID].[].[10001692]_x000D_
[KEY_FIGURES].[].[ZACTUALSALES]_x000D_
[LOCID].[].[7K10]_x000D_
[PRDID].[].[10001692]_x000D_
[KEY_FIGURES].[].[ZCONSENSUSDEMAND]_x000D_
[LOCID].[].[7K10]_x000D_
[PRDID].[].[10001692]_x000D_
[KEY_FIGURES].[].[INDEPENDENTDEMAND]_x000D_
[LOCID].[].[7K10]_x000D_
[PRDID].[].[10001693]_x000D_
[KEY_FIGURES].[].[ZCONSENSUSDEMANDQTY]_x000D_
[LOCID].[].[7K10]_x000D_
[PRDID].[].[10001693]_x000D_
[KEY_FIGURES].[].[ZINPUTSOFC]_x000D_
[LOCID].[].[7K10]_x000D_
[PRDID].[].[10001693]_x000D_
[KEY_FIGURES].[].[ZFORECASTOPENOUTPUT]_x000D_
[LOCID].[].[7K10]_x000D_
[PRDID].[].[10001693]_x000D_
[KEY_FIGURES].[].[ZACTUALSALES]_x000D_
[LOCID].[].[7K10]_x000D_
[PRDID].[].[10001693]_x000D_
[KEY_FIGURES].[].[ZCONSENSUSDEMAND]_x000D_
[LOCID].[].[7K10]_x000D_
[PRDID].[].[10001693]_x000D_
[KEY_FIGURES].[].[INDEPENDENTDEMAND]_x000D_
[LOCID].[].[7K10]_x000D_
[PRDID].[].[10001694]_x000D_
[KEY_FIGURES].[].[ZCONSENSUSDEMANDQTY]_x000D_
[LOCID].[].[7K10]_x000D_
[PRDID].[].[10001694]_x000D_
[KEY_FIGURES].[].[ZINPUTSOFC]_x000D_
[LOCID].[].[7K10]_x000D_
[PRDID].[].[10001694]_x000D_
[KEY_FIGURES].[].[ZFORECASTOPENOUTPUT]_x000D_
[LOCID].[].[7K10]_x000D_
[PRDID].[].[10001694]_x000D_
[KEY_FIGURES].[].[ZACTUALSALES]_x000D_
[LOCID].[].[7K10]_x000D_
[PRDID].[].[10001694]_x000D_
[KEY_FIGURES].[].[ZCONSENSUSDEMAND]_x000D_
[LOCID].[].[7K10]_x000D_
[PRDID].[].[10001694]_x000D_
[KEY_FIGURES].[].[INDEPENDENTDEMAND]_x000D_
[LOCID].[].[7K10]_x000D_
[PRDID].[].[10001695]_x000D_
[KEY_FIGURES].[].[ZCONSENSUSDEMANDQTY]_x000D_
[LOCID].[].[7K10]_x000D_
[PRDID].[].[10001695]_x000D_
[KEY_FIGURES].[].[ZINPUTSOFC]_x000D_
[LOCID].[].[7K10]_x000D_
[PRDID].[].[10001695]_x000D_
[KEY_FIGURES].[].[ZFORECASTOPENOUTPUT]_x000D_
[LOCID].[].[7K10]_x000D_
[PRDID].[].[10001695]_x000D_
[KEY_FIGURES].[].[ZACTUALSALES]_x000D_
[LOCID].[].[7K10]_x000D_
[PRDID].[].[10001695]_x000D_
[KEY_FIGURES].[].[ZCONSENSUSDEMAND]_x000D_
[LOCID].[].[7K10]_x000D_
[PRDID].[].[10001695]_x000D_
[KEY_FIGURES].[].[INDEPENDENTDEMAND]_x000D_
[LOCID].[].[7K10]_x000D_
[PRDID].[].[10001698]_x000D_
[KEY_FIGURES].[].[ZCONSENSUSDEMANDQTY]_x000D_
[LOCID].[].[7K10]_x000D_
[PRDID].[].[10001698]_x000D_
[KEY_FIGURES].[].[ZINPUTSOFC]_x000D_
[LOCID].[].[7K10]_x000D_
[PRDID].[].[10001698]_x000D_
[KEY_FIGURES].[].[ZFORECASTOPENOUTPUT]_x000D_
[LOCID].[].[7K10]_x000D_
[PRDID].[].[10001698]_x000D_
[KEY_FIGURES].[].[ZACTUALSALES]_x000D_
[LOCID].[].[7K10]_x000D_
[PRDID].[].[10001698]_x000D_
[KEY_FIGURES].[].[ZCONSENSUSDEMAND]_x000D_
[LOCID].[].[7K10]_x000D_
[PRDID].[].[10001698]_x000D_
[KEY_FIGURES].[].[INDEPENDENTDEMAND]_x000D_
[LOCID].[].[7K10]_x000D_
[PRDID].[].[10001699]_x000D_
[KEY_FIGURES].[].[ZCONSENSUSDEMANDQTY]_x000D_
[LOCID].[].[7K10]_x000D_
[PRDID].[].[10001699]_x000D_
[KEY_FIGURES].[].[ZINPUTSOFC]_x000D_
[LOCID].[].[7K10]_x000D_
[PRDID].[].[10001699]_x000D_
[KEY_FIGURES].[].[ZFORECASTOPENOUTPUT]_x000D_
[LOCID].[].[7K10]_x000D_
[PRDID].[].[10001699]_x000D_
[KEY_FIGURES].[].[ZACTUALSALES]_x000D_
[LOCID].[].[7K10]_x000D_
[PRDID].[].[10001699]_x000D_
[KEY_FIGURES].[].[ZCONSENSUSDEMAND]_x000D_
[LOCID].[].[7K10]_x000D_
[PRDID].[].[10001699]_x000D_
[KEY_FIGURES].[].[INDEPENDENTDEMAND]_x000D_
[LOCID].[].[7K10]_x000D_
[PRDID].[].[10001700]_x000D_
[KEY_FIGURES].[].[ZCONSENSUSDEMANDQTY]_x000D_
[LOCID].[].[7K10]</t>
  </si>
  <si>
    <t>[PRDID].[].[10001700]_x000D_
[KEY_FIGURES].[].[ZINPUTSOFC]_x000D_
[LOCID].[].[7K10]_x000D_
[PRDID].[].[10001700]_x000D_
[KEY_FIGURES].[].[ZFORECASTOPENOUTPUT]_x000D_
[LOCID].[].[7K10]_x000D_
[PRDID].[].[10001700]_x000D_
[KEY_FIGURES].[].[ZACTUALSALES]_x000D_
[LOCID].[].[7K10]_x000D_
[PRDID].[].[10001700]_x000D_
[KEY_FIGURES].[].[ZCONSENSUSDEMAND]_x000D_
[LOCID].[].[7K10]_x000D_
[PRDID].[].[10001700]_x000D_
[KEY_FIGURES].[].[INDEPENDENTDEMAND]_x000D_
[LOCID].[].[7K10]_x000D_
[PRDID].[].[10001701]_x000D_
[KEY_FIGURES].[].[ZCONSENSUSDEMANDQTY]_x000D_
[LOCID].[].[7K10]_x000D_
[PRDID].[].[10001701]_x000D_
[KEY_FIGURES].[].[ZINPUTSOFC]_x000D_
[LOCID].[].[7K10]_x000D_
[PRDID].[].[10001701]_x000D_
[KEY_FIGURES].[].[ZFORECASTOPENOUTPUT]_x000D_
[LOCID].[].[7K10]_x000D_
[PRDID].[].[10001701]_x000D_
[KEY_FIGURES].[].[ZACTUALSALES]_x000D_
[LOCID].[].[7K10]_x000D_
[PRDID].[].[10001701]_x000D_
[KEY_FIGURES].[].[ZCONSENSUSDEMAND]_x000D_
[LOCID].[].[7K10]_x000D_
[PRDID].[].[10001701]_x000D_
[KEY_FIGURES].[].[INDEPENDENTDEMAND]_x000D_
[LOCID].[].[7K10]_x000D_
[PRDID].[].[10001702]_x000D_
[KEY_FIGURES].[].[ZCONSENSUSDEMANDQTY]_x000D_
[LOCID].[].[7K10]_x000D_
[PRDID].[].[10001702]_x000D_
[KEY_FIGURES].[].[ZINPUTSOFC]_x000D_
[LOCID].[].[7K10]_x000D_
[PRDID].[].[10001702]_x000D_
[KEY_FIGURES].[].[ZFORECASTOPENOUTPUT]_x000D_
[LOCID].[].[7K10]_x000D_
[PRDID].[].[10001702]_x000D_
[KEY_FIGURES].[].[ZACTUALSALES]_x000D_
[LOCID].[].[7K10]_x000D_
[PRDID].[].[10001702]_x000D_
[KEY_FIGURES].[].[ZCONSENSUSDEMAND]_x000D_
[LOCID].[].[7K10]_x000D_
[PRDID].[].[10001702]_x000D_
[KEY_FIGURES].[].[INDEPENDENTDEMAND]_x000D_
[LOCID].[].[7K10]_x000D_
[PRDID].[].[10001703]_x000D_
[KEY_FIGURES].[].[ZCONSENSUSDEMANDQTY]_x000D_
[LOCID].[].[7K10]_x000D_
[PRDID].[].[10001703]_x000D_
[KEY_FIGURES].[].[ZINPUTSOFC]_x000D_
[LOCID].[].[7K10]_x000D_
[PRDID].[].[10001703]_x000D_
[KEY_FIGURES].[].[ZFORECASTOPENOUTPUT]_x000D_
[LOCID].[].[7K10]_x000D_
[PRDID].[].[10001703]_x000D_
[KEY_FIGURES].[].[ZACTUALSALES]_x000D_
[LOCID].[].[7K10]_x000D_
[PRDID].[].[10001703]_x000D_
[KEY_FIGURES].[].[ZCONSENSUSDEMAND]_x000D_
[LOCID].[].[7K10]_x000D_
[PRDID].[].[10001703]_x000D_
[KEY_FIGURES].[].[INDEPENDENTDEMAND]_x000D_
[LOCID].[].[7K10]_x000D_
[PRDID].[].[10001704]_x000D_
[KEY_FIGURES].[].[ZCONSENSUSDEMANDQTY]_x000D_
[LOCID].[].[7K10]_x000D_
[PRDID].[].[10001704]_x000D_
[KEY_FIGURES].[].[ZINPUTSOFC]_x000D_
[LOCID].[].[7K10]_x000D_
[PRDID].[].[10001704]_x000D_
[KEY_FIGURES].[].[ZFORECASTOPENOUTPUT]_x000D_
[LOCID].[].[7K10]_x000D_
[PRDID].[].[10001704]_x000D_
[KEY_FIGURES].[].[ZACTUALSALES]_x000D_
[LOCID].[].[7K10]_x000D_
[PRDID].[].[10001704]_x000D_
[KEY_FIGURES].[].[ZCONSENSUSDEMAND]_x000D_
[LOCID].[].[7K10]_x000D_
[PRDID].[].[10001704]_x000D_
[KEY_FIGURES].[].[INDEPENDENTDEMAND]_x000D_
[LOCID].[].[7K10]_x000D_
[PRDID].[].[10001705]_x000D_
[KEY_FIGURES].[].[ZCONSENSUSDEMANDQTY]_x000D_
[LOCID].[].[7K10]_x000D_
[PRDID].[].[10001705]_x000D_
[KEY_FIGURES].[].[ZINPUTSOFC]_x000D_
[LOCID].[].[7K10]_x000D_
[PRDID].[].[10001705]_x000D_
[KEY_FIGURES].[].[ZFORECASTOPENOUTPUT]_x000D_
[LOCID].[].[7K10]_x000D_
[PRDID].[].[10001705]_x000D_
[KEY_FIGURES].[].[ZACTUALSALES]_x000D_
[LOCID].[].[7K10]_x000D_
[PRDID].[].[10001705]_x000D_
[KEY_FIGURES].[].[ZCONSENSUSDEMAND]_x000D_
[LOCID].[].[7K10]_x000D_
[PRDID].[].[10001705]_x000D_
[KEY_FIGURES].[].[INDEPENDENTDEMAND]_x000D_
[LOCID].[].[7K10]_x000D_
[PRDID].[].[10001706]_x000D_
[KEY_FIGURES].[].[ZCONSENSUSDEMANDQTY]_x000D_
[LOCID].[].[7K10]_x000D_
[PRDID].[].[10001706]_x000D_
[KEY_FIGURES].[].[ZINPUTSOFC]_x000D_
[LOCID].[].[7K10]_x000D_
[PRDID].[].[10001706]_x000D_
[KEY_FIGURES].[].[ZFORECASTOPENOUTPUT]_x000D_
[LOCID].[].[7K10]_x000D_
[PRDID].[].[10001706]_x000D_
[KEY_FIGURES].[].[ZACTUALSALES]_x000D_
[LOCID].[].[7K10]_x000D_
[PRDID].[].[10001706]_x000D_
[KEY_FIGURES].[].[ZCONSENSUSDEMAND]_x000D_
[LOCID].[].[7K10]_x000D_
[PRDID].[].[10001706]_x000D_
[KEY_FIGURES].[].[INDEPENDENTDEMAND]_x000D_
[LOCID].[].[7K10]_x000D_
[PRDID].[].[10001707]_x000D_
[KEY_FIGURES].[].[ZCONSENSUSDEMANDQTY]_x000D_
[LOCID].[].[7K10]_x000D_
[PRDID].[].[10001707]_x000D_
[KEY_FIGURES].[].[ZINPUTSOFC]_x000D_
[LOCID].[].[7K10]_x000D_
[PRDID].[].[10001707]_x000D_
[KEY_FIGURES].[].[ZFORECASTOPENOUTPUT]_x000D_
[LOCID].[].[7K10]_x000D_
[PRDID].[].[10001707]_x000D_
[KEY_FIGURES].[].[ZACTUALSALES]_x000D_
[LOCID].[].[7K10]_x000D_
[PRDID].[].[10001707]_x000D_
[KEY_FIGURES].[].[ZCONSENSUSDEMAND]_x000D_
[LOCID].[].[7K10]_x000D_
[PRDID].[].[10001707]_x000D_
[KEY_FIGURES].[].[INDEPENDENTDEMAND]_x000D_
[LOCID].[].[7K10]_x000D_
[PRDID].[].[10001708]_x000D_
[KEY_FIGURES].[].[ZCONSENSUSDEMANDQTY]_x000D_
[LOCID].[].[7K10]_x000D_
[PRDID].[].[10001708]_x000D_
[KEY_FIGURES].[].[ZINPUTSOFC]_x000D_
[LOCID].[].[7K10]_x000D_
[PRDID].[].[10001708]_x000D_
[KEY_FIGURES].[].[ZFORECASTOPENOUTPUT]_x000D_
[LOCID].[].[7K10]_x000D_
[PRDID].[].[10001708]_x000D_
[KEY_FIGURES].[].[ZACTUALSALES]_x000D_
[LOCID].[].[7K10]_x000D_
[PRDID].[].[10001708]_x000D_
[KEY_FIGURES].[].[ZCONSENSUSDEMAND]_x000D_
[LOCID].[].[7K10]_x000D_
[PRDID].[].[10001708]_x000D_
[KEY_FIGURES].[].[INDEPENDENTDEMAND]_x000D_
[LOCID].[].[7K10]_x000D_
[PRDID].[].[10001709]_x000D_
[KEY_FIGURES].[].[ZCONSENSUSDEMANDQTY]_x000D_
[LOCID].[].[7K10]_x000D_
[PRDID].[].[10001709]_x000D_
[KEY_FIGURES].[].[ZINPUTSOFC]_x000D_
[LOCID].[].[7K10]_x000D_
[PRDID].[].[10001709]_x000D_
[KEY_FIGURES].[].[ZFORECASTOPENOUTPUT]_x000D_
[LOCID].[].[7K10]_x000D_
[PRDID].[].[10001709]_x000D_
[KEY_FIGURES].[].[ZACTUALSALES]_x000D_
[LOCID].[].[7K10]_x000D_
[PRDID].[].[10001709]_x000D_
[KEY_FIGURES].[].[ZCONSENSUSDEMAND]_x000D_
[LOCID].[].[7K10]_x000D_
[PRDID].[].[10001709]_x000D_
[KEY_FIGURES].[].[INDEPENDENTDEMAND]_x000D_
[LOCID].[].[7K10]_x000D_
[PRDID].[].[10001710]_x000D_
[KEY_FIGURES].[].[ZCONSENSUSDEMANDQTY]_x000D_
[LOCID].[].[7K10]_x000D_
[PRDID].[].[10001710]_x000D_
[KEY_FIGURES].[].[ZINPUTSOFC]_x000D_
[LOCID].[].[7K10]_x000D_
[PRDID].[].[10001710]_x000D_
[KEY_FIGURES].[].[ZFORECASTOPENOUTPUT]_x000D_
[LOCID].[].[7K10]_x000D_
[PRDID].[].[10001710]_x000D_
[KEY_FIGURES].[].[ZACTUALSALES]_x000D_
[LOCID].[].[7K10]_x000D_
[PRDID].[].[10001710]_x000D_
[KEY_FIGURES].[].[ZCONSENSUSDEMAND]_x000D_
[LOCID].[].[7K10]_x000D_
[PRDID].[].[10001710]_x000D_
[KEY_FIGURES].[].[INDEPENDENTDEMAND]_x000D_
[LOCID].[].[7K10]_x000D_
[PRDID].[].[10001711]_x000D_
[KEY_FIGURES].[].[ZCONSENSUSDEMANDQTY]_x000D_
[LOCID].[].[7K10]_x000D_
[PRDID].[].[10001711]_x000D_
[KEY_FIGURES].[].[ZINPUTSOFC]</t>
  </si>
  <si>
    <t>[LOCID].[].[7K10]_x000D_
[PRDID].[].[10001711]_x000D_
[KEY_FIGURES].[].[ZFORECASTOPENOUTPUT]_x000D_
[LOCID].[].[7K10]_x000D_
[PRDID].[].[10001711]_x000D_
[KEY_FIGURES].[].[ZACTUALSALES]_x000D_
[LOCID].[].[7K10]_x000D_
[PRDID].[].[10001711]_x000D_
[KEY_FIGURES].[].[ZCONSENSUSDEMAND]_x000D_
[LOCID].[].[7K10]_x000D_
[PRDID].[].[10001711]_x000D_
[KEY_FIGURES].[].[INDEPENDENTDEMAND]_x000D_
[LOCID].[].[7K10]_x000D_
[PRDID].[].[10001712]_x000D_
[KEY_FIGURES].[].[ZCONSENSUSDEMANDQTY]_x000D_
[LOCID].[].[7K10]_x000D_
[PRDID].[].[10001712]_x000D_
[KEY_FIGURES].[].[ZINPUTSOFC]_x000D_
[LOCID].[].[7K10]_x000D_
[PRDID].[].[10001712]_x000D_
[KEY_FIGURES].[].[ZFORECASTOPENOUTPUT]_x000D_
[LOCID].[].[7K10]_x000D_
[PRDID].[].[10001712]_x000D_
[KEY_FIGURES].[].[ZACTUALSALES]_x000D_
[LOCID].[].[7K10]_x000D_
[PRDID].[].[10001712]_x000D_
[KEY_FIGURES].[].[ZCONSENSUSDEMAND]_x000D_
[LOCID].[].[7K10]_x000D_
[PRDID].[].[10001712]_x000D_
[KEY_FIGURES].[].[INDEPENDENTDEMAND]_x000D_
[LOCID].[].[7K10]_x000D_
[PRDID].[].[10001713]_x000D_
[KEY_FIGURES].[].[ZCONSENSUSDEMANDQTY]_x000D_
[LOCID].[].[7K10]_x000D_
[PRDID].[].[10001713]_x000D_
[KEY_FIGURES].[].[ZINPUTSOFC]_x000D_
[LOCID].[].[7K10]_x000D_
[PRDID].[].[10001713]_x000D_
[KEY_FIGURES].[].[ZFORECASTOPENOUTPUT]_x000D_
[LOCID].[].[7K10]_x000D_
[PRDID].[].[10001713]_x000D_
[KEY_FIGURES].[].[ZACTUALSALES]_x000D_
[LOCID].[].[7K10]_x000D_
[PRDID].[].[10001713]_x000D_
[KEY_FIGURES].[].[ZCONSENSUSDEMAND]_x000D_
[LOCID].[].[7K10]_x000D_
[PRDID].[].[10001713]_x000D_
[KEY_FIGURES].[].[INDEPENDENTDEMAND]_x000D_
[LOCID].[].[7K10]_x000D_
[PRDID].[].[10001714]_x000D_
[KEY_FIGURES].[].[ZCONSENSUSDEMANDQTY]_x000D_
[LOCID].[].[7K10]_x000D_
[PRDID].[].[10001714]_x000D_
[KEY_FIGURES].[].[ZINPUTSOFC]_x000D_
[LOCID].[].[7K10]_x000D_
[PRDID].[].[10001714]_x000D_
[KEY_FIGURES].[].[ZFORECASTOPENOUTPUT]_x000D_
[LOCID].[].[7K10]_x000D_
[PRDID].[].[10001714]_x000D_
[KEY_FIGURES].[].[ZACTUALSALES]_x000D_
[LOCID].[].[7K10]_x000D_
[PRDID].[].[10001714]_x000D_
[KEY_FIGURES].[].[ZCONSENSUSDEMAND]_x000D_
[LOCID].[].[7K10]_x000D_
[PRDID].[].[10001714]_x000D_
[KEY_FIGURES].[].[INDEPENDENTDEMAND]_x000D_
[LOCID].[].[7K10]_x000D_
[PRDID].[].[10001715]_x000D_
[KEY_FIGURES].[].[ZCONSENSUSDEMANDQTY]_x000D_
[LOCID].[].[7K10]_x000D_
[PRDID].[].[10001715]_x000D_
[KEY_FIGURES].[].[ZINPUTSOFC]_x000D_
[LOCID].[].[7K10]_x000D_
[PRDID].[].[10001715]_x000D_
[KEY_FIGURES].[].[ZFORECASTOPENOUTPUT]_x000D_
[LOCID].[].[7K10]_x000D_
[PRDID].[].[10001715]_x000D_
[KEY_FIGURES].[].[ZACTUALSALES]_x000D_
[LOCID].[].[7K10]_x000D_
[PRDID].[].[10001715]_x000D_
[KEY_FIGURES].[].[ZCONSENSUSDEMAND]_x000D_
[LOCID].[].[7K10]_x000D_
[PRDID].[].[10001715]_x000D_
[KEY_FIGURES].[].[INDEPENDENTDEMAND]_x000D_
[LOCID].[].[7K10]_x000D_
[PRDID].[].[10001716]_x000D_
[KEY_FIGURES].[].[ZCONSENSUSDEMANDQTY]_x000D_
[LOCID].[].[7K10]_x000D_
[PRDID].[].[10001716]_x000D_
[KEY_FIGURES].[].[ZINPUTSOFC]_x000D_
[LOCID].[].[7K10]_x000D_
[PRDID].[].[10001716]_x000D_
[KEY_FIGURES].[].[ZFORECASTOPENOUTPUT]_x000D_
[LOCID].[].[7K10]_x000D_
[PRDID].[].[10001716]_x000D_
[KEY_FIGURES].[].[ZACTUALSALES]_x000D_
[LOCID].[].[7K10]_x000D_
[PRDID].[].[10001716]_x000D_
[KEY_FIGURES].[].[ZCONSENSUSDEMAND]_x000D_
[LOCID].[].[7K10]_x000D_
[PRDID].[].[10001716]_x000D_
[KEY_FIGURES].[].[INDEPENDENTDEMAND]_x000D_
[LOCID].[].[7K10]_x000D_
[PRDID].[].[10001717]_x000D_
[KEY_FIGURES].[].[ZCONSENSUSDEMANDQTY]_x000D_
[LOCID].[].[7K10]_x000D_
[PRDID].[].[10001717]_x000D_
[KEY_FIGURES].[].[ZINPUTSOFC]_x000D_
[LOCID].[].[7K10]_x000D_
[PRDID].[].[10001717]_x000D_
[KEY_FIGURES].[].[ZFORECASTOPENOUTPUT]_x000D_
[LOCID].[].[7K10]_x000D_
[PRDID].[].[10001717]_x000D_
[KEY_FIGURES].[].[ZACTUALSALES]_x000D_
[LOCID].[].[7K10]_x000D_
[PRDID].[].[10001717]_x000D_
[KEY_FIGURES].[].[ZCONSENSUSDEMAND]_x000D_
[LOCID].[].[7K10]_x000D_
[PRDID].[].[10001717]_x000D_
[KEY_FIGURES].[].[INDEPENDENTDEMAND]_x000D_
[LOCID].[].[7K10]_x000D_
[PRDID].[].[10001718]_x000D_
[KEY_FIGURES].[].[ZCONSENSUSDEMANDQTY]_x000D_
[LOCID].[].[7K10]_x000D_
[PRDID].[].[10001718]_x000D_
[KEY_FIGURES].[].[ZINPUTSOFC]_x000D_
[LOCID].[].[7K10]_x000D_
[PRDID].[].[10001718]_x000D_
[KEY_FIGURES].[].[ZFORECASTOPENOUTPUT]_x000D_
[LOCID].[].[7K10]_x000D_
[PRDID].[].[10001718]_x000D_
[KEY_FIGURES].[].[ZACTUALSALES]_x000D_
[LOCID].[].[7K10]_x000D_
[PRDID].[].[10001718]_x000D_
[KEY_FIGURES].[].[ZCONSENSUSDEMAND]_x000D_
[LOCID].[].[7K10]_x000D_
[PRDID].[].[10001718]_x000D_
[KEY_FIGURES].[].[INDEPENDENTDEMAND]_x000D_
[LOCID].[].[7K10]_x000D_
[PRDID].[].[10001719]_x000D_
[KEY_FIGURES].[].[ZCONSENSUSDEMANDQTY]_x000D_
[LOCID].[].[7K10]_x000D_
[PRDID].[].[10001719]_x000D_
[KEY_FIGURES].[].[ZINPUTSOFC]_x000D_
[LOCID].[].[7K10]_x000D_
[PRDID].[].[10001719]_x000D_
[KEY_FIGURES].[].[ZFORECASTOPENOUTPUT]_x000D_
[LOCID].[].[7K10]_x000D_
[PRDID].[].[10001719]_x000D_
[KEY_FIGURES].[].[ZACTUALSALES]_x000D_
[LOCID].[].[7K10]_x000D_
[PRDID].[].[10001719]_x000D_
[KEY_FIGURES].[].[ZCONSENSUSDEMAND]_x000D_
[LOCID].[].[7K10]_x000D_
[PRDID].[].[10001719]_x000D_
[KEY_FIGURES].[].[INDEPENDENTDEMAND]_x000D_
[LOCID].[].[7K10]_x000D_
[PRDID].[].[10001720]_x000D_
[KEY_FIGURES].[].[ZCONSENSUSDEMANDQTY]_x000D_
[LOCID].[].[7K10]_x000D_
[PRDID].[].[10001720]_x000D_
[KEY_FIGURES].[].[ZINPUTSOFC]_x000D_
[LOCID].[].[7K10]_x000D_
[PRDID].[].[10001720]_x000D_
[KEY_FIGURES].[].[ZFORECASTOPENOUTPUT]_x000D_
[LOCID].[].[7K10]_x000D_
[PRDID].[].[10001720]_x000D_
[KEY_FIGURES].[].[ZACTUALSALES]_x000D_
[LOCID].[].[7K10]_x000D_
[PRDID].[].[10001720]_x000D_
[KEY_FIGURES].[].[ZCONSENSUSDEMAND]_x000D_
[LOCID].[].[7K10]_x000D_
[PRDID].[].[10001720]_x000D_
[KEY_FIGURES].[].[INDEPENDENTDEMAND]_x000D_
[LOCID].[].[7K10]_x000D_
[PRDID].[].[10001721]_x000D_
[KEY_FIGURES].[].[ZCONSENSUSDEMANDQTY]_x000D_
[LOCID].[].[7K10]_x000D_
[PRDID].[].[10001721]_x000D_
[KEY_FIGURES].[].[ZINPUTSOFC]_x000D_
[LOCID].[].[7K10]_x000D_
[PRDID].[].[10001721]_x000D_
[KEY_FIGURES].[].[ZFORECASTOPENOUTPUT]_x000D_
[LOCID].[].[7K10]_x000D_
[PRDID].[].[10001721]_x000D_
[KEY_FIGURES].[].[ZACTUALSALES]_x000D_
[LOCID].[].[7K10]_x000D_
[PRDID].[].[10001721]_x000D_
[KEY_FIGURES].[].[ZCONSENSUSDEMAND]_x000D_
[LOCID].[].[7K10]_x000D_
[PRDID].[].[10001721]_x000D_
[KEY_FIGURES].[].[INDEPENDENTDEMAND]_x000D_
[LOCID].[].[7K10]_x000D_
[PRDID].[].[10001722]_x000D_
[KEY_FIGURES].[].[ZCONSENSUSDEMANDQTY]_x000D_
[LOCID].[].[7K10]_x000D_
[PRDID].[].[10001722]_x000D_
[KEY_FIGURES].[].[ZINPUTSOFC]_x000D_
[LOCID].[].[7K10]_x000D_
[PRDID].[].[10001722]</t>
  </si>
  <si>
    <t>[KEY_FIGURES].[].[ZFORECASTOPENOUTPUT]_x000D_
[LOCID].[].[7K10]_x000D_
[PRDID].[].[10001722]_x000D_
[KEY_FIGURES].[].[ZACTUALSALES]_x000D_
[LOCID].[].[7K10]_x000D_
[PRDID].[].[10001722]_x000D_
[KEY_FIGURES].[].[ZCONSENSUSDEMAND]_x000D_
[LOCID].[].[7K10]_x000D_
[PRDID].[].[10001722]_x000D_
[KEY_FIGURES].[].[INDEPENDENTDEMAND]_x000D_
[LOCID].[].[7K10]_x000D_
[PRDID].[].[10001723]_x000D_
[KEY_FIGURES].[].[ZCONSENSUSDEMANDQTY]_x000D_
[LOCID].[].[7K10]_x000D_
[PRDID].[].[10001723]_x000D_
[KEY_FIGURES].[].[ZINPUTSOFC]_x000D_
[LOCID].[].[7K10]_x000D_
[PRDID].[].[10001723]_x000D_
[KEY_FIGURES].[].[ZFORECASTOPENOUTPUT]_x000D_
[LOCID].[].[7K10]_x000D_
[PRDID].[].[10001723]_x000D_
[KEY_FIGURES].[].[ZACTUALSALES]_x000D_
[LOCID].[].[7K10]_x000D_
[PRDID].[].[10001723]_x000D_
[KEY_FIGURES].[].[ZCONSENSUSDEMAND]_x000D_
[LOCID].[].[7K10]_x000D_
[PRDID].[].[10001723]_x000D_
[KEY_FIGURES].[].[INDEPENDENTDEMAND]_x000D_
[LOCID].[].[7K10]_x000D_
[PRDID].[].[10001725]_x000D_
[KEY_FIGURES].[].[ZCONSENSUSDEMANDQTY]_x000D_
[LOCID].[].[7K10]_x000D_
[PRDID].[].[10001725]_x000D_
[KEY_FIGURES].[].[ZINPUTSOFC]_x000D_
[LOCID].[].[7K10]_x000D_
[PRDID].[].[10001725]_x000D_
[KEY_FIGURES].[].[ZFORECASTOPENOUTPUT]_x000D_
[LOCID].[].[7K10]_x000D_
[PRDID].[].[10001725]_x000D_
[KEY_FIGURES].[].[ZACTUALSALES]_x000D_
[LOCID].[].[7K10]_x000D_
[PRDID].[].[10001725]_x000D_
[KEY_FIGURES].[].[ZCONSENSUSDEMAND]_x000D_
[LOCID].[].[7K10]_x000D_
[PRDID].[].[10001725]_x000D_
[KEY_FIGURES].[].[INDEPENDENTDEMAND]_x000D_
[LOCID].[].[7K10]_x000D_
[PRDID].[].[10001726]_x000D_
[KEY_FIGURES].[].[ZCONSENSUSDEMANDQTY]_x000D_
[LOCID].[].[7K10]_x000D_
[PRDID].[].[10001726]_x000D_
[KEY_FIGURES].[].[ZINPUTSOFC]_x000D_
[LOCID].[].[7K10]_x000D_
[PRDID].[].[10001726]_x000D_
[KEY_FIGURES].[].[ZFORECASTOPENOUTPUT]_x000D_
[LOCID].[].[7K10]_x000D_
[PRDID].[].[10001726]_x000D_
[KEY_FIGURES].[].[ZACTUALSALES]_x000D_
[LOCID].[].[7K10]_x000D_
[PRDID].[].[10001726]_x000D_
[KEY_FIGURES].[].[ZCONSENSUSDEMAND]_x000D_
[LOCID].[].[7K10]_x000D_
[PRDID].[].[10001726]_x000D_
[KEY_FIGURES].[].[INDEPENDENTDEMAND]_x000D_
[LOCID].[].[7K10]_x000D_
[PRDID].[].[10001727]_x000D_
[KEY_FIGURES].[].[ZCONSENSUSDEMANDQTY]_x000D_
[LOCID].[].[7K10]_x000D_
[PRDID].[].[10001727]_x000D_
[KEY_FIGURES].[].[ZINPUTSOFC]_x000D_
[LOCID].[].[7K10]_x000D_
[PRDID].[].[10001727]_x000D_
[KEY_FIGURES].[].[ZFORECASTOPENOUTPUT]_x000D_
[LOCID].[].[7K10]_x000D_
[PRDID].[].[10001727]_x000D_
[KEY_FIGURES].[].[ZACTUALSALES]_x000D_
[LOCID].[].[7K10]_x000D_
[PRDID].[].[10001727]_x000D_
[KEY_FIGURES].[].[ZCONSENSUSDEMAND]_x000D_
[LOCID].[].[7K10]_x000D_
[PRDID].[].[10001727]_x000D_
[KEY_FIGURES].[].[INDEPENDENTDEMAND]_x000D_
[LOCID].[].[7K10]_x000D_
[PRDID].[].[10001728]_x000D_
[KEY_FIGURES].[].[ZCONSENSUSDEMANDQTY]_x000D_
[LOCID].[].[7K10]_x000D_
[PRDID].[].[10001728]_x000D_
[KEY_FIGURES].[].[ZINPUTSOFC]_x000D_
[LOCID].[].[7K10]_x000D_
[PRDID].[].[10001728]_x000D_
[KEY_FIGURES].[].[ZFORECASTOPENOUTPUT]_x000D_
[LOCID].[].[7K10]_x000D_
[PRDID].[].[10001728]_x000D_
[KEY_FIGURES].[].[ZACTUALSALES]_x000D_
[LOCID].[].[7K10]_x000D_
[PRDID].[].[10001728]_x000D_
[KEY_FIGURES].[].[ZCONSENSUSDEMAND]_x000D_
[LOCID].[].[7K10]_x000D_
[PRDID].[].[10001728]_x000D_
[KEY_FIGURES].[].[INDEPENDENTDEMAND]_x000D_
[LOCID].[].[7K10]_x000D_
[PRDID].[].[10001729]_x000D_
[KEY_FIGURES].[].[ZCONSENSUSDEMANDQTY]_x000D_
[LOCID].[].[7K10]_x000D_
[PRDID].[].[10001729]_x000D_
[KEY_FIGURES].[].[ZINPUTSOFC]_x000D_
[LOCID].[].[7K10]_x000D_
[PRDID].[].[10001729]_x000D_
[KEY_FIGURES].[].[ZFORECASTOPENOUTPUT]_x000D_
[LOCID].[].[7K10]_x000D_
[PRDID].[].[10001729]_x000D_
[KEY_FIGURES].[].[ZACTUALSALES]_x000D_
[LOCID].[].[7K10]_x000D_
[PRDID].[].[10001729]_x000D_
[KEY_FIGURES].[].[ZCONSENSUSDEMAND]_x000D_
[LOCID].[].[7K10]_x000D_
[PRDID].[].[10001729]_x000D_
[KEY_FIGURES].[].[INDEPENDENTDEMAND]_x000D_
[LOCID].[].[7K10]_x000D_
[PRDID].[].[10001730]_x000D_
[KEY_FIGURES].[].[ZCONSENSUSDEMANDQTY]_x000D_
[LOCID].[].[7K10]_x000D_
[PRDID].[].[10001730]_x000D_
[KEY_FIGURES].[].[ZINPUTSOFC]_x000D_
[LOCID].[].[7K10]_x000D_
[PRDID].[].[10001730]_x000D_
[KEY_FIGURES].[].[ZFORECASTOPENOUTPUT]_x000D_
[LOCID].[].[7K10]_x000D_
[PRDID].[].[10001730]_x000D_
[KEY_FIGURES].[].[ZACTUALSALES]_x000D_
[LOCID].[].[7K10]_x000D_
[PRDID].[].[10001730]_x000D_
[KEY_FIGURES].[].[ZCONSENSUSDEMAND]_x000D_
[LOCID].[].[7K10]_x000D_
[PRDID].[].[10001730]_x000D_
[KEY_FIGURES].[].[INDEPENDENTDEMAND]_x000D_
[LOCID].[].[7K10]_x000D_
[PRDID].[].[10001731]_x000D_
[KEY_FIGURES].[].[ZCONSENSUSDEMANDQTY]_x000D_
[LOCID].[].[7K10]_x000D_
[PRDID].[].[10001731]_x000D_
[KEY_FIGURES].[].[ZINPUTSOFC]_x000D_
[LOCID].[].[7K10]_x000D_
[PRDID].[].[10001731]_x000D_
[KEY_FIGURES].[].[ZFORECASTOPENOUTPUT]_x000D_
[LOCID].[].[7K10]_x000D_
[PRDID].[].[10001731]_x000D_
[KEY_FIGURES].[].[ZACTUALSALES]_x000D_
[LOCID].[].[7K10]_x000D_
[PRDID].[].[10001731]_x000D_
[KEY_FIGURES].[].[ZCONSENSUSDEMAND]_x000D_
[LOCID].[].[7K10]_x000D_
[PRDID].[].[10001731]_x000D_
[KEY_FIGURES].[].[INDEPENDENTDEMAND]_x000D_
[LOCID].[].[7K10]_x000D_
[PRDID].[].[10001732]_x000D_
[KEY_FIGURES].[].[ZCONSENSUSDEMANDQTY]_x000D_
[LOCID].[].[7K10]_x000D_
[PRDID].[].[10001732]_x000D_
[KEY_FIGURES].[].[ZINPUTSOFC]_x000D_
[LOCID].[].[7K10]_x000D_
[PRDID].[].[10001732]_x000D_
[KEY_FIGURES].[].[ZFORECASTOPENOUTPUT]_x000D_
[LOCID].[].[7K10]_x000D_
[PRDID].[].[10001732]_x000D_
[KEY_FIGURES].[].[ZACTUALSALES]_x000D_
[LOCID].[].[7K10]_x000D_
[PRDID].[].[10001732]_x000D_
[KEY_FIGURES].[].[ZCONSENSUSDEMAND]_x000D_
[LOCID].[].[7K10]_x000D_
[PRDID].[].[10001732]_x000D_
[KEY_FIGURES].[].[INDEPENDENTDEMAND]_x000D_
[LOCID].[].[7K10]_x000D_
[PRDID].[].[10001733]_x000D_
[KEY_FIGURES].[].[ZCONSENSUSDEMANDQTY]_x000D_
[LOCID].[].[7K10]_x000D_
[PRDID].[].[10001733]_x000D_
[KEY_FIGURES].[].[ZINPUTSOFC]_x000D_
[LOCID].[].[7K10]_x000D_
[PRDID].[].[10001733]_x000D_
[KEY_FIGURES].[].[ZFORECASTOPENOUTPUT]_x000D_
[LOCID].[].[7K10]_x000D_
[PRDID].[].[10001733]_x000D_
[KEY_FIGURES].[].[ZACTUALSALES]_x000D_
[LOCID].[].[7K10]_x000D_
[PRDID].[].[10001733]_x000D_
[KEY_FIGURES].[].[ZCONSENSUSDEMAND]_x000D_
[LOCID].[].[7K10]_x000D_
[PRDID].[].[10001733]_x000D_
[KEY_FIGURES].[].[INDEPENDENTDEMAND]_x000D_
[LOCID].[].[7K10]_x000D_
[PRDID].[].[10001734]_x000D_
[KEY_FIGURES].[].[ZCONSENSUSDEMANDQTY]_x000D_
[LOCID].[].[7K10]_x000D_
[PRDID].[].[10001734]_x000D_
[KEY_FIGURES].[].[ZINPUTSOFC]_x000D_
[LOCID].[].[7K10]_x000D_
[PRDID].[].[10001734]_x000D_
[KEY_FIGURES].[].[ZFORECASTOPENOUTPUT]_x000D_
[LOCID].[].[7K10]</t>
  </si>
  <si>
    <t>[PRDID].[].[10001734]_x000D_
[KEY_FIGURES].[].[ZACTUALSALES]_x000D_
[LOCID].[].[7K10]_x000D_
[PRDID].[].[10001734]_x000D_
[KEY_FIGURES].[].[ZCONSENSUSDEMAND]_x000D_
[LOCID].[].[7K10]_x000D_
[PRDID].[].[10001734]_x000D_
[KEY_FIGURES].[].[INDEPENDENTDEMAND]_x000D_
[LOCID].[].[7K10]_x000D_
[PRDID].[].[10001735]_x000D_
[KEY_FIGURES].[].[ZCONSENSUSDEMANDQTY]_x000D_
[LOCID].[].[7K10]_x000D_
[PRDID].[].[10001735]_x000D_
[KEY_FIGURES].[].[ZINPUTSOFC]_x000D_
[LOCID].[].[7K10]_x000D_
[PRDID].[].[10001735]_x000D_
[KEY_FIGURES].[].[ZFORECASTOPENOUTPUT]_x000D_
[LOCID].[].[7K10]_x000D_
[PRDID].[].[10001735]_x000D_
[KEY_FIGURES].[].[ZACTUALSALES]_x000D_
[LOCID].[].[7K10]_x000D_
[PRDID].[].[10001735]_x000D_
[KEY_FIGURES].[].[ZCONSENSUSDEMAND]_x000D_
[LOCID].[].[7K10]_x000D_
[PRDID].[].[10001735]_x000D_
[KEY_FIGURES].[].[INDEPENDENTDEMAND]_x000D_
[LOCID].[].[7K10]_x000D_
[PRDID].[].[10001737]_x000D_
[KEY_FIGURES].[].[ZCONSENSUSDEMANDQTY]_x000D_
[LOCID].[].[7K10]_x000D_
[PRDID].[].[10001737]_x000D_
[KEY_FIGURES].[].[ZINPUTSOFC]_x000D_
[LOCID].[].[7K10]_x000D_
[PRDID].[].[10001737]_x000D_
[KEY_FIGURES].[].[ZFORECASTOPENOUTPUT]_x000D_
[LOCID].[].[7K10]_x000D_
[PRDID].[].[10001737]_x000D_
[KEY_FIGURES].[].[ZACTUALSALES]_x000D_
[LOCID].[].[7K10]_x000D_
[PRDID].[].[10001737]_x000D_
[KEY_FIGURES].[].[ZCONSENSUSDEMAND]_x000D_
[LOCID].[].[7K10]_x000D_
[PRDID].[].[10001737]_x000D_
[KEY_FIGURES].[].[INDEPENDENTDEMAND]_x000D_
[LOCID].[].[7K10]_x000D_
[PRDID].[].[10001738]_x000D_
[KEY_FIGURES].[].[ZCONSENSUSDEMANDQTY]_x000D_
[LOCID].[].[7K10]_x000D_
[PRDID].[].[10001738]_x000D_
[KEY_FIGURES].[].[ZINPUTSOFC]_x000D_
[LOCID].[].[7K10]_x000D_
[PRDID].[].[10001738]_x000D_
[KEY_FIGURES].[].[ZFORECASTOPENOUTPUT]_x000D_
[LOCID].[].[7K10]_x000D_
[PRDID].[].[10001738]_x000D_
[KEY_FIGURES].[].[ZACTUALSALES]_x000D_
[LOCID].[].[7K10]_x000D_
[PRDID].[].[10001738]_x000D_
[KEY_FIGURES].[].[ZCONSENSUSDEMAND]_x000D_
[LOCID].[].[7K10]_x000D_
[PRDID].[].[10001738]_x000D_
[KEY_FIGURES].[].[INDEPENDENTDEMAND]_x000D_
[LOCID].[].[7K10]_x000D_
[PRDID].[].[10001740]_x000D_
[KEY_FIGURES].[].[ZCONSENSUSDEMANDQTY]_x000D_
[LOCID].[].[7K10]_x000D_
[PRDID].[].[10001740]_x000D_
[KEY_FIGURES].[].[ZINPUTSOFC]_x000D_
[LOCID].[].[7K10]_x000D_
[PRDID].[].[10001740]_x000D_
[KEY_FIGURES].[].[ZFORECASTOPENOUTPUT]_x000D_
[LOCID].[].[7K10]_x000D_
[PRDID].[].[10001740]_x000D_
[KEY_FIGURES].[].[ZACTUALSALES]_x000D_
[LOCID].[].[7K10]_x000D_
[PRDID].[].[10001740]_x000D_
[KEY_FIGURES].[].[ZCONSENSUSDEMAND]_x000D_
[LOCID].[].[7K10]_x000D_
[PRDID].[].[10001740]_x000D_
[KEY_FIGURES].[].[INDEPENDENTDEMAND]_x000D_
[LOCID].[].[7K10]_x000D_
[PRDID].[].[10001742]_x000D_
[KEY_FIGURES].[].[ZCONSENSUSDEMANDQTY]_x000D_
[LOCID].[].[7K10]_x000D_
[PRDID].[].[10001742]_x000D_
[KEY_FIGURES].[].[ZINPUTSOFC]_x000D_
[LOCID].[].[7K10]_x000D_
[PRDID].[].[10001742]_x000D_
[KEY_FIGURES].[].[ZFORECASTOPENOUTPUT]_x000D_
[LOCID].[].[7K10]_x000D_
[PRDID].[].[10001742]_x000D_
[KEY_FIGURES].[].[ZACTUALSALES]_x000D_
[LOCID].[].[7K10]_x000D_
[PRDID].[].[10001742]_x000D_
[KEY_FIGURES].[].[ZCONSENSUSDEMAND]_x000D_
[LOCID].[].[7K10]_x000D_
[PRDID].[].[10001742]_x000D_
[KEY_FIGURES].[].[INDEPENDENTDEMAND]_x000D_
[LOCID].[].[7K10]_x000D_
[PRDID].[].[10001743]_x000D_
[KEY_FIGURES].[].[ZCONSENSUSDEMANDQTY]_x000D_
[LOCID].[].[7K10]_x000D_
[PRDID].[].[10001743]_x000D_
[KEY_FIGURES].[].[ZINPUTSOFC]_x000D_
[LOCID].[].[7K10]_x000D_
[PRDID].[].[10001743]_x000D_
[KEY_FIGURES].[].[ZFORECASTOPENOUTPUT]_x000D_
[LOCID].[].[7K10]_x000D_
[PRDID].[].[10001743]_x000D_
[KEY_FIGURES].[].[ZACTUALSALES]_x000D_
[LOCID].[].[7K10]_x000D_
[PRDID].[].[10001743]_x000D_
[KEY_FIGURES].[].[ZCONSENSUSDEMAND]_x000D_
[LOCID].[].[7K10]_x000D_
[PRDID].[].[10001743]_x000D_
[KEY_FIGURES].[].[INDEPENDENTDEMAND]_x000D_
[LOCID].[].[7K10]_x000D_
[PRDID].[].[10001744]_x000D_
[KEY_FIGURES].[].[ZCONSENSUSDEMANDQTY]_x000D_
[LOCID].[].[7K10]_x000D_
[PRDID].[].[10001744]_x000D_
[KEY_FIGURES].[].[ZINPUTSOFC]_x000D_
[LOCID].[].[7K10]_x000D_
[PRDID].[].[10001744]_x000D_
[KEY_FIGURES].[].[ZFORECASTOPENOUTPUT]_x000D_
[LOCID].[].[7K10]_x000D_
[PRDID].[].[10001744]_x000D_
[KEY_FIGURES].[].[ZACTUALSALES]_x000D_
[LOCID].[].[7K10]_x000D_
[PRDID].[].[10001744]_x000D_
[KEY_FIGURES].[].[ZCONSENSUSDEMAND]_x000D_
[LOCID].[].[7K10]_x000D_
[PRDID].[].[10001744]_x000D_
[KEY_FIGURES].[].[INDEPENDENTDEMAND]_x000D_
[LOCID].[].[7K10]_x000D_
[PRDID].[].[10001745]_x000D_
[KEY_FIGURES].[].[ZCONSENSUSDEMANDQTY]_x000D_
[LOCID].[].[7K10]_x000D_
[PRDID].[].[10001745]_x000D_
[KEY_FIGURES].[].[ZINPUTSOFC]_x000D_
[LOCID].[].[7K10]_x000D_
[PRDID].[].[10001745]_x000D_
[KEY_FIGURES].[].[ZFORECASTOPENOUTPUT]_x000D_
[LOCID].[].[7K10]_x000D_
[PRDID].[].[10001745]_x000D_
[KEY_FIGURES].[].[ZACTUALSALES]_x000D_
[LOCID].[].[7K10]_x000D_
[PRDID].[].[10001745]_x000D_
[KEY_FIGURES].[].[ZCONSENSUSDEMAND]_x000D_
[LOCID].[].[7K10]_x000D_
[PRDID].[].[10001745]_x000D_
[KEY_FIGURES].[].[INDEPENDENTDEMAND]_x000D_
[LOCID].[].[7K10]_x000D_
[PRDID].[].[10001746]_x000D_
[KEY_FIGURES].[].[ZCONSENSUSDEMANDQTY]_x000D_
[LOCID].[].[7K10]_x000D_
[PRDID].[].[10001746]_x000D_
[KEY_FIGURES].[].[ZINPUTSOFC]_x000D_
[LOCID].[].[7K10]_x000D_
[PRDID].[].[10001746]_x000D_
[KEY_FIGURES].[].[ZFORECASTOPENOUTPUT]_x000D_
[LOCID].[].[7K10]_x000D_
[PRDID].[].[10001746]_x000D_
[KEY_FIGURES].[].[ZACTUALSALES]_x000D_
[LOCID].[].[7K10]_x000D_
[PRDID].[].[10001746]_x000D_
[KEY_FIGURES].[].[ZCONSENSUSDEMAND]_x000D_
[LOCID].[].[7K10]_x000D_
[PRDID].[].[10001746]_x000D_
[KEY_FIGURES].[].[INDEPENDENTDEMAND]_x000D_
[LOCID].[].[7K10]_x000D_
[PRDID].[].[10001748]_x000D_
[KEY_FIGURES].[].[ZCONSENSUSDEMANDQTY]_x000D_
[LOCID].[].[7K10]_x000D_
[PRDID].[].[10001748]_x000D_
[KEY_FIGURES].[].[ZINPUTSOFC]_x000D_
[LOCID].[].[7K10]_x000D_
[PRDID].[].[10001748]_x000D_
[KEY_FIGURES].[].[ZFORECASTOPENOUTPUT]_x000D_
[LOCID].[].[7K10]_x000D_
[PRDID].[].[10001748]_x000D_
[KEY_FIGURES].[].[ZACTUALSALES]_x000D_
[LOCID].[].[7K10]_x000D_
[PRDID].[].[10001748]_x000D_
[KEY_FIGURES].[].[ZCONSENSUSDEMAND]_x000D_
[LOCID].[].[7K10]_x000D_
[PRDID].[].[10001748]_x000D_
[KEY_FIGURES].[].[INDEPENDENTDEMAND]_x000D_
[LOCID].[].[7K10]_x000D_
[PRDID].[].[10001751]_x000D_
[KEY_FIGURES].[].[ZCONSENSUSDEMANDQTY]_x000D_
[LOCID].[].[7K10]_x000D_
[PRDID].[].[10001751]_x000D_
[KEY_FIGURES].[].[ZINPUTSOFC]_x000D_
[LOCID].[].[7K10]_x000D_
[PRDID].[].[10001751]_x000D_
[KEY_FIGURES].[].[ZFORECASTOPENOUTPUT]_x000D_
[LOCID].[].[7K10]_x000D_
[PRDID].[].[10001751]_x000D_
[KEY_FIGURES].[].[ZACTUALSALES]</t>
  </si>
  <si>
    <t>[LOCID].[].[7K10]_x000D_
[PRDID].[].[10001751]_x000D_
[KEY_FIGURES].[].[ZCONSENSUSDEMAND]_x000D_
[LOCID].[].[7K10]_x000D_
[PRDID].[].[10001751]_x000D_
[KEY_FIGURES].[].[INDEPENDENTDEMAND]_x000D_
[LOCID].[].[7K10]_x000D_
[PRDID].[].[10001752]_x000D_
[KEY_FIGURES].[].[ZCONSENSUSDEMANDQTY]_x000D_
[LOCID].[].[7K10]_x000D_
[PRDID].[].[10001752]_x000D_
[KEY_FIGURES].[].[ZINPUTSOFC]_x000D_
[LOCID].[].[7K10]_x000D_
[PRDID].[].[10001752]_x000D_
[KEY_FIGURES].[].[ZFORECASTOPENOUTPUT]_x000D_
[LOCID].[].[7K10]_x000D_
[PRDID].[].[10001752]_x000D_
[KEY_FIGURES].[].[ZACTUALSALES]_x000D_
[LOCID].[].[7K10]_x000D_
[PRDID].[].[10001752]_x000D_
[KEY_FIGURES].[].[ZCONSENSUSDEMAND]_x000D_
[LOCID].[].[7K10]_x000D_
[PRDID].[].[10001752]_x000D_
[KEY_FIGURES].[].[INDEPENDENTDEMAND]_x000D_
[LOCID].[].[7K10]_x000D_
[PRDID].[].[10001753]_x000D_
[KEY_FIGURES].[].[ZCONSENSUSDEMANDQTY]_x000D_
[LOCID].[].[7K10]_x000D_
[PRDID].[].[10001753]_x000D_
[KEY_FIGURES].[].[ZINPUTSOFC]_x000D_
[LOCID].[].[7K10]_x000D_
[PRDID].[].[10001753]_x000D_
[KEY_FIGURES].[].[ZFORECASTOPENOUTPUT]_x000D_
[LOCID].[].[7K10]_x000D_
[PRDID].[].[10001753]_x000D_
[KEY_FIGURES].[].[ZACTUALSALES]_x000D_
[LOCID].[].[7K10]_x000D_
[PRDID].[].[10001753]_x000D_
[KEY_FIGURES].[].[ZCONSENSUSDEMAND]_x000D_
[LOCID].[].[7K10]_x000D_
[PRDID].[].[10001753]_x000D_
[KEY_FIGURES].[].[INDEPENDENTDEMAND]_x000D_
[LOCID].[].[7K10]_x000D_
[PRDID].[].[10001755]_x000D_
[KEY_FIGURES].[].[ZCONSENSUSDEMANDQTY]_x000D_
[LOCID].[].[7K10]_x000D_
[PRDID].[].[10001755]_x000D_
[KEY_FIGURES].[].[ZINPUTSOFC]_x000D_
[LOCID].[].[7K10]_x000D_
[PRDID].[].[10001755]_x000D_
[KEY_FIGURES].[].[ZFORECASTOPENOUTPUT]_x000D_
[LOCID].[].[7K10]_x000D_
[PRDID].[].[10001755]_x000D_
[KEY_FIGURES].[].[ZACTUALSALES]_x000D_
[LOCID].[].[7K10]_x000D_
[PRDID].[].[10001755]_x000D_
[KEY_FIGURES].[].[ZCONSENSUSDEMAND]_x000D_
[LOCID].[].[7K10]_x000D_
[PRDID].[].[10001755]_x000D_
[KEY_FIGURES].[].[INDEPENDENTDEMAND]_x000D_
[LOCID].[].[7K10]_x000D_
[PRDID].[].[10001756]_x000D_
[KEY_FIGURES].[].[ZCONSENSUSDEMANDQTY]_x000D_
[LOCID].[].[7K10]_x000D_
[PRDID].[].[10001756]_x000D_
[KEY_FIGURES].[].[ZINPUTSOFC]_x000D_
[LOCID].[].[7K10]_x000D_
[PRDID].[].[10001756]_x000D_
[KEY_FIGURES].[].[ZFORECASTOPENOUTPUT]_x000D_
[LOCID].[].[7K10]_x000D_
[PRDID].[].[10001756]_x000D_
[KEY_FIGURES].[].[ZACTUALSALES]_x000D_
[LOCID].[].[7K10]_x000D_
[PRDID].[].[10001756]_x000D_
[KEY_FIGURES].[].[ZCONSENSUSDEMAND]_x000D_
[LOCID].[].[7K10]_x000D_
[PRDID].[].[10001756]_x000D_
[KEY_FIGURES].[].[INDEPENDENTDEMAND]_x000D_
[LOCID].[].[7K10]_x000D_
[PRDID].[].[10001757]_x000D_
[KEY_FIGURES].[].[ZCONSENSUSDEMANDQTY]_x000D_
[LOCID].[].[7K10]_x000D_
[PRDID].[].[10001757]_x000D_
[KEY_FIGURES].[].[ZINPUTSOFC]_x000D_
[LOCID].[].[7K10]_x000D_
[PRDID].[].[10001757]_x000D_
[KEY_FIGURES].[].[ZFORECASTOPENOUTPUT]_x000D_
[LOCID].[].[7K10]_x000D_
[PRDID].[].[10001757]_x000D_
[KEY_FIGURES].[].[ZACTUALSALES]_x000D_
[LOCID].[].[7K10]_x000D_
[PRDID].[].[10001757]_x000D_
[KEY_FIGURES].[].[ZCONSENSUSDEMAND]_x000D_
[LOCID].[].[7K10]_x000D_
[PRDID].[].[10001757]_x000D_
[KEY_FIGURES].[].[INDEPENDENTDEMAND]_x000D_
[LOCID].[].[7K10]_x000D_
[PRDID].[].[10001758]_x000D_
[KEY_FIGURES].[].[ZCONSENSUSDEMANDQTY]_x000D_
[LOCID].[].[7K10]_x000D_
[PRDID].[].[10001758]_x000D_
[KEY_FIGURES].[].[ZINPUTSOFC]_x000D_
[LOCID].[].[7K10]_x000D_
[PRDID].[].[10001758]_x000D_
[KEY_FIGURES].[].[ZFORECASTOPENOUTPUT]_x000D_
[LOCID].[].[7K10]_x000D_
[PRDID].[].[10001758]_x000D_
[KEY_FIGURES].[].[ZACTUALSALES]_x000D_
[LOCID].[].[7K10]_x000D_
[PRDID].[].[10001758]_x000D_
[KEY_FIGURES].[].[ZCONSENSUSDEMAND]_x000D_
[LOCID].[].[7K10]_x000D_
[PRDID].[].[10001758]_x000D_
[KEY_FIGURES].[].[INDEPENDENTDEMAND]_x000D_
[LOCID].[].[7K10]_x000D_
[PRDID].[].[10001760]_x000D_
[KEY_FIGURES].[].[ZCONSENSUSDEMANDQTY]_x000D_
[LOCID].[].[7K10]_x000D_
[PRDID].[].[10001760]_x000D_
[KEY_FIGURES].[].[ZINPUTSOFC]_x000D_
[LOCID].[].[7K10]_x000D_
[PRDID].[].[10001760]_x000D_
[KEY_FIGURES].[].[ZFORECASTOPENOUTPUT]_x000D_
[LOCID].[].[7K10]_x000D_
[PRDID].[].[10001760]_x000D_
[KEY_FIGURES].[].[ZACTUALSALES]_x000D_
[LOCID].[].[7K10]_x000D_
[PRDID].[].[10001760]_x000D_
[KEY_FIGURES].[].[ZCONSENSUSDEMAND]_x000D_
[LOCID].[].[7K10]_x000D_
[PRDID].[].[10001760]_x000D_
[KEY_FIGURES].[].[INDEPENDENTDEMAND]_x000D_
[LOCID].[].[7K10]_x000D_
[PRDID].[].[10001761]_x000D_
[KEY_FIGURES].[].[ZCONSENSUSDEMANDQTY]_x000D_
[LOCID].[].[7K10]_x000D_
[PRDID].[].[10001761]_x000D_
[KEY_FIGURES].[].[ZINPUTSOFC]_x000D_
[LOCID].[].[7K10]_x000D_
[PRDID].[].[10001761]_x000D_
[KEY_FIGURES].[].[ZFORECASTOPENOUTPUT]_x000D_
[LOCID].[].[7K10]_x000D_
[PRDID].[].[10001761]_x000D_
[KEY_FIGURES].[].[ZACTUALSALES]_x000D_
[LOCID].[].[7K10]_x000D_
[PRDID].[].[10001761]_x000D_
[KEY_FIGURES].[].[ZCONSENSUSDEMAND]_x000D_
[LOCID].[].[7K10]_x000D_
[PRDID].[].[10001761]_x000D_
[KEY_FIGURES].[].[INDEPENDENTDEMAND]_x000D_
[LOCID].[].[7K10]_x000D_
[PRDID].[].[10001762]_x000D_
[KEY_FIGURES].[].[ZCONSENSUSDEMANDQTY]_x000D_
[LOCID].[].[7K10]_x000D_
[PRDID].[].[10001762]_x000D_
[KEY_FIGURES].[].[ZINPUTSOFC]_x000D_
[LOCID].[].[7K10]_x000D_
[PRDID].[].[10001762]_x000D_
[KEY_FIGURES].[].[ZFORECASTOPENOUTPUT]_x000D_
[LOCID].[].[7K10]_x000D_
[PRDID].[].[10001762]_x000D_
[KEY_FIGURES].[].[ZACTUALSALES]_x000D_
[LOCID].[].[7K10]_x000D_
[PRDID].[].[10001762]_x000D_
[KEY_FIGURES].[].[ZCONSENSUSDEMAND]_x000D_
[LOCID].[].[7K10]_x000D_
[PRDID].[].[10001762]_x000D_
[KEY_FIGURES].[].[INDEPENDENTDEMAND]_x000D_
[LOCID].[].[7K10]_x000D_
[PRDID].[].[10001763]_x000D_
[KEY_FIGURES].[].[ZCONSENSUSDEMANDQTY]_x000D_
[LOCID].[].[7K10]_x000D_
[PRDID].[].[10001763]_x000D_
[KEY_FIGURES].[].[ZINPUTSOFC]_x000D_
[LOCID].[].[7K10]_x000D_
[PRDID].[].[10001763]_x000D_
[KEY_FIGURES].[].[ZFORECASTOPENOUTPUT]_x000D_
[LOCID].[].[7K10]_x000D_
[PRDID].[].[10001763]_x000D_
[KEY_FIGURES].[].[ZACTUALSALES]_x000D_
[LOCID].[].[7K10]_x000D_
[PRDID].[].[10001763]_x000D_
[KEY_FIGURES].[].[ZCONSENSUSDEMAND]_x000D_
[LOCID].[].[7K10]_x000D_
[PRDID].[].[10001763]_x000D_
[KEY_FIGURES].[].[INDEPENDENTDEMAND]_x000D_
[LOCID].[].[7K10]_x000D_
[PRDID].[].[10001765]_x000D_
[KEY_FIGURES].[].[ZCONSENSUSDEMANDQTY]_x000D_
[LOCID].[].[7K10]_x000D_
[PRDID].[].[10001765]_x000D_
[KEY_FIGURES].[].[ZINPUTSOFC]_x000D_
[LOCID].[].[7K10]_x000D_
[PRDID].[].[10001765]_x000D_
[KEY_FIGURES].[].[ZFORECASTOPENOUTPUT]_x000D_
[LOCID].[].[7K10]_x000D_
[PRDID].[].[10001765]_x000D_
[KEY_FIGURES].[].[ZACTUALSALES]_x000D_
[LOCID].[].[7K10]_x000D_
[PRDID].[].[10001765]</t>
  </si>
  <si>
    <t>[KEY_FIGURES].[].[ZCONSENSUSDEMAND]_x000D_
[LOCID].[].[7K10]_x000D_
[PRDID].[].[10001765]_x000D_
[KEY_FIGURES].[].[INDEPENDENTDEMAND]_x000D_
[LOCID].[].[7K10]_x000D_
[PRDID].[].[10001766]_x000D_
[KEY_FIGURES].[].[ZCONSENSUSDEMANDQTY]_x000D_
[LOCID].[].[7K10]_x000D_
[PRDID].[].[10001766]_x000D_
[KEY_FIGURES].[].[ZINPUTSOFC]_x000D_
[LOCID].[].[7K10]_x000D_
[PRDID].[].[10001766]_x000D_
[KEY_FIGURES].[].[ZFORECASTOPENOUTPUT]_x000D_
[LOCID].[].[7K10]_x000D_
[PRDID].[].[10001766]_x000D_
[KEY_FIGURES].[].[ZACTUALSALES]_x000D_
[LOCID].[].[7K10]_x000D_
[PRDID].[].[10001766]_x000D_
[KEY_FIGURES].[].[ZCONSENSUSDEMAND]_x000D_
[LOCID].[].[7K10]_x000D_
[PRDID].[].[10001766]_x000D_
[KEY_FIGURES].[].[INDEPENDENTDEMAND]_x000D_
[LOCID].[].[7K10]_x000D_
[PRDID].[].[10001767]_x000D_
[KEY_FIGURES].[].[ZCONSENSUSDEMANDQTY]_x000D_
[LOCID].[].[7K10]_x000D_
[PRDID].[].[10001767]_x000D_
[KEY_FIGURES].[].[ZINPUTSOFC]_x000D_
[LOCID].[].[7K10]_x000D_
[PRDID].[].[10001767]_x000D_
[KEY_FIGURES].[].[ZFORECASTOPENOUTPUT]_x000D_
[LOCID].[].[7K10]_x000D_
[PRDID].[].[10001767]_x000D_
[KEY_FIGURES].[].[ZACTUALSALES]_x000D_
[LOCID].[].[7K10]_x000D_
[PRDID].[].[10001767]_x000D_
[KEY_FIGURES].[].[ZCONSENSUSDEMAND]_x000D_
[LOCID].[].[7K10]_x000D_
[PRDID].[].[10001767]_x000D_
[KEY_FIGURES].[].[INDEPENDENTDEMAND]_x000D_
[LOCID].[].[7K10]_x000D_
[PRDID].[].[10001768]_x000D_
[KEY_FIGURES].[].[ZCONSENSUSDEMANDQTY]_x000D_
[LOCID].[].[7K10]_x000D_
[PRDID].[].[10001768]_x000D_
[KEY_FIGURES].[].[ZINPUTSOFC]_x000D_
[LOCID].[].[7K10]_x000D_
[PRDID].[].[10001768]_x000D_
[KEY_FIGURES].[].[ZFORECASTOPENOUTPUT]_x000D_
[LOCID].[].[7K10]_x000D_
[PRDID].[].[10001768]_x000D_
[KEY_FIGURES].[].[ZACTUALSALES]_x000D_
[LOCID].[].[7K10]_x000D_
[PRDID].[].[10001768]_x000D_
[KEY_FIGURES].[].[ZCONSENSUSDEMAND]_x000D_
[LOCID].[].[7K10]_x000D_
[PRDID].[].[10001768]_x000D_
[KEY_FIGURES].[].[INDEPENDENTDEMAND]_x000D_
[LOCID].[].[7K10]_x000D_
[PRDID].[].[10001769]_x000D_
[KEY_FIGURES].[].[ZCONSENSUSDEMANDQTY]_x000D_
[LOCID].[].[7K10]_x000D_
[PRDID].[].[10001769]_x000D_
[KEY_FIGURES].[].[ZINPUTSOFC]_x000D_
[LOCID].[].[7K10]_x000D_
[PRDID].[].[10001769]_x000D_
[KEY_FIGURES].[].[ZFORECASTOPENOUTPUT]_x000D_
[LOCID].[].[7K10]_x000D_
[PRDID].[].[10001769]_x000D_
[KEY_FIGURES].[].[ZACTUALSALES]_x000D_
[LOCID].[].[7K10]_x000D_
[PRDID].[].[10001769]_x000D_
[KEY_FIGURES].[].[ZCONSENSUSDEMAND]_x000D_
[LOCID].[].[7K10]_x000D_
[PRDID].[].[10001769]_x000D_
[KEY_FIGURES].[].[INDEPENDENTDEMAND]_x000D_
[LOCID].[].[7K10]_x000D_
[PRDID].[].[10001770]_x000D_
[KEY_FIGURES].[].[ZCONSENSUSDEMANDQTY]_x000D_
[LOCID].[].[7K10]_x000D_
[PRDID].[].[10001770]_x000D_
[KEY_FIGURES].[].[ZINPUTSOFC]_x000D_
[LOCID].[].[7K10]_x000D_
[PRDID].[].[10001770]_x000D_
[KEY_FIGURES].[].[ZFORECASTOPENOUTPUT]_x000D_
[LOCID].[].[7K10]_x000D_
[PRDID].[].[10001770]_x000D_
[KEY_FIGURES].[].[ZACTUALSALES]_x000D_
[LOCID].[].[7K10]_x000D_
[PRDID].[].[10001770]_x000D_
[KEY_FIGURES].[].[ZCONSENSUSDEMAND]_x000D_
[LOCID].[].[7K10]_x000D_
[PRDID].[].[10001770]_x000D_
[KEY_FIGURES].[].[INDEPENDENTDEMAND]_x000D_
[LOCID].[].[7K10]_x000D_
[PRDID].[].[10001771]_x000D_
[KEY_FIGURES].[].[ZCONSENSUSDEMANDQTY]_x000D_
[LOCID].[].[7K10]_x000D_
[PRDID].[].[10001771]_x000D_
[KEY_FIGURES].[].[ZINPUTSOFC]_x000D_
[LOCID].[].[7K10]_x000D_
[PRDID].[].[10001771]_x000D_
[KEY_FIGURES].[].[ZFORECASTOPENOUTPUT]_x000D_
[LOCID].[].[7K10]_x000D_
[PRDID].[].[10001771]_x000D_
[KEY_FIGURES].[].[ZACTUALSALES]_x000D_
[LOCID].[].[7K10]_x000D_
[PRDID].[].[10001771]_x000D_
[KEY_FIGURES].[].[ZCONSENSUSDEMAND]_x000D_
[LOCID].[].[7K10]_x000D_
[PRDID].[].[10001771]_x000D_
[KEY_FIGURES].[].[INDEPENDENTDEMAND]_x000D_
[LOCID].[].[7K10]_x000D_
[PRDID].[].[10001772]_x000D_
[KEY_FIGURES].[].[ZCONSENSUSDEMANDQTY]_x000D_
[LOCID].[].[7K10]_x000D_
[PRDID].[].[10001772]_x000D_
[KEY_FIGURES].[].[ZINPUTSOFC]_x000D_
[LOCID].[].[7K10]_x000D_
[PRDID].[].[10001772]_x000D_
[KEY_FIGURES].[].[ZFORECASTOPENOUTPUT]_x000D_
[LOCID].[].[7K10]_x000D_
[PRDID].[].[10001772]_x000D_
[KEY_FIGURES].[].[ZACTUALSALES]_x000D_
[LOCID].[].[7K10]_x000D_
[PRDID].[].[10001772]_x000D_
[KEY_FIGURES].[].[ZCONSENSUSDEMAND]_x000D_
[LOCID].[].[7K10]_x000D_
[PRDID].[].[10001772]_x000D_
[KEY_FIGURES].[].[INDEPENDENTDEMAND]_x000D_
[LOCID].[].[7K10]_x000D_
[PRDID].[].[10001773]_x000D_
[KEY_FIGURES].[].[ZCONSENSUSDEMANDQTY]_x000D_
[LOCID].[].[7K10]_x000D_
[PRDID].[].[10001773]_x000D_
[KEY_FIGURES].[].[ZINPUTSOFC]_x000D_
[LOCID].[].[7K10]_x000D_
[PRDID].[].[10001773]_x000D_
[KEY_FIGURES].[].[ZFORECASTOPENOUTPUT]_x000D_
[LOCID].[].[7K10]_x000D_
[PRDID].[].[10001773]_x000D_
[KEY_FIGURES].[].[ZACTUALSALES]_x000D_
[LOCID].[].[7K10]_x000D_
[PRDID].[].[10001773]_x000D_
[KEY_FIGURES].[].[ZCONSENSUSDEMAND]_x000D_
[LOCID].[].[7K10]_x000D_
[PRDID].[].[10001773]_x000D_
[KEY_FIGURES].[].[INDEPENDENTDEMAND]_x000D_
[LOCID].[].[7K10]_x000D_
[PRDID].[].[10001774]_x000D_
[KEY_FIGURES].[].[ZCONSENSUSDEMANDQTY]_x000D_
[LOCID].[].[7K10]_x000D_
[PRDID].[].[10001774]_x000D_
[KEY_FIGURES].[].[ZINPUTSOFC]_x000D_
[LOCID].[].[7K10]_x000D_
[PRDID].[].[10001774]_x000D_
[KEY_FIGURES].[].[ZFORECASTOPENOUTPUT]_x000D_
[LOCID].[].[7K10]_x000D_
[PRDID].[].[10001774]_x000D_
[KEY_FIGURES].[].[ZACTUALSALES]_x000D_
[LOCID].[].[7K10]_x000D_
[PRDID].[].[10001774]_x000D_
[KEY_FIGURES].[].[ZCONSENSUSDEMAND]_x000D_
[LOCID].[].[7K10]_x000D_
[PRDID].[].[10001774]_x000D_
[KEY_FIGURES].[].[INDEPENDENTDEMAND]_x000D_
[LOCID].[].[7K10]_x000D_
[PRDID].[].[10001775]_x000D_
[KEY_FIGURES].[].[ZCONSENSUSDEMANDQTY]_x000D_
[LOCID].[].[7K10]_x000D_
[PRDID].[].[10001775]_x000D_
[KEY_FIGURES].[].[ZINPUTSOFC]_x000D_
[LOCID].[].[7K10]_x000D_
[PRDID].[].[10001775]_x000D_
[KEY_FIGURES].[].[ZFORECASTOPENOUTPUT]_x000D_
[LOCID].[].[7K10]_x000D_
[PRDID].[].[10001775]_x000D_
[KEY_FIGURES].[].[ZACTUALSALES]_x000D_
[LOCID].[].[7K10]_x000D_
[PRDID].[].[10001775]_x000D_
[KEY_FIGURES].[].[ZCONSENSUSDEMAND]_x000D_
[LOCID].[].[7K10]_x000D_
[PRDID].[].[10001775]_x000D_
[KEY_FIGURES].[].[INDEPENDENTDEMAND]_x000D_
[LOCID].[].[7K10]_x000D_
[PRDID].[].[10001776]_x000D_
[KEY_FIGURES].[].[ZCONSENSUSDEMANDQTY]_x000D_
[LOCID].[].[7K10]_x000D_
[PRDID].[].[10001776]_x000D_
[KEY_FIGURES].[].[ZINPUTSOFC]_x000D_
[LOCID].[].[7K10]_x000D_
[PRDID].[].[10001776]_x000D_
[KEY_FIGURES].[].[ZFORECASTOPENOUTPUT]_x000D_
[LOCID].[].[7K10]_x000D_
[PRDID].[].[10001776]_x000D_
[KEY_FIGURES].[].[ZACTUALSALES]_x000D_
[LOCID].[].[7K10]_x000D_
[PRDID].[].[10001776]_x000D_
[KEY_FIGURES].[].[ZCONSENSUSDEMAND]_x000D_
[LOCID].[].[7K10]</t>
  </si>
  <si>
    <t>[PRDID].[].[10001776]_x000D_
[KEY_FIGURES].[].[INDEPENDENTDEMAND]_x000D_
[LOCID].[].[7K10]_x000D_
[PRDID].[].[10001777]_x000D_
[KEY_FIGURES].[].[ZCONSENSUSDEMANDQTY]_x000D_
[LOCID].[].[7K10]_x000D_
[PRDID].[].[10001777]_x000D_
[KEY_FIGURES].[].[ZINPUTSOFC]_x000D_
[LOCID].[].[7K10]_x000D_
[PRDID].[].[10001777]_x000D_
[KEY_FIGURES].[].[ZFORECASTOPENOUTPUT]_x000D_
[LOCID].[].[7K10]_x000D_
[PRDID].[].[10001777]_x000D_
[KEY_FIGURES].[].[ZACTUALSALES]_x000D_
[LOCID].[].[7K10]_x000D_
[PRDID].[].[10001777]_x000D_
[KEY_FIGURES].[].[ZCONSENSUSDEMAND]_x000D_
[LOCID].[].[7K10]_x000D_
[PRDID].[].[10001777]_x000D_
[KEY_FIGURES].[].[INDEPENDENTDEMAND]_x000D_
[LOCID].[].[7K10]_x000D_
[PRDID].[].[10001778]_x000D_
[KEY_FIGURES].[].[ZCONSENSUSDEMANDQTY]_x000D_
[LOCID].[].[7K10]_x000D_
[PRDID].[].[10001778]_x000D_
[KEY_FIGURES].[].[ZINPUTSOFC]_x000D_
[LOCID].[].[7K10]_x000D_
[PRDID].[].[10001778]_x000D_
[KEY_FIGURES].[].[ZFORECASTOPENOUTPUT]_x000D_
[LOCID].[].[7K10]_x000D_
[PRDID].[].[10001778]_x000D_
[KEY_FIGURES].[].[ZACTUALSALES]_x000D_
[LOCID].[].[7K10]_x000D_
[PRDID].[].[10001778]_x000D_
[KEY_FIGURES].[].[ZCONSENSUSDEMAND]_x000D_
[LOCID].[].[7K10]_x000D_
[PRDID].[].[10001778]_x000D_
[KEY_FIGURES].[].[INDEPENDENTDEMAND]_x000D_
[LOCID].[].[7K10]_x000D_
[PRDID].[].[10001779]_x000D_
[KEY_FIGURES].[].[ZCONSENSUSDEMANDQTY]_x000D_
[LOCID].[].[7K10]_x000D_
[PRDID].[].[10001779]_x000D_
[KEY_FIGURES].[].[ZINPUTSOFC]_x000D_
[LOCID].[].[7K10]_x000D_
[PRDID].[].[10001779]_x000D_
[KEY_FIGURES].[].[ZFORECASTOPENOUTPUT]_x000D_
[LOCID].[].[7K10]_x000D_
[PRDID].[].[10001779]_x000D_
[KEY_FIGURES].[].[ZACTUALSALES]_x000D_
[LOCID].[].[7K10]_x000D_
[PRDID].[].[10001779]_x000D_
[KEY_FIGURES].[].[ZCONSENSUSDEMAND]_x000D_
[LOCID].[].[7K10]_x000D_
[PRDID].[].[10001779]_x000D_
[KEY_FIGURES].[].[INDEPENDENTDEMAND]_x000D_
[LOCID].[].[7K10]_x000D_
[PRDID].[].[10001780]_x000D_
[KEY_FIGURES].[].[ZCONSENSUSDEMANDQTY]_x000D_
[LOCID].[].[7K10]_x000D_
[PRDID].[].[10001780]_x000D_
[KEY_FIGURES].[].[ZINPUTSOFC]_x000D_
[LOCID].[].[7K10]_x000D_
[PRDID].[].[10001780]_x000D_
[KEY_FIGURES].[].[ZFORECASTOPENOUTPUT]_x000D_
[LOCID].[].[7K10]_x000D_
[PRDID].[].[10001780]_x000D_
[KEY_FIGURES].[].[ZACTUALSALES]_x000D_
[LOCID].[].[7K10]_x000D_
[PRDID].[].[10001780]_x000D_
[KEY_FIGURES].[].[ZCONSENSUSDEMAND]_x000D_
[LOCID].[].[7K10]_x000D_
[PRDID].[].[10001780]_x000D_
[KEY_FIGURES].[].[INDEPENDENTDEMAND]_x000D_
[LOCID].[].[7K10]_x000D_
[PRDID].[].[10001782]_x000D_
[KEY_FIGURES].[].[ZCONSENSUSDEMANDQTY]_x000D_
[LOCID].[].[7K10]_x000D_
[PRDID].[].[10001782]_x000D_
[KEY_FIGURES].[].[ZINPUTSOFC]_x000D_
[LOCID].[].[7K10]_x000D_
[PRDID].[].[10001782]_x000D_
[KEY_FIGURES].[].[ZFORECASTOPENOUTPUT]_x000D_
[LOCID].[].[7K10]_x000D_
[PRDID].[].[10001782]_x000D_
[KEY_FIGURES].[].[ZACTUALSALES]_x000D_
[LOCID].[].[7K10]_x000D_
[PRDID].[].[10001782]_x000D_
[KEY_FIGURES].[].[ZCONSENSUSDEMAND]_x000D_
[LOCID].[].[7K10]_x000D_
[PRDID].[].[10001782]_x000D_
[KEY_FIGURES].[].[INDEPENDENTDEMAND]_x000D_
[LOCID].[].[7K10]_x000D_
[PRDID].[].[10001783]_x000D_
[KEY_FIGURES].[].[ZCONSENSUSDEMANDQTY]_x000D_
[LOCID].[].[7K10]_x000D_
[PRDID].[].[10001783]_x000D_
[KEY_FIGURES].[].[ZINPUTSOFC]_x000D_
[LOCID].[].[7K10]_x000D_
[PRDID].[].[10001783]_x000D_
[KEY_FIGURES].[].[ZFORECASTOPENOUTPUT]_x000D_
[LOCID].[].[7K10]_x000D_
[PRDID].[].[10001783]_x000D_
[KEY_FIGURES].[].[ZACTUALSALES]_x000D_
[LOCID].[].[7K10]_x000D_
[PRDID].[].[10001783]_x000D_
[KEY_FIGURES].[].[ZCONSENSUSDEMAND]_x000D_
[LOCID].[].[7K10]_x000D_
[PRDID].[].[10001783]_x000D_
[KEY_FIGURES].[].[INDEPENDENTDEMAND]_x000D_
[LOCID].[].[7K10]_x000D_
[PRDID].[].[10001784]_x000D_
[KEY_FIGURES].[].[ZCONSENSUSDEMANDQTY]_x000D_
[LOCID].[].[7K10]_x000D_
[PRDID].[].[10001784]_x000D_
[KEY_FIGURES].[].[ZINPUTSOFC]_x000D_
[LOCID].[].[7K10]_x000D_
[PRDID].[].[10001784]_x000D_
[KEY_FIGURES].[].[ZFORECASTOPENOUTPUT]_x000D_
[LOCID].[].[7K10]_x000D_
[PRDID].[].[10001784]_x000D_
[KEY_FIGURES].[].[ZACTUALSALES]_x000D_
[LOCID].[].[7K10]_x000D_
[PRDID].[].[10001784]_x000D_
[KEY_FIGURES].[].[ZCONSENSUSDEMAND]_x000D_
[LOCID].[].[7K10]_x000D_
[PRDID].[].[10001784]_x000D_
[KEY_FIGURES].[].[INDEPENDENTDEMAND]_x000D_
[LOCID].[].[7K10]_x000D_
[PRDID].[].[10001785]_x000D_
[KEY_FIGURES].[].[ZCONSENSUSDEMANDQTY]_x000D_
[LOCID].[].[7K10]_x000D_
[PRDID].[].[10001785]_x000D_
[KEY_FIGURES].[].[ZINPUTSOFC]_x000D_
[LOCID].[].[7K10]_x000D_
[PRDID].[].[10001785]_x000D_
[KEY_FIGURES].[].[ZFORECASTOPENOUTPUT]_x000D_
[LOCID].[].[7K10]_x000D_
[PRDID].[].[10001785]_x000D_
[KEY_FIGURES].[].[ZACTUALSALES]_x000D_
[LOCID].[].[7K10]_x000D_
[PRDID].[].[10001785]_x000D_
[KEY_FIGURES].[].[ZCONSENSUSDEMAND]_x000D_
[LOCID].[].[7K10]_x000D_
[PRDID].[].[10001785]_x000D_
[KEY_FIGURES].[].[INDEPENDENTDEMAND]_x000D_
[LOCID].[].[7K10]_x000D_
[PRDID].[].[10001786]_x000D_
[KEY_FIGURES].[].[ZCONSENSUSDEMANDQTY]_x000D_
[LOCID].[].[7K10]_x000D_
[PRDID].[].[10001786]_x000D_
[KEY_FIGURES].[].[ZINPUTSOFC]_x000D_
[LOCID].[].[7K10]_x000D_
[PRDID].[].[10001786]_x000D_
[KEY_FIGURES].[].[ZFORECASTOPENOUTPUT]_x000D_
[LOCID].[].[7K10]_x000D_
[PRDID].[].[10001786]_x000D_
[KEY_FIGURES].[].[ZACTUALSALES]_x000D_
[LOCID].[].[7K10]_x000D_
[PRDID].[].[10001786]_x000D_
[KEY_FIGURES].[].[ZCONSENSUSDEMAND]_x000D_
[LOCID].[].[7K10]_x000D_
[PRDID].[].[10001786]_x000D_
[KEY_FIGURES].[].[INDEPENDENTDEMAND]_x000D_
[LOCID].[].[7K10]_x000D_
[PRDID].[].[10001787]_x000D_
[KEY_FIGURES].[].[ZCONSENSUSDEMANDQTY]_x000D_
[LOCID].[].[7K10]_x000D_
[PRDID].[].[10001787]_x000D_
[KEY_FIGURES].[].[ZINPUTSOFC]_x000D_
[LOCID].[].[7K10]_x000D_
[PRDID].[].[10001787]_x000D_
[KEY_FIGURES].[].[ZFORECASTOPENOUTPUT]_x000D_
[LOCID].[].[7K10]_x000D_
[PRDID].[].[10001787]_x000D_
[KEY_FIGURES].[].[ZACTUALSALES]_x000D_
[LOCID].[].[7K10]_x000D_
[PRDID].[].[10001787]_x000D_
[KEY_FIGURES].[].[ZCONSENSUSDEMAND]_x000D_
[LOCID].[].[7K10]_x000D_
[PRDID].[].[10001787]_x000D_
[KEY_FIGURES].[].[INDEPENDENTDEMAND]_x000D_
[LOCID].[].[7K10]_x000D_
[PRDID].[].[10001788]_x000D_
[KEY_FIGURES].[].[ZCONSENSUSDEMANDQTY]_x000D_
[LOCID].[].[7K10]_x000D_
[PRDID].[].[10001788]_x000D_
[KEY_FIGURES].[].[ZINPUTSOFC]_x000D_
[LOCID].[].[7K10]_x000D_
[PRDID].[].[10001788]_x000D_
[KEY_FIGURES].[].[ZFORECASTOPENOUTPUT]_x000D_
[LOCID].[].[7K10]_x000D_
[PRDID].[].[10001788]_x000D_
[KEY_FIGURES].[].[ZACTUALSALES]_x000D_
[LOCID].[].[7K10]_x000D_
[PRDID].[].[10001788]_x000D_
[KEY_FIGURES].[].[ZCONSENSUSDEMAND]_x000D_
[LOCID].[].[7K10]_x000D_
[PRDID].[].[10001788]_x000D_
[KEY_FIGURES].[].[INDEPENDENTDEMAND]</t>
  </si>
  <si>
    <t>[LOCID].[].[7K10]_x000D_
[PRDID].[].[10001789]_x000D_
[KEY_FIGURES].[].[ZCONSENSUSDEMANDQTY]_x000D_
[LOCID].[].[7K10]_x000D_
[PRDID].[].[10001789]_x000D_
[KEY_FIGURES].[].[ZINPUTSOFC]_x000D_
[LOCID].[].[7K10]_x000D_
[PRDID].[].[10001789]_x000D_
[KEY_FIGURES].[].[ZFORECASTOPENOUTPUT]_x000D_
[LOCID].[].[7K10]_x000D_
[PRDID].[].[10001789]_x000D_
[KEY_FIGURES].[].[ZACTUALSALES]_x000D_
[LOCID].[].[7K10]_x000D_
[PRDID].[].[10001789]_x000D_
[KEY_FIGURES].[].[ZCONSENSUSDEMAND]_x000D_
[LOCID].[].[7K10]_x000D_
[PRDID].[].[10001789]_x000D_
[KEY_FIGURES].[].[INDEPENDENTDEMAND]_x000D_
[LOCID].[].[7K10]_x000D_
[PRDID].[].[10001790]_x000D_
[KEY_FIGURES].[].[ZCONSENSUSDEMANDQTY]_x000D_
[LOCID].[].[7K10]_x000D_
[PRDID].[].[10001790]_x000D_
[KEY_FIGURES].[].[ZINPUTSOFC]_x000D_
[LOCID].[].[7K10]_x000D_
[PRDID].[].[10001790]_x000D_
[KEY_FIGURES].[].[ZFORECASTOPENOUTPUT]_x000D_
[LOCID].[].[7K10]_x000D_
[PRDID].[].[10001790]_x000D_
[KEY_FIGURES].[].[ZACTUALSALES]_x000D_
[LOCID].[].[7K10]_x000D_
[PRDID].[].[10001790]_x000D_
[KEY_FIGURES].[].[ZCONSENSUSDEMAND]_x000D_
[LOCID].[].[7K10]_x000D_
[PRDID].[].[10001790]_x000D_
[KEY_FIGURES].[].[INDEPENDENTDEMAND]_x000D_
[LOCID].[].[7K10]_x000D_
[PRDID].[].[10001791]_x000D_
[KEY_FIGURES].[].[ZCONSENSUSDEMANDQTY]_x000D_
[LOCID].[].[7K10]_x000D_
[PRDID].[].[10001791]_x000D_
[KEY_FIGURES].[].[ZINPUTSOFC]_x000D_
[LOCID].[].[7K10]_x000D_
[PRDID].[].[10001791]_x000D_
[KEY_FIGURES].[].[ZFORECASTOPENOUTPUT]_x000D_
[LOCID].[].[7K10]_x000D_
[PRDID].[].[10001791]_x000D_
[KEY_FIGURES].[].[ZACTUALSALES]_x000D_
[LOCID].[].[7K10]_x000D_
[PRDID].[].[10001791]_x000D_
[KEY_FIGURES].[].[ZCONSENSUSDEMAND]_x000D_
[LOCID].[].[7K10]_x000D_
[PRDID].[].[10001791]_x000D_
[KEY_FIGURES].[].[INDEPENDENTDEMAND]_x000D_
[LOCID].[].[7K10]_x000D_
[PRDID].[].[10001792]_x000D_
[KEY_FIGURES].[].[ZCONSENSUSDEMANDQTY]_x000D_
[LOCID].[].[7K10]_x000D_
[PRDID].[].[10001792]_x000D_
[KEY_FIGURES].[].[ZINPUTSOFC]_x000D_
[LOCID].[].[7K10]_x000D_
[PRDID].[].[10001792]_x000D_
[KEY_FIGURES].[].[ZFORECASTOPENOUTPUT]_x000D_
[LOCID].[].[7K10]_x000D_
[PRDID].[].[10001792]_x000D_
[KEY_FIGURES].[].[ZACTUALSALES]_x000D_
[LOCID].[].[7K10]_x000D_
[PRDID].[].[10001792]_x000D_
[KEY_FIGURES].[].[ZCONSENSUSDEMAND]_x000D_
[LOCID].[].[7K10]_x000D_
[PRDID].[].[10001792]_x000D_
[KEY_FIGURES].[].[INDEPENDENTDEMAND]_x000D_
[LOCID].[].[7K10]_x000D_
[PRDID].[].[10001793]_x000D_
[KEY_FIGURES].[].[ZCONSENSUSDEMANDQTY]_x000D_
[LOCID].[].[7K10]_x000D_
[PRDID].[].[10001793]_x000D_
[KEY_FIGURES].[].[ZINPUTSOFC]_x000D_
[LOCID].[].[7K10]_x000D_
[PRDID].[].[10001793]_x000D_
[KEY_FIGURES].[].[ZFORECASTOPENOUTPUT]_x000D_
[LOCID].[].[7K10]_x000D_
[PRDID].[].[10001793]_x000D_
[KEY_FIGURES].[].[ZACTUALSALES]_x000D_
[LOCID].[].[7K10]_x000D_
[PRDID].[].[10001793]_x000D_
[KEY_FIGURES].[].[ZCONSENSUSDEMAND]_x000D_
[LOCID].[].[7K10]_x000D_
[PRDID].[].[10001793]_x000D_
[KEY_FIGURES].[].[INDEPENDENTDEMAND]_x000D_
[LOCID].[].[7K10]_x000D_
[PRDID].[].[10001794]_x000D_
[KEY_FIGURES].[].[ZCONSENSUSDEMANDQTY]_x000D_
[LOCID].[].[7K10]_x000D_
[PRDID].[].[10001794]_x000D_
[KEY_FIGURES].[].[ZINPUTSOFC]_x000D_
[LOCID].[].[7K10]_x000D_
[PRDID].[].[10001794]_x000D_
[KEY_FIGURES].[].[ZFORECASTOPENOUTPUT]_x000D_
[LOCID].[].[7K10]_x000D_
[PRDID].[].[10001794]_x000D_
[KEY_FIGURES].[].[ZACTUALSALES]_x000D_
[LOCID].[].[7K10]_x000D_
[PRDID].[].[10001794]_x000D_
[KEY_FIGURES].[].[ZCONSENSUSDEMAND]_x000D_
[LOCID].[].[7K10]_x000D_
[PRDID].[].[10001794]_x000D_
[KEY_FIGURES].[].[INDEPENDENTDEMAND]_x000D_
[LOCID].[].[7K10]_x000D_
[PRDID].[].[10001795]_x000D_
[KEY_FIGURES].[].[ZCONSENSUSDEMANDQTY]_x000D_
[LOCID].[].[7K10]_x000D_
[PRDID].[].[10001795]_x000D_
[KEY_FIGURES].[].[ZINPUTSOFC]_x000D_
[LOCID].[].[7K10]_x000D_
[PRDID].[].[10001795]_x000D_
[KEY_FIGURES].[].[ZFORECASTOPENOUTPUT]_x000D_
[LOCID].[].[7K10]_x000D_
[PRDID].[].[10001795]_x000D_
[KEY_FIGURES].[].[ZACTUALSALES]_x000D_
[LOCID].[].[7K10]_x000D_
[PRDID].[].[10001795]_x000D_
[KEY_FIGURES].[].[ZCONSENSUSDEMAND]_x000D_
[LOCID].[].[7K10]_x000D_
[PRDID].[].[10001795]_x000D_
[KEY_FIGURES].[].[INDEPENDENTDEMAND]_x000D_
[LOCID].[].[7K10]_x000D_
[PRDID].[].[10001797]_x000D_
[KEY_FIGURES].[].[ZCONSENSUSDEMANDQTY]_x000D_
[LOCID].[].[7K10]_x000D_
[PRDID].[].[10001797]_x000D_
[KEY_FIGURES].[].[ZINPUTSOFC]_x000D_
[LOCID].[].[7K10]_x000D_
[PRDID].[].[10001797]_x000D_
[KEY_FIGURES].[].[ZFORECASTOPENOUTPUT]_x000D_
[LOCID].[].[7K10]_x000D_
[PRDID].[].[10001797]_x000D_
[KEY_FIGURES].[].[ZACTUALSALES]_x000D_
[LOCID].[].[7K10]_x000D_
[PRDID].[].[10001797]_x000D_
[KEY_FIGURES].[].[ZCONSENSUSDEMAND]_x000D_
[LOCID].[].[7K10]_x000D_
[PRDID].[].[10001797]_x000D_
[KEY_FIGURES].[].[INDEPENDENTDEMAND]_x000D_
[LOCID].[].[7K10]_x000D_
[PRDID].[].[10001798]_x000D_
[KEY_FIGURES].[].[ZCONSENSUSDEMANDQTY]_x000D_
[LOCID].[].[7K10]_x000D_
[PRDID].[].[10001798]_x000D_
[KEY_FIGURES].[].[ZINPUTSOFC]_x000D_
[LOCID].[].[7K10]_x000D_
[PRDID].[].[10001798]_x000D_
[KEY_FIGURES].[].[ZFORECASTOPENOUTPUT]_x000D_
[LOCID].[].[7K10]_x000D_
[PRDID].[].[10001798]_x000D_
[KEY_FIGURES].[].[ZACTUALSALES]_x000D_
[LOCID].[].[7K10]_x000D_
[PRDID].[].[10001798]_x000D_
[KEY_FIGURES].[].[ZCONSENSUSDEMAND]_x000D_
[LOCID].[].[7K10]_x000D_
[PRDID].[].[10001798]_x000D_
[KEY_FIGURES].[].[INDEPENDENTDEMAND]_x000D_
[LOCID].[].[7K10]_x000D_
[PRDID].[].[10001799]_x000D_
[KEY_FIGURES].[].[ZCONSENSUSDEMANDQTY]_x000D_
[LOCID].[].[7K10]_x000D_
[PRDID].[].[10001799]_x000D_
[KEY_FIGURES].[].[ZINPUTSOFC]_x000D_
[LOCID].[].[7K10]_x000D_
[PRDID].[].[10001799]_x000D_
[KEY_FIGURES].[].[ZFORECASTOPENOUTPUT]_x000D_
[LOCID].[].[7K10]_x000D_
[PRDID].[].[10001799]_x000D_
[KEY_FIGURES].[].[ZACTUALSALES]_x000D_
[LOCID].[].[7K10]_x000D_
[PRDID].[].[10001799]_x000D_
[KEY_FIGURES].[].[ZCONSENSUSDEMAND]_x000D_
[LOCID].[].[7K10]_x000D_
[PRDID].[].[10001799]_x000D_
[KEY_FIGURES].[].[INDEPENDENTDEMAND]_x000D_
[LOCID].[].[7K10]_x000D_
[PRDID].[].[10001800]_x000D_
[KEY_FIGURES].[].[ZCONSENSUSDEMANDQTY]_x000D_
[LOCID].[].[7K10]_x000D_
[PRDID].[].[10001800]_x000D_
[KEY_FIGURES].[].[ZINPUTSOFC]_x000D_
[LOCID].[].[7K10]_x000D_
[PRDID].[].[10001800]_x000D_
[KEY_FIGURES].[].[ZFORECASTOPENOUTPUT]_x000D_
[LOCID].[].[7K10]_x000D_
[PRDID].[].[10001800]_x000D_
[KEY_FIGURES].[].[ZACTUALSALES]_x000D_
[LOCID].[].[7K10]_x000D_
[PRDID].[].[10001800]_x000D_
[KEY_FIGURES].[].[ZCONSENSUSDEMAND]_x000D_
[LOCID].[].[7K10]_x000D_
[PRDID].[].[10001800]_x000D_
[KEY_FIGURES].[].[INDEPENDENTDEMAND]_x000D_
[LOCID].[].[7K10]_x000D_
[PRDID].[].[10001802]</t>
  </si>
  <si>
    <t>[KEY_FIGURES].[].[ZCONSENSUSDEMANDQTY]_x000D_
[LOCID].[].[7K10]_x000D_
[PRDID].[].[10001802]_x000D_
[KEY_FIGURES].[].[ZINPUTSOFC]_x000D_
[LOCID].[].[7K10]_x000D_
[PRDID].[].[10001802]_x000D_
[KEY_FIGURES].[].[ZFORECASTOPENOUTPUT]_x000D_
[LOCID].[].[7K10]_x000D_
[PRDID].[].[10001802]_x000D_
[KEY_FIGURES].[].[ZACTUALSALES]_x000D_
[LOCID].[].[7K10]_x000D_
[PRDID].[].[10001802]_x000D_
[KEY_FIGURES].[].[ZCONSENSUSDEMAND]_x000D_
[LOCID].[].[7K10]_x000D_
[PRDID].[].[10001802]_x000D_
[KEY_FIGURES].[].[INDEPENDENTDEMAND]_x000D_
[LOCID].[].[7K10]_x000D_
[PRDID].[].[10001803]_x000D_
[KEY_FIGURES].[].[ZCONSENSUSDEMANDQTY]_x000D_
[LOCID].[].[7K10]_x000D_
[PRDID].[].[10001803]_x000D_
[KEY_FIGURES].[].[ZINPUTSOFC]_x000D_
[LOCID].[].[7K10]_x000D_
[PRDID].[].[10001803]_x000D_
[KEY_FIGURES].[].[ZFORECASTOPENOUTPUT]_x000D_
[LOCID].[].[7K10]_x000D_
[PRDID].[].[10001803]_x000D_
[KEY_FIGURES].[].[ZACTUALSALES]_x000D_
[LOCID].[].[7K10]_x000D_
[PRDID].[].[10001803]_x000D_
[KEY_FIGURES].[].[ZCONSENSUSDEMAND]_x000D_
[LOCID].[].[7K10]_x000D_
[PRDID].[].[10001803]_x000D_
[KEY_FIGURES].[].[INDEPENDENTDEMAND]_x000D_
[LOCID].[].[7K10]_x000D_
[PRDID].[].[10001804]_x000D_
[KEY_FIGURES].[].[ZCONSENSUSDEMANDQTY]_x000D_
[LOCID].[].[7K10]_x000D_
[PRDID].[].[10001804]_x000D_
[KEY_FIGURES].[].[ZINPUTSOFC]_x000D_
[LOCID].[].[7K10]_x000D_
[PRDID].[].[10001804]_x000D_
[KEY_FIGURES].[].[ZFORECASTOPENOUTPUT]_x000D_
[LOCID].[].[7K10]_x000D_
[PRDID].[].[10001804]_x000D_
[KEY_FIGURES].[].[ZACTUALSALES]_x000D_
[LOCID].[].[7K10]_x000D_
[PRDID].[].[10001804]_x000D_
[KEY_FIGURES].[].[ZCONSENSUSDEMAND]_x000D_
[LOCID].[].[7K10]_x000D_
[PRDID].[].[10001804]_x000D_
[KEY_FIGURES].[].[INDEPENDENTDEMAND]_x000D_
[LOCID].[].[7K10]_x000D_
[PRDID].[].[10001805]_x000D_
[KEY_FIGURES].[].[ZCONSENSUSDEMANDQTY]_x000D_
[LOCID].[].[7K10]_x000D_
[PRDID].[].[10001805]_x000D_
[KEY_FIGURES].[].[ZINPUTSOFC]_x000D_
[LOCID].[].[7K10]_x000D_
[PRDID].[].[10001805]_x000D_
[KEY_FIGURES].[].[ZFORECASTOPENOUTPUT]_x000D_
[LOCID].[].[7K10]_x000D_
[PRDID].[].[10001805]_x000D_
[KEY_FIGURES].[].[ZACTUALSALES]_x000D_
[LOCID].[].[7K10]_x000D_
[PRDID].[].[10001805]_x000D_
[KEY_FIGURES].[].[ZCONSENSUSDEMAND]_x000D_
[LOCID].[].[7K10]_x000D_
[PRDID].[].[10001805]_x000D_
[KEY_FIGURES].[].[INDEPENDENTDEMAND]_x000D_
[LOCID].[].[7K10]_x000D_
[PRDID].[].[10001806]_x000D_
[KEY_FIGURES].[].[ZCONSENSUSDEMANDQTY]_x000D_
[LOCID].[].[7K10]_x000D_
[PRDID].[].[10001806]_x000D_
[KEY_FIGURES].[].[ZINPUTSOFC]_x000D_
[LOCID].[].[7K10]_x000D_
[PRDID].[].[10001806]_x000D_
[KEY_FIGURES].[].[ZFORECASTOPENOUTPUT]_x000D_
[LOCID].[].[7K10]_x000D_
[PRDID].[].[10001806]_x000D_
[KEY_FIGURES].[].[ZACTUALSALES]_x000D_
[LOCID].[].[7K10]_x000D_
[PRDID].[].[10001806]_x000D_
[KEY_FIGURES].[].[ZCONSENSUSDEMAND]_x000D_
[LOCID].[].[7K10]_x000D_
[PRDID].[].[10001806]_x000D_
[KEY_FIGURES].[].[INDEPENDENTDEMAND]_x000D_
[LOCID].[].[7K10]_x000D_
[PRDID].[].[10001807]_x000D_
[KEY_FIGURES].[].[ZCONSENSUSDEMANDQTY]_x000D_
[LOCID].[].[7K10]_x000D_
[PRDID].[].[10001807]_x000D_
[KEY_FIGURES].[].[ZINPUTSOFC]_x000D_
[LOCID].[].[7K10]_x000D_
[PRDID].[].[10001807]_x000D_
[KEY_FIGURES].[].[ZFORECASTOPENOUTPUT]_x000D_
[LOCID].[].[7K10]_x000D_
[PRDID].[].[10001807]_x000D_
[KEY_FIGURES].[].[ZACTUALSALES]_x000D_
[LOCID].[].[7K10]_x000D_
[PRDID].[].[10001807]_x000D_
[KEY_FIGURES].[].[ZCONSENSUSDEMAND]_x000D_
[LOCID].[].[7K10]_x000D_
[PRDID].[].[10001807]_x000D_
[KEY_FIGURES].[].[INDEPENDENTDEMAND]_x000D_
[LOCID].[].[7K10]_x000D_
[PRDID].[].[10001808]_x000D_
[KEY_FIGURES].[].[ZCONSENSUSDEMANDQTY]_x000D_
[LOCID].[].[7K10]_x000D_
[PRDID].[].[10001808]_x000D_
[KEY_FIGURES].[].[ZINPUTSOFC]_x000D_
[LOCID].[].[7K10]_x000D_
[PRDID].[].[10001808]_x000D_
[KEY_FIGURES].[].[ZFORECASTOPENOUTPUT]_x000D_
[LOCID].[].[7K10]_x000D_
[PRDID].[].[10001808]_x000D_
[KEY_FIGURES].[].[ZACTUALSALES]_x000D_
[LOCID].[].[7K10]_x000D_
[PRDID].[].[10001808]_x000D_
[KEY_FIGURES].[].[ZCONSENSUSDEMAND]_x000D_
[LOCID].[].[7K10]_x000D_
[PRDID].[].[10001808]_x000D_
[KEY_FIGURES].[].[INDEPENDENTDEMAND]_x000D_
[LOCID].[].[7K10]_x000D_
[PRDID].[].[10001809]_x000D_
[KEY_FIGURES].[].[ZCONSENSUSDEMANDQTY]_x000D_
[LOCID].[].[7K10]_x000D_
[PRDID].[].[10001809]_x000D_
[KEY_FIGURES].[].[ZINPUTSOFC]_x000D_
[LOCID].[].[7K10]_x000D_
[PRDID].[].[10001809]_x000D_
[KEY_FIGURES].[].[ZFORECASTOPENOUTPUT]_x000D_
[LOCID].[].[7K10]_x000D_
[PRDID].[].[10001809]_x000D_
[KEY_FIGURES].[].[ZACTUALSALES]_x000D_
[LOCID].[].[7K10]_x000D_
[PRDID].[].[10001809]_x000D_
[KEY_FIGURES].[].[ZCONSENSUSDEMAND]_x000D_
[LOCID].[].[7K10]_x000D_
[PRDID].[].[10001809]_x000D_
[KEY_FIGURES].[].[INDEPENDENTDEMAND]_x000D_
[LOCID].[].[7K10]_x000D_
[PRDID].[].[10001810]_x000D_
[KEY_FIGURES].[].[ZCONSENSUSDEMANDQTY]_x000D_
[LOCID].[].[7K10]_x000D_
[PRDID].[].[10001810]_x000D_
[KEY_FIGURES].[].[ZINPUTSOFC]_x000D_
[LOCID].[].[7K10]_x000D_
[PRDID].[].[10001810]_x000D_
[KEY_FIGURES].[].[ZFORECASTOPENOUTPUT]_x000D_
[LOCID].[].[7K10]_x000D_
[PRDID].[].[10001810]_x000D_
[KEY_FIGURES].[].[ZACTUALSALES]_x000D_
[LOCID].[].[7K10]_x000D_
[PRDID].[].[10001810]_x000D_
[KEY_FIGURES].[].[ZCONSENSUSDEMAND]_x000D_
[LOCID].[].[7K10]_x000D_
[PRDID].[].[10001810]_x000D_
[KEY_FIGURES].[].[INDEPENDENTDEMAND]_x000D_
[LOCID].[].[7K10]_x000D_
[PRDID].[].[10001811]_x000D_
[KEY_FIGURES].[].[ZCONSENSUSDEMANDQTY]_x000D_
[LOCID].[].[7K10]_x000D_
[PRDID].[].[10001811]_x000D_
[KEY_FIGURES].[].[ZINPUTSOFC]_x000D_
[LOCID].[].[7K10]_x000D_
[PRDID].[].[10001811]_x000D_
[KEY_FIGURES].[].[ZFORECASTOPENOUTPUT]_x000D_
[LOCID].[].[7K10]_x000D_
[PRDID].[].[10001811]_x000D_
[KEY_FIGURES].[].[ZACTUALSALES]_x000D_
[LOCID].[].[7K10]_x000D_
[PRDID].[].[10001811]_x000D_
[KEY_FIGURES].[].[ZCONSENSUSDEMAND]_x000D_
[LOCID].[].[7K10]_x000D_
[PRDID].[].[10001811]_x000D_
[KEY_FIGURES].[].[INDEPENDENTDEMAND]_x000D_
[LOCID].[].[7K10]_x000D_
[PRDID].[].[10001813]_x000D_
[KEY_FIGURES].[].[ZCONSENSUSDEMANDQTY]_x000D_
[LOCID].[].[7K10]_x000D_
[PRDID].[].[10001813]_x000D_
[KEY_FIGURES].[].[ZINPUTSOFC]_x000D_
[LOCID].[].[7K10]_x000D_
[PRDID].[].[10001813]_x000D_
[KEY_FIGURES].[].[ZFORECASTOPENOUTPUT]_x000D_
[LOCID].[].[7K10]_x000D_
[PRDID].[].[10001813]_x000D_
[KEY_FIGURES].[].[ZACTUALSALES]_x000D_
[LOCID].[].[7K10]_x000D_
[PRDID].[].[10001813]_x000D_
[KEY_FIGURES].[].[ZCONSENSUSDEMAND]_x000D_
[LOCID].[].[7K10]_x000D_
[PRDID].[].[10001813]_x000D_
[KEY_FIGURES].[].[INDEPENDENTDEMAND]_x000D_
[LOCID].[].[7K10]_x000D_
[PRDID].[].[10001814]_x000D_
[KEY_FIGURES].[].[ZCONSENSUSDEMANDQTY]_x000D_
[LOCID].[].[7K10]</t>
  </si>
  <si>
    <t>[PRDID].[].[10001814]_x000D_
[KEY_FIGURES].[].[ZINPUTSOFC]_x000D_
[LOCID].[].[7K10]_x000D_
[PRDID].[].[10001814]_x000D_
[KEY_FIGURES].[].[ZFORECASTOPENOUTPUT]_x000D_
[LOCID].[].[7K10]_x000D_
[PRDID].[].[10001814]_x000D_
[KEY_FIGURES].[].[ZACTUALSALES]_x000D_
[LOCID].[].[7K10]_x000D_
[PRDID].[].[10001814]_x000D_
[KEY_FIGURES].[].[ZCONSENSUSDEMAND]_x000D_
[LOCID].[].[7K10]_x000D_
[PRDID].[].[10001814]_x000D_
[KEY_FIGURES].[].[INDEPENDENTDEMAND]_x000D_
[LOCID].[].[7K10]_x000D_
[PRDID].[].[10001815]_x000D_
[KEY_FIGURES].[].[ZCONSENSUSDEMANDQTY]_x000D_
[LOCID].[].[7K10]_x000D_
[PRDID].[].[10001815]_x000D_
[KEY_FIGURES].[].[ZINPUTSOFC]_x000D_
[LOCID].[].[7K10]_x000D_
[PRDID].[].[10001815]_x000D_
[KEY_FIGURES].[].[ZFORECASTOPENOUTPUT]_x000D_
[LOCID].[].[7K10]_x000D_
[PRDID].[].[10001815]_x000D_
[KEY_FIGURES].[].[ZACTUALSALES]_x000D_
[LOCID].[].[7K10]_x000D_
[PRDID].[].[10001815]_x000D_
[KEY_FIGURES].[].[ZCONSENSUSDEMAND]_x000D_
[LOCID].[].[7K10]_x000D_
[PRDID].[].[10001815]_x000D_
[KEY_FIGURES].[].[INDEPENDENTDEMAND]_x000D_
[LOCID].[].[7K10]_x000D_
[PRDID].[].[10001816]_x000D_
[KEY_FIGURES].[].[ZCONSENSUSDEMANDQTY]_x000D_
[LOCID].[].[7K10]_x000D_
[PRDID].[].[10001816]_x000D_
[KEY_FIGURES].[].[ZINPUTSOFC]_x000D_
[LOCID].[].[7K10]_x000D_
[PRDID].[].[10001816]_x000D_
[KEY_FIGURES].[].[ZFORECASTOPENOUTPUT]_x000D_
[LOCID].[].[7K10]_x000D_
[PRDID].[].[10001816]_x000D_
[KEY_FIGURES].[].[ZACTUALSALES]_x000D_
[LOCID].[].[7K10]_x000D_
[PRDID].[].[10001816]_x000D_
[KEY_FIGURES].[].[ZCONSENSUSDEMAND]_x000D_
[LOCID].[].[7K10]_x000D_
[PRDID].[].[10001816]_x000D_
[KEY_FIGURES].[].[INDEPENDENTDEMAND]_x000D_
[LOCID].[].[7K10]_x000D_
[PRDID].[].[10001817]_x000D_
[KEY_FIGURES].[].[ZCONSENSUSDEMANDQTY]_x000D_
[LOCID].[].[7K10]_x000D_
[PRDID].[].[10001817]_x000D_
[KEY_FIGURES].[].[ZINPUTSOFC]_x000D_
[LOCID].[].[7K10]_x000D_
[PRDID].[].[10001817]_x000D_
[KEY_FIGURES].[].[ZFORECASTOPENOUTPUT]_x000D_
[LOCID].[].[7K10]_x000D_
[PRDID].[].[10001817]_x000D_
[KEY_FIGURES].[].[ZACTUALSALES]_x000D_
[LOCID].[].[7K10]_x000D_
[PRDID].[].[10001817]_x000D_
[KEY_FIGURES].[].[ZCONSENSUSDEMAND]_x000D_
[LOCID].[].[7K10]_x000D_
[PRDID].[].[10001817]_x000D_
[KEY_FIGURES].[].[INDEPENDENTDEMAND]_x000D_
[LOCID].[].[7K10]_x000D_
[PRDID].[].[10001818]_x000D_
[KEY_FIGURES].[].[ZCONSENSUSDEMANDQTY]_x000D_
[LOCID].[].[7K10]_x000D_
[PRDID].[].[10001818]_x000D_
[KEY_FIGURES].[].[ZINPUTSOFC]_x000D_
[LOCID].[].[7K10]_x000D_
[PRDID].[].[10001818]_x000D_
[KEY_FIGURES].[].[ZFORECASTOPENOUTPUT]_x000D_
[LOCID].[].[7K10]_x000D_
[PRDID].[].[10001818]_x000D_
[KEY_FIGURES].[].[ZACTUALSALES]_x000D_
[LOCID].[].[7K10]_x000D_
[PRDID].[].[10001818]_x000D_
[KEY_FIGURES].[].[ZCONSENSUSDEMAND]_x000D_
[LOCID].[].[7K10]_x000D_
[PRDID].[].[10001818]_x000D_
[KEY_FIGURES].[].[INDEPENDENTDEMAND]_x000D_
[LOCID].[].[7K10]_x000D_
[PRDID].[].[10001820]_x000D_
[KEY_FIGURES].[].[ZCONSENSUSDEMANDQTY]_x000D_
[LOCID].[].[7K10]_x000D_
[PRDID].[].[10001820]_x000D_
[KEY_FIGURES].[].[ZINPUTSOFC]_x000D_
[LOCID].[].[7K10]_x000D_
[PRDID].[].[10001820]_x000D_
[KEY_FIGURES].[].[ZFORECASTOPENOUTPUT]_x000D_
[LOCID].[].[7K10]_x000D_
[PRDID].[].[10001820]_x000D_
[KEY_FIGURES].[].[ZACTUALSALES]_x000D_
[LOCID].[].[7K10]_x000D_
[PRDID].[].[10001820]_x000D_
[KEY_FIGURES].[].[ZCONSENSUSDEMAND]_x000D_
[LOCID].[].[7K10]_x000D_
[PRDID].[].[10001820]_x000D_
[KEY_FIGURES].[].[INDEPENDENTDEMAND]_x000D_
[LOCID].[].[7K10]_x000D_
[PRDID].[].[10001821]_x000D_
[KEY_FIGURES].[].[ZCONSENSUSDEMANDQTY]_x000D_
[LOCID].[].[7K10]_x000D_
[PRDID].[].[10001821]_x000D_
[KEY_FIGURES].[].[ZINPUTSOFC]_x000D_
[LOCID].[].[7K10]_x000D_
[PRDID].[].[10001821]_x000D_
[KEY_FIGURES].[].[ZFORECASTOPENOUTPUT]_x000D_
[LOCID].[].[7K10]_x000D_
[PRDID].[].[10001821]_x000D_
[KEY_FIGURES].[].[ZACTUALSALES]_x000D_
[LOCID].[].[7K10]_x000D_
[PRDID].[].[10001821]_x000D_
[KEY_FIGURES].[].[ZCONSENSUSDEMAND]_x000D_
[LOCID].[].[7K10]_x000D_
[PRDID].[].[10001821]_x000D_
[KEY_FIGURES].[].[INDEPENDENTDEMAND]_x000D_
[LOCID].[].[7K10]_x000D_
[PRDID].[].[10001822]_x000D_
[KEY_FIGURES].[].[ZCONSENSUSDEMANDQTY]_x000D_
[LOCID].[].[7K10]_x000D_
[PRDID].[].[10001822]_x000D_
[KEY_FIGURES].[].[ZINPUTSOFC]_x000D_
[LOCID].[].[7K10]_x000D_
[PRDID].[].[10001822]_x000D_
[KEY_FIGURES].[].[ZFORECASTOPENOUTPUT]_x000D_
[LOCID].[].[7K10]_x000D_
[PRDID].[].[10001822]_x000D_
[KEY_FIGURES].[].[ZACTUALSALES]_x000D_
[LOCID].[].[7K10]_x000D_
[PRDID].[].[10001822]_x000D_
[KEY_FIGURES].[].[ZCONSENSUSDEMAND]_x000D_
[LOCID].[].[7K10]_x000D_
[PRDID].[].[10001822]_x000D_
[KEY_FIGURES].[].[INDEPENDENTDEMAND]_x000D_
[LOCID].[].[7K10]_x000D_
[PRDID].[].[10001823]_x000D_
[KEY_FIGURES].[].[ZCONSENSUSDEMANDQTY]_x000D_
[LOCID].[].[7K10]_x000D_
[PRDID].[].[10001823]_x000D_
[KEY_FIGURES].[].[ZINPUTSOFC]_x000D_
[LOCID].[].[7K10]_x000D_
[PRDID].[].[10001823]_x000D_
[KEY_FIGURES].[].[ZFORECASTOPENOUTPUT]_x000D_
[LOCID].[].[7K10]_x000D_
[PRDID].[].[10001823]_x000D_
[KEY_FIGURES].[].[ZACTUALSALES]_x000D_
[LOCID].[].[7K10]_x000D_
[PRDID].[].[10001823]_x000D_
[KEY_FIGURES].[].[ZCONSENSUSDEMAND]_x000D_
[LOCID].[].[7K10]_x000D_
[PRDID].[].[10001823]_x000D_
[KEY_FIGURES].[].[INDEPENDENTDEMAND]_x000D_
[LOCID].[].[7K10]_x000D_
[PRDID].[].[10001824]_x000D_
[KEY_FIGURES].[].[ZCONSENSUSDEMANDQTY]_x000D_
[LOCID].[].[7K10]_x000D_
[PRDID].[].[10001824]_x000D_
[KEY_FIGURES].[].[ZINPUTSOFC]_x000D_
[LOCID].[].[7K10]_x000D_
[PRDID].[].[10001824]_x000D_
[KEY_FIGURES].[].[ZFORECASTOPENOUTPUT]_x000D_
[LOCID].[].[7K10]_x000D_
[PRDID].[].[10001824]_x000D_
[KEY_FIGURES].[].[ZACTUALSALES]_x000D_
[LOCID].[].[7K10]_x000D_
[PRDID].[].[10001824]_x000D_
[KEY_FIGURES].[].[ZCONSENSUSDEMAND]_x000D_
[LOCID].[].[7K10]_x000D_
[PRDID].[].[10001824]_x000D_
[KEY_FIGURES].[].[INDEPENDENTDEMAND]_x000D_
[LOCID].[].[7K10]_x000D_
[PRDID].[].[10001825]_x000D_
[KEY_FIGURES].[].[ZCONSENSUSDEMANDQTY]_x000D_
[LOCID].[].[7K10]_x000D_
[PRDID].[].[10001825]_x000D_
[KEY_FIGURES].[].[ZINPUTSOFC]_x000D_
[LOCID].[].[7K10]_x000D_
[PRDID].[].[10001825]_x000D_
[KEY_FIGURES].[].[ZFORECASTOPENOUTPUT]_x000D_
[LOCID].[].[7K10]_x000D_
[PRDID].[].[10001825]_x000D_
[KEY_FIGURES].[].[ZACTUALSALES]_x000D_
[LOCID].[].[7K10]_x000D_
[PRDID].[].[10001825]_x000D_
[KEY_FIGURES].[].[ZCONSENSUSDEMAND]_x000D_
[LOCID].[].[7K10]_x000D_
[PRDID].[].[10001825]_x000D_
[KEY_FIGURES].[].[INDEPENDENTDEMAND]_x000D_
[LOCID].[].[7K10]_x000D_
[PRDID].[].[10001826]_x000D_
[KEY_FIGURES].[].[ZCONSENSUSDEMANDQTY]_x000D_
[LOCID].[].[7K10]_x000D_
[PRDID].[].[10001826]_x000D_
[KEY_FIGURES].[].[ZINPUTSOFC]</t>
  </si>
  <si>
    <t>[LOCID].[].[7K10]_x000D_
[PRDID].[].[10001826]_x000D_
[KEY_FIGURES].[].[ZFORECASTOPENOUTPUT]_x000D_
[LOCID].[].[7K10]_x000D_
[PRDID].[].[10001826]_x000D_
[KEY_FIGURES].[].[ZACTUALSALES]_x000D_
[LOCID].[].[7K10]_x000D_
[PRDID].[].[10001826]_x000D_
[KEY_FIGURES].[].[ZCONSENSUSDEMAND]_x000D_
[LOCID].[].[7K10]_x000D_
[PRDID].[].[10001826]_x000D_
[KEY_FIGURES].[].[INDEPENDENTDEMAND]_x000D_
[LOCID].[].[7K10]_x000D_
[PRDID].[].[10001827]_x000D_
[KEY_FIGURES].[].[ZCONSENSUSDEMANDQTY]_x000D_
[LOCID].[].[7K10]_x000D_
[PRDID].[].[10001827]_x000D_
[KEY_FIGURES].[].[ZINPUTSOFC]_x000D_
[LOCID].[].[7K10]_x000D_
[PRDID].[].[10001827]_x000D_
[KEY_FIGURES].[].[ZFORECASTOPENOUTPUT]_x000D_
[LOCID].[].[7K10]_x000D_
[PRDID].[].[10001827]_x000D_
[KEY_FIGURES].[].[ZACTUALSALES]_x000D_
[LOCID].[].[7K10]_x000D_
[PRDID].[].[10001827]_x000D_
[KEY_FIGURES].[].[ZCONSENSUSDEMAND]_x000D_
[LOCID].[].[7K10]_x000D_
[PRDID].[].[10001827]_x000D_
[KEY_FIGURES].[].[INDEPENDENTDEMAND]_x000D_
[LOCID].[].[7K10]_x000D_
[PRDID].[].[10001828]_x000D_
[KEY_FIGURES].[].[ZCONSENSUSDEMANDQTY]_x000D_
[LOCID].[].[7K10]_x000D_
[PRDID].[].[10001828]_x000D_
[KEY_FIGURES].[].[ZINPUTSOFC]_x000D_
[LOCID].[].[7K10]_x000D_
[PRDID].[].[10001828]_x000D_
[KEY_FIGURES].[].[ZFORECASTOPENOUTPUT]_x000D_
[LOCID].[].[7K10]_x000D_
[PRDID].[].[10001828]_x000D_
[KEY_FIGURES].[].[ZACTUALSALES]_x000D_
[LOCID].[].[7K10]_x000D_
[PRDID].[].[10001828]_x000D_
[KEY_FIGURES].[].[ZCONSENSUSDEMAND]_x000D_
[LOCID].[].[7K10]_x000D_
[PRDID].[].[10001828]_x000D_
[KEY_FIGURES].[].[INDEPENDENTDEMAND]_x000D_
[LOCID].[].[7K10]_x000D_
[PRDID].[].[10001829]_x000D_
[KEY_FIGURES].[].[ZCONSENSUSDEMANDQTY]_x000D_
[LOCID].[].[7K10]_x000D_
[PRDID].[].[10001829]_x000D_
[KEY_FIGURES].[].[ZINPUTSOFC]_x000D_
[LOCID].[].[7K10]_x000D_
[PRDID].[].[10001829]_x000D_
[KEY_FIGURES].[].[ZFORECASTOPENOUTPUT]_x000D_
[LOCID].[].[7K10]_x000D_
[PRDID].[].[10001829]_x000D_
[KEY_FIGURES].[].[ZACTUALSALES]_x000D_
[LOCID].[].[7K10]_x000D_
[PRDID].[].[10001829]_x000D_
[KEY_FIGURES].[].[ZCONSENSUSDEMAND]_x000D_
[LOCID].[].[7K10]_x000D_
[PRDID].[].[10001829]_x000D_
[KEY_FIGURES].[].[INDEPENDENTDEMAND]_x000D_
[LOCID].[].[7K10]_x000D_
[PRDID].[].[10001830]_x000D_
[KEY_FIGURES].[].[ZCONSENSUSDEMANDQTY]_x000D_
[LOCID].[].[7K10]_x000D_
[PRDID].[].[10001830]_x000D_
[KEY_FIGURES].[].[ZINPUTSOFC]_x000D_
[LOCID].[].[7K10]_x000D_
[PRDID].[].[10001830]_x000D_
[KEY_FIGURES].[].[ZFORECASTOPENOUTPUT]_x000D_
[LOCID].[].[7K10]_x000D_
[PRDID].[].[10001830]_x000D_
[KEY_FIGURES].[].[ZACTUALSALES]_x000D_
[LOCID].[].[7K10]_x000D_
[PRDID].[].[10001830]_x000D_
[KEY_FIGURES].[].[ZCONSENSUSDEMAND]_x000D_
[LOCID].[].[7K10]_x000D_
[PRDID].[].[10001830]_x000D_
[KEY_FIGURES].[].[INDEPENDENTDEMAND]_x000D_
[LOCID].[].[7K10]_x000D_
[PRDID].[].[10001831]_x000D_
[KEY_FIGURES].[].[ZCONSENSUSDEMANDQTY]_x000D_
[LOCID].[].[7K10]_x000D_
[PRDID].[].[10001831]_x000D_
[KEY_FIGURES].[].[ZINPUTSOFC]_x000D_
[LOCID].[].[7K10]_x000D_
[PRDID].[].[10001831]_x000D_
[KEY_FIGURES].[].[ZFORECASTOPENOUTPUT]_x000D_
[LOCID].[].[7K10]_x000D_
[PRDID].[].[10001831]_x000D_
[KEY_FIGURES].[].[ZACTUALSALES]_x000D_
[LOCID].[].[7K10]_x000D_
[PRDID].[].[10001831]_x000D_
[KEY_FIGURES].[].[ZCONSENSUSDEMAND]_x000D_
[LOCID].[].[7K10]_x000D_
[PRDID].[].[10001831]_x000D_
[KEY_FIGURES].[].[INDEPENDENTDEMAND]_x000D_
[LOCID].[].[7K10]_x000D_
[PRDID].[].[10001832]_x000D_
[KEY_FIGURES].[].[ZCONSENSUSDEMANDQTY]_x000D_
[LOCID].[].[7K10]_x000D_
[PRDID].[].[10001832]_x000D_
[KEY_FIGURES].[].[ZINPUTSOFC]_x000D_
[LOCID].[].[7K10]_x000D_
[PRDID].[].[10001832]_x000D_
[KEY_FIGURES].[].[ZFORECASTOPENOUTPUT]_x000D_
[LOCID].[].[7K10]_x000D_
[PRDID].[].[10001832]_x000D_
[KEY_FIGURES].[].[ZACTUALSALES]_x000D_
[LOCID].[].[7K10]_x000D_
[PRDID].[].[10001832]_x000D_
[KEY_FIGURES].[].[ZCONSENSUSDEMAND]_x000D_
[LOCID].[].[7K10]_x000D_
[PRDID].[].[10001832]_x000D_
[KEY_FIGURES].[].[INDEPENDENTDEMAND]_x000D_
[LOCID].[].[7K10]_x000D_
[PRDID].[].[10001833]_x000D_
[KEY_FIGURES].[].[ZCONSENSUSDEMANDQTY]_x000D_
[LOCID].[].[7K10]_x000D_
[PRDID].[].[10001833]_x000D_
[KEY_FIGURES].[].[ZINPUTSOFC]_x000D_
[LOCID].[].[7K10]_x000D_
[PRDID].[].[10001833]_x000D_
[KEY_FIGURES].[].[ZFORECASTOPENOUTPUT]_x000D_
[LOCID].[].[7K10]_x000D_
[PRDID].[].[10001833]_x000D_
[KEY_FIGURES].[].[ZACTUALSALES]_x000D_
[LOCID].[].[7K10]_x000D_
[PRDID].[].[10001833]_x000D_
[KEY_FIGURES].[].[ZCONSENSUSDEMAND]_x000D_
[LOCID].[].[7K10]_x000D_
[PRDID].[].[10001833]_x000D_
[KEY_FIGURES].[].[INDEPENDENTDEMAND]_x000D_
[LOCID].[].[7K10]_x000D_
[PRDID].[].[10001834]_x000D_
[KEY_FIGURES].[].[ZCONSENSUSDEMANDQTY]_x000D_
[LOCID].[].[7K10]_x000D_
[PRDID].[].[10001834]_x000D_
[KEY_FIGURES].[].[ZINPUTSOFC]_x000D_
[LOCID].[].[7K10]_x000D_
[PRDID].[].[10001834]_x000D_
[KEY_FIGURES].[].[ZFORECASTOPENOUTPUT]_x000D_
[LOCID].[].[7K10]_x000D_
[PRDID].[].[10001834]_x000D_
[KEY_FIGURES].[].[ZACTUALSALES]_x000D_
[LOCID].[].[7K10]_x000D_
[PRDID].[].[10001834]_x000D_
[KEY_FIGURES].[].[ZCONSENSUSDEMAND]_x000D_
[LOCID].[].[7K10]_x000D_
[PRDID].[].[10001834]_x000D_
[KEY_FIGURES].[].[INDEPENDENTDEMAND]_x000D_
[LOCID].[].[7K10]_x000D_
[PRDID].[].[10001835]_x000D_
[KEY_FIGURES].[].[ZCONSENSUSDEMANDQTY]_x000D_
[LOCID].[].[7K10]_x000D_
[PRDID].[].[10001835]_x000D_
[KEY_FIGURES].[].[ZINPUTSOFC]_x000D_
[LOCID].[].[7K10]_x000D_
[PRDID].[].[10001835]_x000D_
[KEY_FIGURES].[].[ZFORECASTOPENOUTPUT]_x000D_
[LOCID].[].[7K10]_x000D_
[PRDID].[].[10001835]_x000D_
[KEY_FIGURES].[].[ZACTUALSALES]_x000D_
[LOCID].[].[7K10]_x000D_
[PRDID].[].[10001835]_x000D_
[KEY_FIGURES].[].[ZCONSENSUSDEMAND]_x000D_
[LOCID].[].[7K10]_x000D_
[PRDID].[].[10001835]_x000D_
[KEY_FIGURES].[].[INDEPENDENTDEMAND]_x000D_
[LOCID].[].[7K10]_x000D_
[PRDID].[].[10001836]_x000D_
[KEY_FIGURES].[].[ZCONSENSUSDEMANDQTY]_x000D_
[LOCID].[].[7K10]_x000D_
[PRDID].[].[10001836]_x000D_
[KEY_FIGURES].[].[ZINPUTSOFC]_x000D_
[LOCID].[].[7K10]_x000D_
[PRDID].[].[10001836]_x000D_
[KEY_FIGURES].[].[ZFORECASTOPENOUTPUT]_x000D_
[LOCID].[].[7K10]_x000D_
[PRDID].[].[10001836]_x000D_
[KEY_FIGURES].[].[ZACTUALSALES]_x000D_
[LOCID].[].[7K10]_x000D_
[PRDID].[].[10001836]_x000D_
[KEY_FIGURES].[].[ZCONSENSUSDEMAND]_x000D_
[LOCID].[].[7K10]_x000D_
[PRDID].[].[10001836]_x000D_
[KEY_FIGURES].[].[INDEPENDENTDEMAND]_x000D_
[LOCID].[].[7K10]_x000D_
[PRDID].[].[10001837]_x000D_
[KEY_FIGURES].[].[ZCONSENSUSDEMANDQTY]_x000D_
[LOCID].[].[7K10]_x000D_
[PRDID].[].[10001837]_x000D_
[KEY_FIGURES].[].[ZINPUTSOFC]_x000D_
[LOCID].[].[7K10]_x000D_
[PRDID].[].[10001837]</t>
  </si>
  <si>
    <t>[KEY_FIGURES].[].[ZFORECASTOPENOUTPUT]_x000D_
[LOCID].[].[7K10]_x000D_
[PRDID].[].[10001837]_x000D_
[KEY_FIGURES].[].[ZACTUALSALES]_x000D_
[LOCID].[].[7K10]_x000D_
[PRDID].[].[10001837]_x000D_
[KEY_FIGURES].[].[ZCONSENSUSDEMAND]_x000D_
[LOCID].[].[7K10]_x000D_
[PRDID].[].[10001837]_x000D_
[KEY_FIGURES].[].[INDEPENDENTDEMAND]_x000D_
[LOCID].[].[7K10]_x000D_
[PRDID].[].[10001838]_x000D_
[KEY_FIGURES].[].[ZCONSENSUSDEMANDQTY]_x000D_
[LOCID].[].[7K10]_x000D_
[PRDID].[].[10001838]_x000D_
[KEY_FIGURES].[].[ZINPUTSOFC]_x000D_
[LOCID].[].[7K10]_x000D_
[PRDID].[].[10001838]_x000D_
[KEY_FIGURES].[].[ZFORECASTOPENOUTPUT]_x000D_
[LOCID].[].[7K10]_x000D_
[PRDID].[].[10001838]_x000D_
[KEY_FIGURES].[].[ZACTUALSALES]_x000D_
[LOCID].[].[7K10]_x000D_
[PRDID].[].[10001838]_x000D_
[KEY_FIGURES].[].[ZCONSENSUSDEMAND]_x000D_
[LOCID].[].[7K10]_x000D_
[PRDID].[].[10001838]_x000D_
[KEY_FIGURES].[].[INDEPENDENTDEMAND]_x000D_
[LOCID].[].[7K10]_x000D_
[PRDID].[].[10001839]_x000D_
[KEY_FIGURES].[].[ZCONSENSUSDEMANDQTY]_x000D_
[LOCID].[].[7K10]_x000D_
[PRDID].[].[10001839]_x000D_
[KEY_FIGURES].[].[ZINPUTSOFC]_x000D_
[LOCID].[].[7K10]_x000D_
[PRDID].[].[10001839]_x000D_
[KEY_FIGURES].[].[ZFORECASTOPENOUTPUT]_x000D_
[LOCID].[].[7K10]_x000D_
[PRDID].[].[10001839]_x000D_
[KEY_FIGURES].[].[ZACTUALSALES]_x000D_
[LOCID].[].[7K10]_x000D_
[PRDID].[].[10001839]_x000D_
[KEY_FIGURES].[].[ZCONSENSUSDEMAND]_x000D_
[LOCID].[].[7K10]_x000D_
[PRDID].[].[10001839]_x000D_
[KEY_FIGURES].[].[INDEPENDENTDEMAND]_x000D_
[LOCID].[].[7K10]_x000D_
[PRDID].[].[10001840]_x000D_
[KEY_FIGURES].[].[ZCONSENSUSDEMANDQTY]_x000D_
[LOCID].[].[7K10]_x000D_
[PRDID].[].[10001840]_x000D_
[KEY_FIGURES].[].[ZINPUTSOFC]_x000D_
[LOCID].[].[7K10]_x000D_
[PRDID].[].[10001840]_x000D_
[KEY_FIGURES].[].[ZFORECASTOPENOUTPUT]_x000D_
[LOCID].[].[7K10]_x000D_
[PRDID].[].[10001840]_x000D_
[KEY_FIGURES].[].[ZACTUALSALES]_x000D_
[LOCID].[].[7K10]_x000D_
[PRDID].[].[10001840]_x000D_
[KEY_FIGURES].[].[ZCONSENSUSDEMAND]_x000D_
[LOCID].[].[7K10]_x000D_
[PRDID].[].[10001840]_x000D_
[KEY_FIGURES].[].[INDEPENDENTDEMAND]_x000D_
[LOCID].[].[7K10]_x000D_
[PRDID].[].[10001841]_x000D_
[KEY_FIGURES].[].[ZCONSENSUSDEMANDQTY]_x000D_
[LOCID].[].[7K10]_x000D_
[PRDID].[].[10001841]_x000D_
[KEY_FIGURES].[].[ZINPUTSOFC]_x000D_
[LOCID].[].[7K10]_x000D_
[PRDID].[].[10001841]_x000D_
[KEY_FIGURES].[].[ZFORECASTOPENOUTPUT]_x000D_
[LOCID].[].[7K10]_x000D_
[PRDID].[].[10001841]_x000D_
[KEY_FIGURES].[].[ZACTUALSALES]_x000D_
[LOCID].[].[7K10]_x000D_
[PRDID].[].[10001841]_x000D_
[KEY_FIGURES].[].[ZCONSENSUSDEMAND]_x000D_
[LOCID].[].[7K10]_x000D_
[PRDID].[].[10001841]_x000D_
[KEY_FIGURES].[].[INDEPENDENTDEMAND]_x000D_
[LOCID].[].[7K10]_x000D_
[PRDID].[].[10001842]_x000D_
[KEY_FIGURES].[].[ZCONSENSUSDEMANDQTY]_x000D_
[LOCID].[].[7K10]_x000D_
[PRDID].[].[10001842]_x000D_
[KEY_FIGURES].[].[ZINPUTSOFC]_x000D_
[LOCID].[].[7K10]_x000D_
[PRDID].[].[10001842]_x000D_
[KEY_FIGURES].[].[ZFORECASTOPENOUTPUT]_x000D_
[LOCID].[].[7K10]_x000D_
[PRDID].[].[10001842]_x000D_
[KEY_FIGURES].[].[ZACTUALSALES]_x000D_
[LOCID].[].[7K10]_x000D_
[PRDID].[].[10001842]_x000D_
[KEY_FIGURES].[].[ZCONSENSUSDEMAND]_x000D_
[LOCID].[].[7K10]_x000D_
[PRDID].[].[10001842]_x000D_
[KEY_FIGURES].[].[INDEPENDENTDEMAND]_x000D_
[LOCID].[].[7K10]_x000D_
[PRDID].[].[10001843]_x000D_
[KEY_FIGURES].[].[ZCONSENSUSDEMANDQTY]_x000D_
[LOCID].[].[7K10]_x000D_
[PRDID].[].[10001843]_x000D_
[KEY_FIGURES].[].[ZINPUTSOFC]_x000D_
[LOCID].[].[7K10]_x000D_
[PRDID].[].[10001843]_x000D_
[KEY_FIGURES].[].[ZFORECASTOPENOUTPUT]_x000D_
[LOCID].[].[7K10]_x000D_
[PRDID].[].[10001843]_x000D_
[KEY_FIGURES].[].[ZACTUALSALES]_x000D_
[LOCID].[].[7K10]_x000D_
[PRDID].[].[10001843]_x000D_
[KEY_FIGURES].[].[ZCONSENSUSDEMAND]_x000D_
[LOCID].[].[7K10]_x000D_
[PRDID].[].[10001843]_x000D_
[KEY_FIGURES].[].[INDEPENDENTDEMAND]_x000D_
[LOCID].[].[7K10]_x000D_
[PRDID].[].[10001844]_x000D_
[KEY_FIGURES].[].[ZCONSENSUSDEMANDQTY]_x000D_
[LOCID].[].[7K10]_x000D_
[PRDID].[].[10001844]_x000D_
[KEY_FIGURES].[].[ZINPUTSOFC]_x000D_
[LOCID].[].[7K10]_x000D_
[PRDID].[].[10001844]_x000D_
[KEY_FIGURES].[].[ZFORECASTOPENOUTPUT]_x000D_
[LOCID].[].[7K10]_x000D_
[PRDID].[].[10001844]_x000D_
[KEY_FIGURES].[].[ZACTUALSALES]_x000D_
[LOCID].[].[7K10]_x000D_
[PRDID].[].[10001844]_x000D_
[KEY_FIGURES].[].[ZCONSENSUSDEMAND]_x000D_
[LOCID].[].[7K10]_x000D_
[PRDID].[].[10001844]_x000D_
[KEY_FIGURES].[].[INDEPENDENTDEMAND]_x000D_
[LOCID].[].[7K10]_x000D_
[PRDID].[].[10001845]_x000D_
[KEY_FIGURES].[].[ZCONSENSUSDEMANDQTY]_x000D_
[LOCID].[].[7K10]_x000D_
[PRDID].[].[10001845]_x000D_
[KEY_FIGURES].[].[ZINPUTSOFC]_x000D_
[LOCID].[].[7K10]_x000D_
[PRDID].[].[10001845]_x000D_
[KEY_FIGURES].[].[ZFORECASTOPENOUTPUT]_x000D_
[LOCID].[].[7K10]_x000D_
[PRDID].[].[10001845]_x000D_
[KEY_FIGURES].[].[ZACTUALSALES]_x000D_
[LOCID].[].[7K10]_x000D_
[PRDID].[].[10001845]_x000D_
[KEY_FIGURES].[].[ZCONSENSUSDEMAND]_x000D_
[LOCID].[].[7K10]_x000D_
[PRDID].[].[10001845]_x000D_
[KEY_FIGURES].[].[INDEPENDENTDEMAND]_x000D_
[LOCID].[].[7K10]_x000D_
[PRDID].[].[10001846]_x000D_
[KEY_FIGURES].[].[ZCONSENSUSDEMANDQTY]_x000D_
[LOCID].[].[7K10]_x000D_
[PRDID].[].[10001846]_x000D_
[KEY_FIGURES].[].[ZINPUTSOFC]_x000D_
[LOCID].[].[7K10]_x000D_
[PRDID].[].[10001846]_x000D_
[KEY_FIGURES].[].[ZFORECASTOPENOUTPUT]_x000D_
[LOCID].[].[7K10]_x000D_
[PRDID].[].[10001846]_x000D_
[KEY_FIGURES].[].[ZACTUALSALES]_x000D_
[LOCID].[].[7K10]_x000D_
[PRDID].[].[10001846]_x000D_
[KEY_FIGURES].[].[ZCONSENSUSDEMAND]_x000D_
[LOCID].[].[7K10]_x000D_
[PRDID].[].[10001846]_x000D_
[KEY_FIGURES].[].[INDEPENDENTDEMAND]_x000D_
[LOCID].[].[7K10]_x000D_
[PRDID].[].[10001847]_x000D_
[KEY_FIGURES].[].[ZCONSENSUSDEMANDQTY]_x000D_
[LOCID].[].[7K10]_x000D_
[PRDID].[].[10001847]_x000D_
[KEY_FIGURES].[].[ZINPUTSOFC]_x000D_
[LOCID].[].[7K10]_x000D_
[PRDID].[].[10001847]_x000D_
[KEY_FIGURES].[].[ZFORECASTOPENOUTPUT]_x000D_
[LOCID].[].[7K10]_x000D_
[PRDID].[].[10001847]_x000D_
[KEY_FIGURES].[].[ZACTUALSALES]_x000D_
[LOCID].[].[7K10]_x000D_
[PRDID].[].[10001847]_x000D_
[KEY_FIGURES].[].[ZCONSENSUSDEMAND]_x000D_
[LOCID].[].[7K10]_x000D_
[PRDID].[].[10001847]_x000D_
[KEY_FIGURES].[].[INDEPENDENTDEMAND]_x000D_
[LOCID].[].[7K10]_x000D_
[PRDID].[].[10001848]_x000D_
[KEY_FIGURES].[].[ZCONSENSUSDEMANDQTY]_x000D_
[LOCID].[].[7K10]_x000D_
[PRDID].[].[10001848]_x000D_
[KEY_FIGURES].[].[ZINPUTSOFC]_x000D_
[LOCID].[].[7K10]_x000D_
[PRDID].[].[10001848]_x000D_
[KEY_FIGURES].[].[ZFORECASTOPENOUTPUT]_x000D_
[LOCID].[].[7K10]</t>
  </si>
  <si>
    <t>[PRDID].[].[10001848]_x000D_
[KEY_FIGURES].[].[ZACTUALSALES]_x000D_
[LOCID].[].[7K10]_x000D_
[PRDID].[].[10001848]_x000D_
[KEY_FIGURES].[].[ZCONSENSUSDEMAND]_x000D_
[LOCID].[].[7K10]_x000D_
[PRDID].[].[10001848]_x000D_
[KEY_FIGURES].[].[INDEPENDENTDEMAND]_x000D_
[LOCID].[].[7K10]_x000D_
[PRDID].[].[10001849]_x000D_
[KEY_FIGURES].[].[ZCONSENSUSDEMANDQTY]_x000D_
[LOCID].[].[7K10]_x000D_
[PRDID].[].[10001849]_x000D_
[KEY_FIGURES].[].[ZINPUTSOFC]_x000D_
[LOCID].[].[7K10]_x000D_
[PRDID].[].[10001849]_x000D_
[KEY_FIGURES].[].[ZFORECASTOPENOUTPUT]_x000D_
[LOCID].[].[7K10]_x000D_
[PRDID].[].[10001849]_x000D_
[KEY_FIGURES].[].[ZACTUALSALES]_x000D_
[LOCID].[].[7K10]_x000D_
[PRDID].[].[10001849]_x000D_
[KEY_FIGURES].[].[ZCONSENSUSDEMAND]_x000D_
[LOCID].[].[7K10]_x000D_
[PRDID].[].[10001849]_x000D_
[KEY_FIGURES].[].[INDEPENDENTDEMAND]_x000D_
[LOCID].[].[7K10]_x000D_
[PRDID].[].[10001850]_x000D_
[KEY_FIGURES].[].[ZCONSENSUSDEMANDQTY]_x000D_
[LOCID].[].[7K10]_x000D_
[PRDID].[].[10001850]_x000D_
[KEY_FIGURES].[].[ZINPUTSOFC]_x000D_
[LOCID].[].[7K10]_x000D_
[PRDID].[].[10001850]_x000D_
[KEY_FIGURES].[].[ZFORECASTOPENOUTPUT]_x000D_
[LOCID].[].[7K10]_x000D_
[PRDID].[].[10001850]_x000D_
[KEY_FIGURES].[].[ZACTUALSALES]_x000D_
[LOCID].[].[7K10]_x000D_
[PRDID].[].[10001850]_x000D_
[KEY_FIGURES].[].[ZCONSENSUSDEMAND]_x000D_
[LOCID].[].[7K10]_x000D_
[PRDID].[].[10001850]_x000D_
[KEY_FIGURES].[].[INDEPENDENTDEMAND]_x000D_
[LOCID].[].[7K10]_x000D_
[PRDID].[].[10001851]_x000D_
[KEY_FIGURES].[].[ZCONSENSUSDEMANDQTY]_x000D_
[LOCID].[].[7K10]_x000D_
[PRDID].[].[10001851]_x000D_
[KEY_FIGURES].[].[ZINPUTSOFC]_x000D_
[LOCID].[].[7K10]_x000D_
[PRDID].[].[10001851]_x000D_
[KEY_FIGURES].[].[ZFORECASTOPENOUTPUT]_x000D_
[LOCID].[].[7K10]_x000D_
[PRDID].[].[10001851]_x000D_
[KEY_FIGURES].[].[ZACTUALSALES]_x000D_
[LOCID].[].[7K10]_x000D_
[PRDID].[].[10001851]_x000D_
[KEY_FIGURES].[].[ZCONSENSUSDEMAND]_x000D_
[LOCID].[].[7K10]_x000D_
[PRDID].[].[10001851]_x000D_
[KEY_FIGURES].[].[INDEPENDENTDEMAND]_x000D_
[LOCID].[].[7K10]_x000D_
[PRDID].[].[10001852]_x000D_
[KEY_FIGURES].[].[ZCONSENSUSDEMANDQTY]_x000D_
[LOCID].[].[7K10]_x000D_
[PRDID].[].[10001852]_x000D_
[KEY_FIGURES].[].[ZINPUTSOFC]_x000D_
[LOCID].[].[7K10]_x000D_
[PRDID].[].[10001852]_x000D_
[KEY_FIGURES].[].[ZFORECASTOPENOUTPUT]_x000D_
[LOCID].[].[7K10]_x000D_
[PRDID].[].[10001852]_x000D_
[KEY_FIGURES].[].[ZACTUALSALES]_x000D_
[LOCID].[].[7K10]_x000D_
[PRDID].[].[10001852]_x000D_
[KEY_FIGURES].[].[ZCONSENSUSDEMAND]_x000D_
[LOCID].[].[7K10]_x000D_
[PRDID].[].[10001852]_x000D_
[KEY_FIGURES].[].[INDEPENDENTDEMAND]_x000D_
[LOCID].[].[7K10]_x000D_
[PRDID].[].[10001854]_x000D_
[KEY_FIGURES].[].[ZCONSENSUSDEMANDQTY]_x000D_
[LOCID].[].[7K10]_x000D_
[PRDID].[].[10001854]_x000D_
[KEY_FIGURES].[].[ZINPUTSOFC]_x000D_
[LOCID].[].[7K10]_x000D_
[PRDID].[].[10001854]_x000D_
[KEY_FIGURES].[].[ZFORECASTOPENOUTPUT]_x000D_
[LOCID].[].[7K10]_x000D_
[PRDID].[].[10001854]_x000D_
[KEY_FIGURES].[].[ZACTUALSALES]_x000D_
[LOCID].[].[7K10]_x000D_
[PRDID].[].[10001854]_x000D_
[KEY_FIGURES].[].[ZCONSENSUSDEMAND]_x000D_
[LOCID].[].[7K10]_x000D_
[PRDID].[].[10001854]_x000D_
[KEY_FIGURES].[].[INDEPENDENTDEMAND]_x000D_
[LOCID].[].[7K10]_x000D_
[PRDID].[].[10001855]_x000D_
[KEY_FIGURES].[].[ZCONSENSUSDEMANDQTY]_x000D_
[LOCID].[].[7K10]_x000D_
[PRDID].[].[10001855]_x000D_
[KEY_FIGURES].[].[ZINPUTSOFC]_x000D_
[LOCID].[].[7K10]_x000D_
[PRDID].[].[10001855]_x000D_
[KEY_FIGURES].[].[ZFORECASTOPENOUTPUT]_x000D_
[LOCID].[].[7K10]_x000D_
[PRDID].[].[10001855]_x000D_
[KEY_FIGURES].[].[ZACTUALSALES]_x000D_
[LOCID].[].[7K10]_x000D_
[PRDID].[].[10001855]_x000D_
[KEY_FIGURES].[].[ZCONSENSUSDEMAND]_x000D_
[LOCID].[].[7K10]_x000D_
[PRDID].[].[10001855]_x000D_
[KEY_FIGURES].[].[INDEPENDENTDEMAND]_x000D_
[LOCID].[].[7K10]_x000D_
[PRDID].[].[10001856]_x000D_
[KEY_FIGURES].[].[ZCONSENSUSDEMANDQTY]_x000D_
[LOCID].[].[7K10]_x000D_
[PRDID].[].[10001856]_x000D_
[KEY_FIGURES].[].[ZINPUTSOFC]_x000D_
[LOCID].[].[7K10]_x000D_
[PRDID].[].[10001856]_x000D_
[KEY_FIGURES].[].[ZFORECASTOPENOUTPUT]_x000D_
[LOCID].[].[7K10]_x000D_
[PRDID].[].[10001856]_x000D_
[KEY_FIGURES].[].[ZACTUALSALES]_x000D_
[LOCID].[].[7K10]_x000D_
[PRDID].[].[10001856]_x000D_
[KEY_FIGURES].[].[ZCONSENSUSDEMAND]_x000D_
[LOCID].[].[7K10]_x000D_
[PRDID].[].[10001856]_x000D_
[KEY_FIGURES].[].[INDEPENDENTDEMAND]_x000D_
[LOCID].[].[7K10]_x000D_
[PRDID].[].[10001857]_x000D_
[KEY_FIGURES].[].[ZCONSENSUSDEMANDQTY]_x000D_
[LOCID].[].[7K10]_x000D_
[PRDID].[].[10001857]_x000D_
[KEY_FIGURES].[].[ZINPUTSOFC]_x000D_
[LOCID].[].[7K10]_x000D_
[PRDID].[].[10001857]_x000D_
[KEY_FIGURES].[].[ZFORECASTOPENOUTPUT]_x000D_
[LOCID].[].[7K10]_x000D_
[PRDID].[].[10001857]_x000D_
[KEY_FIGURES].[].[ZACTUALSALES]_x000D_
[LOCID].[].[7K10]_x000D_
[PRDID].[].[10001857]_x000D_
[KEY_FIGURES].[].[ZCONSENSUSDEMAND]_x000D_
[LOCID].[].[7K10]_x000D_
[PRDID].[].[10001857]_x000D_
[KEY_FIGURES].[].[INDEPENDENTDEMAND]_x000D_
[LOCID].[].[7K10]_x000D_
[PRDID].[].[10001858]_x000D_
[KEY_FIGURES].[].[ZCONSENSUSDEMANDQTY]_x000D_
[LOCID].[].[7K10]_x000D_
[PRDID].[].[10001858]_x000D_
[KEY_FIGURES].[].[ZINPUTSOFC]_x000D_
[LOCID].[].[7K10]_x000D_
[PRDID].[].[10001858]_x000D_
[KEY_FIGURES].[].[ZFORECASTOPENOUTPUT]_x000D_
[LOCID].[].[7K10]_x000D_
[PRDID].[].[10001858]_x000D_
[KEY_FIGURES].[].[ZACTUALSALES]_x000D_
[LOCID].[].[7K10]_x000D_
[PRDID].[].[10001858]_x000D_
[KEY_FIGURES].[].[ZCONSENSUSDEMAND]_x000D_
[LOCID].[].[7K10]_x000D_
[PRDID].[].[10001858]_x000D_
[KEY_FIGURES].[].[INDEPENDENTDEMAND]_x000D_
[LOCID].[].[7K10]_x000D_
[PRDID].[].[10001859]_x000D_
[KEY_FIGURES].[].[ZCONSENSUSDEMANDQTY]_x000D_
[LOCID].[].[7K10]_x000D_
[PRDID].[].[10001859]_x000D_
[KEY_FIGURES].[].[ZINPUTSOFC]_x000D_
[LOCID].[].[7K10]_x000D_
[PRDID].[].[10001859]_x000D_
[KEY_FIGURES].[].[ZFORECASTOPENOUTPUT]_x000D_
[LOCID].[].[7K10]_x000D_
[PRDID].[].[10001859]_x000D_
[KEY_FIGURES].[].[ZACTUALSALES]_x000D_
[LOCID].[].[7K10]_x000D_
[PRDID].[].[10001859]_x000D_
[KEY_FIGURES].[].[ZCONSENSUSDEMAND]_x000D_
[LOCID].[].[7K10]_x000D_
[PRDID].[].[10001859]_x000D_
[KEY_FIGURES].[].[INDEPENDENTDEMAND]_x000D_
[LOCID].[].[7K10]_x000D_
[PRDID].[].[10001861]_x000D_
[KEY_FIGURES].[].[ZCONSENSUSDEMANDQTY]_x000D_
[LOCID].[].[7K10]_x000D_
[PRDID].[].[10001861]_x000D_
[KEY_FIGURES].[].[ZINPUTSOFC]_x000D_
[LOCID].[].[7K10]_x000D_
[PRDID].[].[10001861]_x000D_
[KEY_FIGURES].[].[ZFORECASTOPENOUTPUT]_x000D_
[LOCID].[].[7K10]_x000D_
[PRDID].[].[10001861]_x000D_
[KEY_FIGURES].[].[ZACTUALSALES]</t>
  </si>
  <si>
    <t>[LOCID].[].[7K10]_x000D_
[PRDID].[].[10001861]_x000D_
[KEY_FIGURES].[].[ZCONSENSUSDEMAND]_x000D_
[LOCID].[].[7K10]_x000D_
[PRDID].[].[10001861]_x000D_
[KEY_FIGURES].[].[INDEPENDENTDEMAND]_x000D_
[LOCID].[].[7K10]_x000D_
[PRDID].[].[10001862]_x000D_
[KEY_FIGURES].[].[ZCONSENSUSDEMANDQTY]_x000D_
[LOCID].[].[7K10]_x000D_
[PRDID].[].[10001862]_x000D_
[KEY_FIGURES].[].[ZINPUTSOFC]_x000D_
[LOCID].[].[7K10]_x000D_
[PRDID].[].[10001862]_x000D_
[KEY_FIGURES].[].[ZFORECASTOPENOUTPUT]_x000D_
[LOCID].[].[7K10]_x000D_
[PRDID].[].[10001862]_x000D_
[KEY_FIGURES].[].[ZACTUALSALES]_x000D_
[LOCID].[].[7K10]_x000D_
[PRDID].[].[10001862]_x000D_
[KEY_FIGURES].[].[ZCONSENSUSDEMAND]_x000D_
[LOCID].[].[7K10]_x000D_
[PRDID].[].[10001862]_x000D_
[KEY_FIGURES].[].[INDEPENDENTDEMAND]_x000D_
[LOCID].[].[7K10]_x000D_
[PRDID].[].[10001863]_x000D_
[KEY_FIGURES].[].[ZCONSENSUSDEMANDQTY]_x000D_
[LOCID].[].[7K10]_x000D_
[PRDID].[].[10001863]_x000D_
[KEY_FIGURES].[].[ZINPUTSOFC]_x000D_
[LOCID].[].[7K10]_x000D_
[PRDID].[].[10001863]_x000D_
[KEY_FIGURES].[].[ZFORECASTOPENOUTPUT]_x000D_
[LOCID].[].[7K10]_x000D_
[PRDID].[].[10001863]_x000D_
[KEY_FIGURES].[].[ZACTUALSALES]_x000D_
[LOCID].[].[7K10]_x000D_
[PRDID].[].[10001863]_x000D_
[KEY_FIGURES].[].[ZCONSENSUSDEMAND]_x000D_
[LOCID].[].[7K10]_x000D_
[PRDID].[].[10001863]_x000D_
[KEY_FIGURES].[].[INDEPENDENTDEMAND]_x000D_
[LOCID].[].[7K10]_x000D_
[PRDID].[].[10001864]_x000D_
[KEY_FIGURES].[].[ZCONSENSUSDEMANDQTY]_x000D_
[LOCID].[].[7K10]_x000D_
[PRDID].[].[10001864]_x000D_
[KEY_FIGURES].[].[ZINPUTSOFC]_x000D_
[LOCID].[].[7K10]_x000D_
[PRDID].[].[10001864]_x000D_
[KEY_FIGURES].[].[ZFORECASTOPENOUTPUT]_x000D_
[LOCID].[].[7K10]_x000D_
[PRDID].[].[10001864]_x000D_
[KEY_FIGURES].[].[ZACTUALSALES]_x000D_
[LOCID].[].[7K10]_x000D_
[PRDID].[].[10001864]_x000D_
[KEY_FIGURES].[].[ZCONSENSUSDEMAND]_x000D_
[LOCID].[].[7K10]_x000D_
[PRDID].[].[10001864]_x000D_
[KEY_FIGURES].[].[INDEPENDENTDEMAND]_x000D_
[LOCID].[].[7K10]_x000D_
[PRDID].[].[10001865]_x000D_
[KEY_FIGURES].[].[ZCONSENSUSDEMANDQTY]_x000D_
[LOCID].[].[7K10]_x000D_
[PRDID].[].[10001865]_x000D_
[KEY_FIGURES].[].[ZINPUTSOFC]_x000D_
[LOCID].[].[7K10]_x000D_
[PRDID].[].[10001865]_x000D_
[KEY_FIGURES].[].[ZFORECASTOPENOUTPUT]_x000D_
[LOCID].[].[7K10]_x000D_
[PRDID].[].[10001865]_x000D_
[KEY_FIGURES].[].[ZACTUALSALES]_x000D_
[LOCID].[].[7K10]_x000D_
[PRDID].[].[10001865]_x000D_
[KEY_FIGURES].[].[ZCONSENSUSDEMAND]_x000D_
[LOCID].[].[7K10]_x000D_
[PRDID].[].[10001865]_x000D_
[KEY_FIGURES].[].[INDEPENDENTDEMAND]_x000D_
[LOCID].[].[7K10]_x000D_
[PRDID].[].[10001867]_x000D_
[KEY_FIGURES].[].[ZCONSENSUSDEMANDQTY]_x000D_
[LOCID].[].[7K10]_x000D_
[PRDID].[].[10001867]_x000D_
[KEY_FIGURES].[].[ZINPUTSOFC]_x000D_
[LOCID].[].[7K10]_x000D_
[PRDID].[].[10001867]_x000D_
[KEY_FIGURES].[].[ZFORECASTOPENOUTPUT]_x000D_
[LOCID].[].[7K10]_x000D_
[PRDID].[].[10001867]_x000D_
[KEY_FIGURES].[].[ZACTUALSALES]_x000D_
[LOCID].[].[7K10]_x000D_
[PRDID].[].[10001867]_x000D_
[KEY_FIGURES].[].[ZCONSENSUSDEMAND]_x000D_
[LOCID].[].[7K10]_x000D_
[PRDID].[].[10001867]_x000D_
[KEY_FIGURES].[].[INDEPENDENTDEMAND]_x000D_
[LOCID].[].[7K10]_x000D_
[PRDID].[].[10001868]_x000D_
[KEY_FIGURES].[].[ZCONSENSUSDEMANDQTY]_x000D_
[LOCID].[].[7K10]_x000D_
[PRDID].[].[10001868]_x000D_
[KEY_FIGURES].[].[ZINPUTSOFC]_x000D_
[LOCID].[].[7K10]_x000D_
[PRDID].[].[10001868]_x000D_
[KEY_FIGURES].[].[ZFORECASTOPENOUTPUT]_x000D_
[LOCID].[].[7K10]_x000D_
[PRDID].[].[10001868]_x000D_
[KEY_FIGURES].[].[ZACTUALSALES]_x000D_
[LOCID].[].[7K10]_x000D_
[PRDID].[].[10001868]_x000D_
[KEY_FIGURES].[].[ZCONSENSUSDEMAND]_x000D_
[LOCID].[].[7K10]_x000D_
[PRDID].[].[10001868]_x000D_
[KEY_FIGURES].[].[INDEPENDENTDEMAND]_x000D_
[LOCID].[].[7K10]_x000D_
[PRDID].[].[10001869]_x000D_
[KEY_FIGURES].[].[ZCONSENSUSDEMANDQTY]_x000D_
[LOCID].[].[7K10]_x000D_
[PRDID].[].[10001869]_x000D_
[KEY_FIGURES].[].[ZINPUTSOFC]_x000D_
[LOCID].[].[7K10]_x000D_
[PRDID].[].[10001869]_x000D_
[KEY_FIGURES].[].[ZFORECASTOPENOUTPUT]_x000D_
[LOCID].[].[7K10]_x000D_
[PRDID].[].[10001869]_x000D_
[KEY_FIGURES].[].[ZACTUALSALES]_x000D_
[LOCID].[].[7K10]_x000D_
[PRDID].[].[10001869]_x000D_
[KEY_FIGURES].[].[ZCONSENSUSDEMAND]_x000D_
[LOCID].[].[7K10]_x000D_
[PRDID].[].[10001869]_x000D_
[KEY_FIGURES].[].[INDEPENDENTDEMAND]_x000D_
[LOCID].[].[7K10]_x000D_
[PRDID].[].[10001871]_x000D_
[KEY_FIGURES].[].[ZCONSENSUSDEMANDQTY]_x000D_
[LOCID].[].[7K10]_x000D_
[PRDID].[].[10001871]_x000D_
[KEY_FIGURES].[].[ZINPUTSOFC]_x000D_
[LOCID].[].[7K10]_x000D_
[PRDID].[].[10001871]_x000D_
[KEY_FIGURES].[].[ZFORECASTOPENOUTPUT]_x000D_
[LOCID].[].[7K10]_x000D_
[PRDID].[].[10001871]_x000D_
[KEY_FIGURES].[].[ZACTUALSALES]_x000D_
[LOCID].[].[7K10]_x000D_
[PRDID].[].[10001871]_x000D_
[KEY_FIGURES].[].[ZCONSENSUSDEMAND]_x000D_
[LOCID].[].[7K10]_x000D_
[PRDID].[].[10001871]_x000D_
[KEY_FIGURES].[].[INDEPENDENTDEMAND]_x000D_
[LOCID].[].[7K10]_x000D_
[PRDID].[].[10001872]_x000D_
[KEY_FIGURES].[].[ZCONSENSUSDEMANDQTY]_x000D_
[LOCID].[].[7K10]_x000D_
[PRDID].[].[10001872]_x000D_
[KEY_FIGURES].[].[ZINPUTSOFC]_x000D_
[LOCID].[].[7K10]_x000D_
[PRDID].[].[10001872]_x000D_
[KEY_FIGURES].[].[ZFORECASTOPENOUTPUT]_x000D_
[LOCID].[].[7K10]_x000D_
[PRDID].[].[10001872]_x000D_
[KEY_FIGURES].[].[ZACTUALSALES]_x000D_
[LOCID].[].[7K10]_x000D_
[PRDID].[].[10001872]_x000D_
[KEY_FIGURES].[].[ZCONSENSUSDEMAND]_x000D_
[LOCID].[].[7K10]_x000D_
[PRDID].[].[10001872]_x000D_
[KEY_FIGURES].[].[INDEPENDENTDEMAND]_x000D_
[LOCID].[].[7K10]_x000D_
[PRDID].[].[10001873]_x000D_
[KEY_FIGURES].[].[ZCONSENSUSDEMANDQTY]_x000D_
[LOCID].[].[7K10]_x000D_
[PRDID].[].[10001873]_x000D_
[KEY_FIGURES].[].[ZINPUTSOFC]_x000D_
[LOCID].[].[7K10]_x000D_
[PRDID].[].[10001873]_x000D_
[KEY_FIGURES].[].[ZFORECASTOPENOUTPUT]_x000D_
[LOCID].[].[7K10]_x000D_
[PRDID].[].[10001873]_x000D_
[KEY_FIGURES].[].[ZACTUALSALES]_x000D_
[LOCID].[].[7K10]_x000D_
[PRDID].[].[10001873]_x000D_
[KEY_FIGURES].[].[ZCONSENSUSDEMAND]_x000D_
[LOCID].[].[7K10]_x000D_
[PRDID].[].[10001873]_x000D_
[KEY_FIGURES].[].[INDEPENDENTDEMAND]_x000D_
[LOCID].[].[7K10]_x000D_
[PRDID].[].[10001874]_x000D_
[KEY_FIGURES].[].[ZCONSENSUSDEMANDQTY]_x000D_
[LOCID].[].[7K10]_x000D_
[PRDID].[].[10001874]_x000D_
[KEY_FIGURES].[].[ZINPUTSOFC]_x000D_
[LOCID].[].[7K10]_x000D_
[PRDID].[].[10001874]_x000D_
[KEY_FIGURES].[].[ZFORECASTOPENOUTPUT]_x000D_
[LOCID].[].[7K10]_x000D_
[PRDID].[].[10001874]_x000D_
[KEY_FIGURES].[].[ZACTUALSALES]_x000D_
[LOCID].[].[7K10]_x000D_
[PRDID].[].[10001874]</t>
  </si>
  <si>
    <t>[KEY_FIGURES].[].[ZCONSENSUSDEMAND]_x000D_
[LOCID].[].[7K10]_x000D_
[PRDID].[].[10001874]_x000D_
[KEY_FIGURES].[].[INDEPENDENTDEMAND]_x000D_
[LOCID].[].[7K10]_x000D_
[PRDID].[].[10001875]_x000D_
[KEY_FIGURES].[].[ZCONSENSUSDEMANDQTY]_x000D_
[LOCID].[].[7K10]_x000D_
[PRDID].[].[10001875]_x000D_
[KEY_FIGURES].[].[ZINPUTSOFC]_x000D_
[LOCID].[].[7K10]_x000D_
[PRDID].[].[10001875]_x000D_
[KEY_FIGURES].[].[ZFORECASTOPENOUTPUT]_x000D_
[LOCID].[].[7K10]_x000D_
[PRDID].[].[10001875]_x000D_
[KEY_FIGURES].[].[ZACTUALSALES]_x000D_
[LOCID].[].[7K10]_x000D_
[PRDID].[].[10001875]_x000D_
[KEY_FIGURES].[].[ZCONSENSUSDEMAND]_x000D_
[LOCID].[].[7K10]_x000D_
[PRDID].[].[10001875]_x000D_
[KEY_FIGURES].[].[INDEPENDENTDEMAND]_x000D_
[LOCID].[].[7K10]_x000D_
[PRDID].[].[10001876]_x000D_
[KEY_FIGURES].[].[ZCONSENSUSDEMANDQTY]_x000D_
[LOCID].[].[7K10]_x000D_
[PRDID].[].[10001876]_x000D_
[KEY_FIGURES].[].[ZINPUTSOFC]_x000D_
[LOCID].[].[7K10]_x000D_
[PRDID].[].[10001876]_x000D_
[KEY_FIGURES].[].[ZFORECASTOPENOUTPUT]_x000D_
[LOCID].[].[7K10]_x000D_
[PRDID].[].[10001876]_x000D_
[KEY_FIGURES].[].[ZACTUALSALES]_x000D_
[LOCID].[].[7K10]_x000D_
[PRDID].[].[10001876]_x000D_
[KEY_FIGURES].[].[ZCONSENSUSDEMAND]_x000D_
[LOCID].[].[7K10]_x000D_
[PRDID].[].[10001876]_x000D_
[KEY_FIGURES].[].[INDEPENDENTDEMAND]_x000D_
[LOCID].[].[7K10]_x000D_
[PRDID].[].[10001877]_x000D_
[KEY_FIGURES].[].[ZCONSENSUSDEMANDQTY]_x000D_
[LOCID].[].[7K10]_x000D_
[PRDID].[].[10001877]_x000D_
[KEY_FIGURES].[].[ZINPUTSOFC]_x000D_
[LOCID].[].[7K10]_x000D_
[PRDID].[].[10001877]_x000D_
[KEY_FIGURES].[].[ZFORECASTOPENOUTPUT]_x000D_
[LOCID].[].[7K10]_x000D_
[PRDID].[].[10001877]_x000D_
[KEY_FIGURES].[].[ZACTUALSALES]_x000D_
[LOCID].[].[7K10]_x000D_
[PRDID].[].[10001877]_x000D_
[KEY_FIGURES].[].[ZCONSENSUSDEMAND]_x000D_
[LOCID].[].[7K10]_x000D_
[PRDID].[].[10001877]_x000D_
[KEY_FIGURES].[].[INDEPENDENTDEMAND]_x000D_
[LOCID].[].[7K10]_x000D_
[PRDID].[].[10001878]_x000D_
[KEY_FIGURES].[].[ZCONSENSUSDEMANDQTY]_x000D_
[LOCID].[].[7K10]_x000D_
[PRDID].[].[10001878]_x000D_
[KEY_FIGURES].[].[ZINPUTSOFC]_x000D_
[LOCID].[].[7K10]_x000D_
[PRDID].[].[10001878]_x000D_
[KEY_FIGURES].[].[ZFORECASTOPENOUTPUT]_x000D_
[LOCID].[].[7K10]_x000D_
[PRDID].[].[10001878]_x000D_
[KEY_FIGURES].[].[ZACTUALSALES]_x000D_
[LOCID].[].[7K10]_x000D_
[PRDID].[].[10001878]_x000D_
[KEY_FIGURES].[].[ZCONSENSUSDEMAND]_x000D_
[LOCID].[].[7K10]_x000D_
[PRDID].[].[10001878]_x000D_
[KEY_FIGURES].[].[INDEPENDENTDEMAND]_x000D_
[LOCID].[].[7K10]_x000D_
[PRDID].[].[10001879]_x000D_
[KEY_FIGURES].[].[ZCONSENSUSDEMANDQTY]_x000D_
[LOCID].[].[7K10]_x000D_
[PRDID].[].[10001879]_x000D_
[KEY_FIGURES].[].[ZINPUTSOFC]_x000D_
[LOCID].[].[7K10]_x000D_
[PRDID].[].[10001879]_x000D_
[KEY_FIGURES].[].[ZFORECASTOPENOUTPUT]_x000D_
[LOCID].[].[7K10]_x000D_
[PRDID].[].[10001879]_x000D_
[KEY_FIGURES].[].[ZACTUALSALES]_x000D_
[LOCID].[].[7K10]_x000D_
[PRDID].[].[10001879]_x000D_
[KEY_FIGURES].[].[ZCONSENSUSDEMAND]_x000D_
[LOCID].[].[7K10]_x000D_
[PRDID].[].[10001879]_x000D_
[KEY_FIGURES].[].[INDEPENDENTDEMAND]_x000D_
[LOCID].[].[7K10]_x000D_
[PRDID].[].[10001880]_x000D_
[KEY_FIGURES].[].[ZCONSENSUSDEMANDQTY]_x000D_
[LOCID].[].[7K10]_x000D_
[PRDID].[].[10001880]_x000D_
[KEY_FIGURES].[].[ZINPUTSOFC]_x000D_
[LOCID].[].[7K10]_x000D_
[PRDID].[].[10001880]_x000D_
[KEY_FIGURES].[].[ZFORECASTOPENOUTPUT]_x000D_
[LOCID].[].[7K10]_x000D_
[PRDID].[].[10001880]_x000D_
[KEY_FIGURES].[].[ZACTUALSALES]_x000D_
[LOCID].[].[7K10]_x000D_
[PRDID].[].[10001880]_x000D_
[KEY_FIGURES].[].[ZCONSENSUSDEMAND]_x000D_
[LOCID].[].[7K10]_x000D_
[PRDID].[].[10001880]_x000D_
[KEY_FIGURES].[].[INDEPENDENTDEMAND]_x000D_
[LOCID].[].[7K10]_x000D_
[PRDID].[].[10001881]_x000D_
[KEY_FIGURES].[].[ZCONSENSUSDEMANDQTY]_x000D_
[LOCID].[].[7K10]_x000D_
[PRDID].[].[10001881]_x000D_
[KEY_FIGURES].[].[ZINPUTSOFC]_x000D_
[LOCID].[].[7K10]_x000D_
[PRDID].[].[10001881]_x000D_
[KEY_FIGURES].[].[ZFORECASTOPENOUTPUT]_x000D_
[LOCID].[].[7K10]_x000D_
[PRDID].[].[10001881]_x000D_
[KEY_FIGURES].[].[ZACTUALSALES]_x000D_
[LOCID].[].[7K10]_x000D_
[PRDID].[].[10001881]_x000D_
[KEY_FIGURES].[].[ZCONSENSUSDEMAND]_x000D_
[LOCID].[].[7K10]_x000D_
[PRDID].[].[10001881]_x000D_
[KEY_FIGURES].[].[INDEPENDENTDEMAND]_x000D_
[LOCID].[].[7K10]_x000D_
[PRDID].[].[10001884]_x000D_
[KEY_FIGURES].[].[ZCONSENSUSDEMANDQTY]_x000D_
[LOCID].[].[7K10]_x000D_
[PRDID].[].[10001884]_x000D_
[KEY_FIGURES].[].[ZINPUTSOFC]_x000D_
[LOCID].[].[7K10]_x000D_
[PRDID].[].[10001884]_x000D_
[KEY_FIGURES].[].[ZFORECASTOPENOUTPUT]_x000D_
[LOCID].[].[7K10]_x000D_
[PRDID].[].[10001884]_x000D_
[KEY_FIGURES].[].[ZACTUALSALES]_x000D_
[LOCID].[].[7K10]_x000D_
[PRDID].[].[10001884]_x000D_
[KEY_FIGURES].[].[ZCONSENSUSDEMAND]_x000D_
[LOCID].[].[7K10]_x000D_
[PRDID].[].[10001884]_x000D_
[KEY_FIGURES].[].[INDEPENDENTDEMAND]_x000D_
[LOCID].[].[7K10]_x000D_
[PRDID].[].[10001885]_x000D_
[KEY_FIGURES].[].[ZCONSENSUSDEMANDQTY]_x000D_
[LOCID].[].[7K10]_x000D_
[PRDID].[].[10001885]_x000D_
[KEY_FIGURES].[].[ZINPUTSOFC]_x000D_
[LOCID].[].[7K10]_x000D_
[PRDID].[].[10001885]_x000D_
[KEY_FIGURES].[].[ZFORECASTOPENOUTPUT]_x000D_
[LOCID].[].[7K10]_x000D_
[PRDID].[].[10001885]_x000D_
[KEY_FIGURES].[].[ZACTUALSALES]_x000D_
[LOCID].[].[7K10]_x000D_
[PRDID].[].[10001885]_x000D_
[KEY_FIGURES].[].[ZCONSENSUSDEMAND]_x000D_
[LOCID].[].[7K10]_x000D_
[PRDID].[].[10001885]_x000D_
[KEY_FIGURES].[].[INDEPENDENTDEMAND]_x000D_
[LOCID].[].[7K10]_x000D_
[PRDID].[].[10001886]_x000D_
[KEY_FIGURES].[].[ZCONSENSUSDEMANDQTY]_x000D_
[LOCID].[].[7K10]_x000D_
[PRDID].[].[10001886]_x000D_
[KEY_FIGURES].[].[ZINPUTSOFC]_x000D_
[LOCID].[].[7K10]_x000D_
[PRDID].[].[10001886]_x000D_
[KEY_FIGURES].[].[ZFORECASTOPENOUTPUT]_x000D_
[LOCID].[].[7K10]_x000D_
[PRDID].[].[10001886]_x000D_
[KEY_FIGURES].[].[ZACTUALSALES]_x000D_
[LOCID].[].[7K10]_x000D_
[PRDID].[].[10001886]_x000D_
[KEY_FIGURES].[].[ZCONSENSUSDEMAND]_x000D_
[LOCID].[].[7K10]_x000D_
[PRDID].[].[10001886]_x000D_
[KEY_FIGURES].[].[INDEPENDENTDEMAND]_x000D_
[LOCID].[].[7K10]_x000D_
[PRDID].[].[10001888]_x000D_
[KEY_FIGURES].[].[ZCONSENSUSDEMANDQTY]_x000D_
[LOCID].[].[7K10]_x000D_
[PRDID].[].[10001888]_x000D_
[KEY_FIGURES].[].[ZINPUTSOFC]_x000D_
[LOCID].[].[7K10]_x000D_
[PRDID].[].[10001888]_x000D_
[KEY_FIGURES].[].[ZFORECASTOPENOUTPUT]_x000D_
[LOCID].[].[7K10]_x000D_
[PRDID].[].[10001888]_x000D_
[KEY_FIGURES].[].[ZACTUALSALES]_x000D_
[LOCID].[].[7K10]_x000D_
[PRDID].[].[10001888]_x000D_
[KEY_FIGURES].[].[ZCONSENSUSDEMAND]_x000D_
[LOCID].[].[7K10]</t>
  </si>
  <si>
    <t>[PRDID].[].[10001888]_x000D_
[KEY_FIGURES].[].[INDEPENDENTDEMAND]_x000D_
[LOCID].[].[7K10]_x000D_
[PRDID].[].[10001889]_x000D_
[KEY_FIGURES].[].[ZCONSENSUSDEMANDQTY]_x000D_
[LOCID].[].[7K10]_x000D_
[PRDID].[].[10001889]_x000D_
[KEY_FIGURES].[].[ZINPUTSOFC]_x000D_
[LOCID].[].[7K10]_x000D_
[PRDID].[].[10001889]_x000D_
[KEY_FIGURES].[].[ZFORECASTOPENOUTPUT]_x000D_
[LOCID].[].[7K10]_x000D_
[PRDID].[].[10001889]_x000D_
[KEY_FIGURES].[].[ZACTUALSALES]_x000D_
[LOCID].[].[7K10]_x000D_
[PRDID].[].[10001889]_x000D_
[KEY_FIGURES].[].[ZCONSENSUSDEMAND]_x000D_
[LOCID].[].[7K10]_x000D_
[PRDID].[].[10001889]_x000D_
[KEY_FIGURES].[].[INDEPENDENTDEMAND]_x000D_
[LOCID].[].[7K10]_x000D_
[PRDID].[].[10001890]_x000D_
[KEY_FIGURES].[].[ZCONSENSUSDEMANDQTY]_x000D_
[LOCID].[].[7K10]_x000D_
[PRDID].[].[10001890]_x000D_
[KEY_FIGURES].[].[ZINPUTSOFC]_x000D_
[LOCID].[].[7K10]_x000D_
[PRDID].[].[10001890]_x000D_
[KEY_FIGURES].[].[ZFORECASTOPENOUTPUT]_x000D_
[LOCID].[].[7K10]_x000D_
[PRDID].[].[10001890]_x000D_
[KEY_FIGURES].[].[ZACTUALSALES]_x000D_
[LOCID].[].[7K10]_x000D_
[PRDID].[].[10001890]_x000D_
[KEY_FIGURES].[].[ZCONSENSUSDEMAND]_x000D_
[LOCID].[].[7K10]_x000D_
[PRDID].[].[10001890]_x000D_
[KEY_FIGURES].[].[INDEPENDENTDEMAND]_x000D_
[LOCID].[].[7K10]_x000D_
[PRDID].[].[10001891]_x000D_
[KEY_FIGURES].[].[ZCONSENSUSDEMANDQTY]_x000D_
[LOCID].[].[7K10]_x000D_
[PRDID].[].[10001891]_x000D_
[KEY_FIGURES].[].[ZINPUTSOFC]_x000D_
[LOCID].[].[7K10]_x000D_
[PRDID].[].[10001891]_x000D_
[KEY_FIGURES].[].[ZFORECASTOPENOUTPUT]_x000D_
[LOCID].[].[7K10]_x000D_
[PRDID].[].[10001891]_x000D_
[KEY_FIGURES].[].[ZACTUALSALES]_x000D_
[LOCID].[].[7K10]_x000D_
[PRDID].[].[10001891]_x000D_
[KEY_FIGURES].[].[ZCONSENSUSDEMAND]_x000D_
[LOCID].[].[7K10]_x000D_
[PRDID].[].[10001891]_x000D_
[KEY_FIGURES].[].[INDEPENDENTDEMAND]_x000D_
[LOCID].[].[7K10]_x000D_
[PRDID].[].[10001892]_x000D_
[KEY_FIGURES].[].[ZCONSENSUSDEMANDQTY]_x000D_
[LOCID].[].[7K10]_x000D_
[PRDID].[].[10001892]_x000D_
[KEY_FIGURES].[].[ZINPUTSOFC]_x000D_
[LOCID].[].[7K10]_x000D_
[PRDID].[].[10001892]_x000D_
[KEY_FIGURES].[].[ZFORECASTOPENOUTPUT]_x000D_
[LOCID].[].[7K10]_x000D_
[PRDID].[].[10001892]_x000D_
[KEY_FIGURES].[].[ZACTUALSALES]_x000D_
[LOCID].[].[7K10]_x000D_
[PRDID].[].[10001892]_x000D_
[KEY_FIGURES].[].[ZCONSENSUSDEMAND]_x000D_
[LOCID].[].[7K10]_x000D_
[PRDID].[].[10001892]_x000D_
[KEY_FIGURES].[].[INDEPENDENTDEMAND]_x000D_
[LOCID].[].[7K10]_x000D_
[PRDID].[].[10001893]_x000D_
[KEY_FIGURES].[].[ZCONSENSUSDEMANDQTY]_x000D_
[LOCID].[].[7K10]_x000D_
[PRDID].[].[10001893]_x000D_
[KEY_FIGURES].[].[ZINPUTSOFC]_x000D_
[LOCID].[].[7K10]_x000D_
[PRDID].[].[10001893]_x000D_
[KEY_FIGURES].[].[ZFORECASTOPENOUTPUT]_x000D_
[LOCID].[].[7K10]_x000D_
[PRDID].[].[10001893]_x000D_
[KEY_FIGURES].[].[ZACTUALSALES]_x000D_
[LOCID].[].[7K10]_x000D_
[PRDID].[].[10001893]_x000D_
[KEY_FIGURES].[].[ZCONSENSUSDEMAND]_x000D_
[LOCID].[].[7K10]_x000D_
[PRDID].[].[10001893]_x000D_
[KEY_FIGURES].[].[INDEPENDENTDEMAND]_x000D_
[LOCID].[].[7K10]_x000D_
[PRDID].[].[10001894]_x000D_
[KEY_FIGURES].[].[ZCONSENSUSDEMANDQTY]_x000D_
[LOCID].[].[7K10]_x000D_
[PRDID].[].[10001894]_x000D_
[KEY_FIGURES].[].[ZINPUTSOFC]_x000D_
[LOCID].[].[7K10]_x000D_
[PRDID].[].[10001894]_x000D_
[KEY_FIGURES].[].[ZFORECASTOPENOUTPUT]_x000D_
[LOCID].[].[7K10]_x000D_
[PRDID].[].[10001894]_x000D_
[KEY_FIGURES].[].[ZACTUALSALES]_x000D_
[LOCID].[].[7K10]_x000D_
[PRDID].[].[10001894]_x000D_
[KEY_FIGURES].[].[ZCONSENSUSDEMAND]_x000D_
[LOCID].[].[7K10]_x000D_
[PRDID].[].[10001894]_x000D_
[KEY_FIGURES].[].[INDEPENDENTDEMAND]_x000D_
[LOCID].[].[7K10]_x000D_
[PRDID].[].[10001895]_x000D_
[KEY_FIGURES].[].[ZCONSENSUSDEMANDQTY]_x000D_
[LOCID].[].[7K10]_x000D_
[PRDID].[].[10001895]_x000D_
[KEY_FIGURES].[].[ZINPUTSOFC]_x000D_
[LOCID].[].[7K10]_x000D_
[PRDID].[].[10001895]_x000D_
[KEY_FIGURES].[].[ZFORECASTOPENOUTPUT]_x000D_
[LOCID].[].[7K10]_x000D_
[PRDID].[].[10001895]_x000D_
[KEY_FIGURES].[].[ZACTUALSALES]_x000D_
[LOCID].[].[7K10]_x000D_
[PRDID].[].[10001895]_x000D_
[KEY_FIGURES].[].[ZCONSENSUSDEMAND]_x000D_
[LOCID].[].[7K10]_x000D_
[PRDID].[].[10001895]_x000D_
[KEY_FIGURES].[].[INDEPENDENTDEMAND]_x000D_
[LOCID].[].[7K10]_x000D_
[PRDID].[].[10001896]_x000D_
[KEY_FIGURES].[].[ZCONSENSUSDEMANDQTY]_x000D_
[LOCID].[].[7K10]_x000D_
[PRDID].[].[10001896]_x000D_
[KEY_FIGURES].[].[ZINPUTSOFC]_x000D_
[LOCID].[].[7K10]_x000D_
[PRDID].[].[10001896]_x000D_
[KEY_FIGURES].[].[ZFORECASTOPENOUTPUT]_x000D_
[LOCID].[].[7K10]_x000D_
[PRDID].[].[10001896]_x000D_
[KEY_FIGURES].[].[ZACTUALSALES]_x000D_
[LOCID].[].[7K10]_x000D_
[PRDID].[].[10001896]_x000D_
[KEY_FIGURES].[].[ZCONSENSUSDEMAND]_x000D_
[LOCID].[].[7K10]_x000D_
[PRDID].[].[10001896]_x000D_
[KEY_FIGURES].[].[INDEPENDENTDEMAND]_x000D_
[LOCID].[].[7K10]_x000D_
[PRDID].[].[10001897]_x000D_
[KEY_FIGURES].[].[ZCONSENSUSDEMANDQTY]_x000D_
[LOCID].[].[7K10]_x000D_
[PRDID].[].[10001897]_x000D_
[KEY_FIGURES].[].[ZINPUTSOFC]_x000D_
[LOCID].[].[7K10]_x000D_
[PRDID].[].[10001897]_x000D_
[KEY_FIGURES].[].[ZFORECASTOPENOUTPUT]_x000D_
[LOCID].[].[7K10]_x000D_
[PRDID].[].[10001897]_x000D_
[KEY_FIGURES].[].[ZACTUALSALES]_x000D_
[LOCID].[].[7K10]_x000D_
[PRDID].[].[10001897]_x000D_
[KEY_FIGURES].[].[ZCONSENSUSDEMAND]_x000D_
[LOCID].[].[7K10]_x000D_
[PRDID].[].[10001897]_x000D_
[KEY_FIGURES].[].[INDEPENDENTDEMAND]_x000D_
[LOCID].[].[7K10]_x000D_
[PRDID].[].[10001898]_x000D_
[KEY_FIGURES].[].[ZCONSENSUSDEMANDQTY]_x000D_
[LOCID].[].[7K10]_x000D_
[PRDID].[].[10001898]_x000D_
[KEY_FIGURES].[].[ZINPUTSOFC]_x000D_
[LOCID].[].[7K10]_x000D_
[PRDID].[].[10001898]_x000D_
[KEY_FIGURES].[].[ZFORECASTOPENOUTPUT]_x000D_
[LOCID].[].[7K10]_x000D_
[PRDID].[].[10001898]_x000D_
[KEY_FIGURES].[].[ZACTUALSALES]_x000D_
[LOCID].[].[7K10]_x000D_
[PRDID].[].[10001898]_x000D_
[KEY_FIGURES].[].[ZCONSENSUSDEMAND]_x000D_
[LOCID].[].[7K10]_x000D_
[PRDID].[].[10001898]_x000D_
[KEY_FIGURES].[].[INDEPENDENTDEMAND]_x000D_
[LOCID].[].[7K10]_x000D_
[PRDID].[].[10001902]_x000D_
[KEY_FIGURES].[].[ZCONSENSUSDEMANDQTY]_x000D_
[LOCID].[].[7K10]_x000D_
[PRDID].[].[10001902]_x000D_
[KEY_FIGURES].[].[ZINPUTSOFC]_x000D_
[LOCID].[].[7K10]_x000D_
[PRDID].[].[10001902]_x000D_
[KEY_FIGURES].[].[ZFORECASTOPENOUTPUT]_x000D_
[LOCID].[].[7K10]_x000D_
[PRDID].[].[10001902]_x000D_
[KEY_FIGURES].[].[ZACTUALSALES]_x000D_
[LOCID].[].[7K10]_x000D_
[PRDID].[].[10001902]_x000D_
[KEY_FIGURES].[].[ZCONSENSUSDEMAND]_x000D_
[LOCID].[].[7K10]_x000D_
[PRDID].[].[10001902]_x000D_
[KEY_FIGURES].[].[INDEPENDENTDEMAND]</t>
  </si>
  <si>
    <t>[LOCID].[].[7K10]_x000D_
[PRDID].[].[10001903]_x000D_
[KEY_FIGURES].[].[ZCONSENSUSDEMANDQTY]_x000D_
[LOCID].[].[7K10]_x000D_
[PRDID].[].[10001903]_x000D_
[KEY_FIGURES].[].[ZINPUTSOFC]_x000D_
[LOCID].[].[7K10]_x000D_
[PRDID].[].[10001903]_x000D_
[KEY_FIGURES].[].[ZFORECASTOPENOUTPUT]_x000D_
[LOCID].[].[7K10]_x000D_
[PRDID].[].[10001903]_x000D_
[KEY_FIGURES].[].[ZACTUALSALES]_x000D_
[LOCID].[].[7K10]_x000D_
[PRDID].[].[10001903]_x000D_
[KEY_FIGURES].[].[ZCONSENSUSDEMAND]_x000D_
[LOCID].[].[7K10]_x000D_
[PRDID].[].[10001903]_x000D_
[KEY_FIGURES].[].[INDEPENDENTDEMAND]_x000D_
[LOCID].[].[7K10]_x000D_
[PRDID].[].[10001904]_x000D_
[KEY_FIGURES].[].[ZCONSENSUSDEMANDQTY]_x000D_
[LOCID].[].[7K10]_x000D_
[PRDID].[].[10001904]_x000D_
[KEY_FIGURES].[].[ZINPUTSOFC]_x000D_
[LOCID].[].[7K10]_x000D_
[PRDID].[].[10001904]_x000D_
[KEY_FIGURES].[].[ZFORECASTOPENOUTPUT]_x000D_
[LOCID].[].[7K10]_x000D_
[PRDID].[].[10001904]_x000D_
[KEY_FIGURES].[].[ZACTUALSALES]_x000D_
[LOCID].[].[7K10]_x000D_
[PRDID].[].[10001904]_x000D_
[KEY_FIGURES].[].[ZCONSENSUSDEMAND]_x000D_
[LOCID].[].[7K10]_x000D_
[PRDID].[].[10001904]_x000D_
[KEY_FIGURES].[].[INDEPENDENTDEMAND]_x000D_
[LOCID].[].[7K10]_x000D_
[PRDID].[].[10001905]_x000D_
[KEY_FIGURES].[].[ZCONSENSUSDEMANDQTY]_x000D_
[LOCID].[].[7K10]_x000D_
[PRDID].[].[10001905]_x000D_
[KEY_FIGURES].[].[ZINPUTSOFC]_x000D_
[LOCID].[].[7K10]_x000D_
[PRDID].[].[10001905]_x000D_
[KEY_FIGURES].[].[ZFORECASTOPENOUTPUT]_x000D_
[LOCID].[].[7K10]_x000D_
[PRDID].[].[10001905]_x000D_
[KEY_FIGURES].[].[ZACTUALSALES]_x000D_
[LOCID].[].[7K10]_x000D_
[PRDID].[].[10001905]_x000D_
[KEY_FIGURES].[].[ZCONSENSUSDEMAND]_x000D_
[LOCID].[].[7K10]_x000D_
[PRDID].[].[10001905]_x000D_
[KEY_FIGURES].[].[INDEPENDENTDEMAND]_x000D_
[LOCID].[].[7K10]_x000D_
[PRDID].[].[10001906]_x000D_
[KEY_FIGURES].[].[ZCONSENSUSDEMANDQTY]_x000D_
[LOCID].[].[7K10]_x000D_
[PRDID].[].[10001906]_x000D_
[KEY_FIGURES].[].[ZINPUTSOFC]_x000D_
[LOCID].[].[7K10]_x000D_
[PRDID].[].[10001906]_x000D_
[KEY_FIGURES].[].[ZFORECASTOPENOUTPUT]_x000D_
[LOCID].[].[7K10]_x000D_
[PRDID].[].[10001906]_x000D_
[KEY_FIGURES].[].[ZACTUALSALES]_x000D_
[LOCID].[].[7K10]_x000D_
[PRDID].[].[10001906]_x000D_
[KEY_FIGURES].[].[ZCONSENSUSDEMAND]_x000D_
[LOCID].[].[7K10]_x000D_
[PRDID].[].[10001906]_x000D_
[KEY_FIGURES].[].[INDEPENDENTDEMAND]_x000D_
[LOCID].[].[7K10]_x000D_
[PRDID].[].[10001907]_x000D_
[KEY_FIGURES].[].[ZCONSENSUSDEMANDQTY]_x000D_
[LOCID].[].[7K10]_x000D_
[PRDID].[].[10001907]_x000D_
[KEY_FIGURES].[].[ZINPUTSOFC]_x000D_
[LOCID].[].[7K10]_x000D_
[PRDID].[].[10001907]_x000D_
[KEY_FIGURES].[].[ZFORECASTOPENOUTPUT]_x000D_
[LOCID].[].[7K10]_x000D_
[PRDID].[].[10001907]_x000D_
[KEY_FIGURES].[].[ZACTUALSALES]_x000D_
[LOCID].[].[7K10]_x000D_
[PRDID].[].[10001907]_x000D_
[KEY_FIGURES].[].[ZCONSENSUSDEMAND]_x000D_
[LOCID].[].[7K10]_x000D_
[PRDID].[].[10001907]_x000D_
[KEY_FIGURES].[].[INDEPENDENTDEMAND]_x000D_
[LOCID].[].[7K10]_x000D_
[PRDID].[].[10001908]_x000D_
[KEY_FIGURES].[].[ZCONSENSUSDEMANDQTY]_x000D_
[LOCID].[].[7K10]_x000D_
[PRDID].[].[10001908]_x000D_
[KEY_FIGURES].[].[ZINPUTSOFC]_x000D_
[LOCID].[].[7K10]_x000D_
[PRDID].[].[10001908]_x000D_
[KEY_FIGURES].[].[ZFORECASTOPENOUTPUT]_x000D_
[LOCID].[].[7K10]_x000D_
[PRDID].[].[10001908]_x000D_
[KEY_FIGURES].[].[ZACTUALSALES]_x000D_
[LOCID].[].[7K10]_x000D_
[PRDID].[].[10001908]_x000D_
[KEY_FIGURES].[].[ZCONSENSUSDEMAND]_x000D_
[LOCID].[].[7K10]_x000D_
[PRDID].[].[10001908]_x000D_
[KEY_FIGURES].[].[INDEPENDENTDEMAND]_x000D_
[LOCID].[].[7K10]_x000D_
[PRDID].[].[10001909]_x000D_
[KEY_FIGURES].[].[ZCONSENSUSDEMANDQTY]_x000D_
[LOCID].[].[7K10]_x000D_
[PRDID].[].[10001909]_x000D_
[KEY_FIGURES].[].[ZINPUTSOFC]_x000D_
[LOCID].[].[7K10]_x000D_
[PRDID].[].[10001909]_x000D_
[KEY_FIGURES].[].[ZFORECASTOPENOUTPUT]_x000D_
[LOCID].[].[7K10]_x000D_
[PRDID].[].[10001909]_x000D_
[KEY_FIGURES].[].[ZACTUALSALES]_x000D_
[LOCID].[].[7K10]_x000D_
[PRDID].[].[10001909]_x000D_
[KEY_FIGURES].[].[ZCONSENSUSDEMAND]_x000D_
[LOCID].[].[7K10]_x000D_
[PRDID].[].[10001909]_x000D_
[KEY_FIGURES].[].[INDEPENDENTDEMAND]_x000D_
[LOCID].[].[7K10]_x000D_
[PRDID].[].[10001910]_x000D_
[KEY_FIGURES].[].[ZCONSENSUSDEMANDQTY]_x000D_
[LOCID].[].[7K10]_x000D_
[PRDID].[].[10001910]_x000D_
[KEY_FIGURES].[].[ZINPUTSOFC]_x000D_
[LOCID].[].[7K10]_x000D_
[PRDID].[].[10001910]_x000D_
[KEY_FIGURES].[].[ZFORECASTOPENOUTPUT]_x000D_
[LOCID].[].[7K10]_x000D_
[PRDID].[].[10001910]_x000D_
[KEY_FIGURES].[].[ZACTUALSALES]_x000D_
[LOCID].[].[7K10]_x000D_
[PRDID].[].[10001910]_x000D_
[KEY_FIGURES].[].[ZCONSENSUSDEMAND]_x000D_
[LOCID].[].[7K10]_x000D_
[PRDID].[].[10001910]_x000D_
[KEY_FIGURES].[].[INDEPENDENTDEMAND]_x000D_
[LOCID].[].[7K10]_x000D_
[PRDID].[].[10001911]_x000D_
[KEY_FIGURES].[].[ZCONSENSUSDEMANDQTY]_x000D_
[LOCID].[].[7K10]_x000D_
[PRDID].[].[10001911]_x000D_
[KEY_FIGURES].[].[ZINPUTSOFC]_x000D_
[LOCID].[].[7K10]_x000D_
[PRDID].[].[10001911]_x000D_
[KEY_FIGURES].[].[ZFORECASTOPENOUTPUT]_x000D_
[LOCID].[].[7K10]_x000D_
[PRDID].[].[10001911]_x000D_
[KEY_FIGURES].[].[ZACTUALSALES]_x000D_
[LOCID].[].[7K10]_x000D_
[PRDID].[].[10001911]_x000D_
[KEY_FIGURES].[].[ZCONSENSUSDEMAND]_x000D_
[LOCID].[].[7K10]_x000D_
[PRDID].[].[10001911]_x000D_
[KEY_FIGURES].[].[INDEPENDENTDEMAND]_x000D_
[LOCID].[].[7K10]_x000D_
[PRDID].[].[10001912]_x000D_
[KEY_FIGURES].[].[ZCONSENSUSDEMANDQTY]_x000D_
[LOCID].[].[7K10]_x000D_
[PRDID].[].[10001912]_x000D_
[KEY_FIGURES].[].[ZINPUTSOFC]_x000D_
[LOCID].[].[7K10]_x000D_
[PRDID].[].[10001912]_x000D_
[KEY_FIGURES].[].[ZFORECASTOPENOUTPUT]_x000D_
[LOCID].[].[7K10]_x000D_
[PRDID].[].[10001912]_x000D_
[KEY_FIGURES].[].[ZACTUALSALES]_x000D_
[LOCID].[].[7K10]_x000D_
[PRDID].[].[10001912]_x000D_
[KEY_FIGURES].[].[ZCONSENSUSDEMAND]_x000D_
[LOCID].[].[7K10]_x000D_
[PRDID].[].[10001912]_x000D_
[KEY_FIGURES].[].[INDEPENDENTDEMAND]_x000D_
[LOCID].[].[7K10]_x000D_
[PRDID].[].[10001913]_x000D_
[KEY_FIGURES].[].[ZCONSENSUSDEMANDQTY]_x000D_
[LOCID].[].[7K10]_x000D_
[PRDID].[].[10001913]_x000D_
[KEY_FIGURES].[].[ZINPUTSOFC]_x000D_
[LOCID].[].[7K10]_x000D_
[PRDID].[].[10001913]_x000D_
[KEY_FIGURES].[].[ZFORECASTOPENOUTPUT]_x000D_
[LOCID].[].[7K10]_x000D_
[PRDID].[].[10001913]_x000D_
[KEY_FIGURES].[].[ZACTUALSALES]_x000D_
[LOCID].[].[7K10]_x000D_
[PRDID].[].[10001913]_x000D_
[KEY_FIGURES].[].[ZCONSENSUSDEMAND]_x000D_
[LOCID].[].[7K10]_x000D_
[PRDID].[].[10001913]_x000D_
[KEY_FIGURES].[].[INDEPENDENTDEMAND]_x000D_
[LOCID].[].[7K10]_x000D_
[PRDID].[].[10001914]</t>
  </si>
  <si>
    <t>[KEY_FIGURES].[].[ZCONSENSUSDEMANDQTY]_x000D_
[LOCID].[].[7K10]_x000D_
[PRDID].[].[10001914]_x000D_
[KEY_FIGURES].[].[ZINPUTSOFC]_x000D_
[LOCID].[].[7K10]_x000D_
[PRDID].[].[10001914]_x000D_
[KEY_FIGURES].[].[ZFORECASTOPENOUTPUT]_x000D_
[LOCID].[].[7K10]_x000D_
[PRDID].[].[10001914]_x000D_
[KEY_FIGURES].[].[ZACTUALSALES]_x000D_
[LOCID].[].[7K10]_x000D_
[PRDID].[].[10001914]_x000D_
[KEY_FIGURES].[].[ZCONSENSUSDEMAND]_x000D_
[LOCID].[].[7K10]_x000D_
[PRDID].[].[10001914]_x000D_
[KEY_FIGURES].[].[INDEPENDENTDEMAND]_x000D_
[LOCID].[].[7K10]_x000D_
[PRDID].[].[10001915]_x000D_
[KEY_FIGURES].[].[ZCONSENSUSDEMANDQTY]_x000D_
[LOCID].[].[7K10]_x000D_
[PRDID].[].[10001915]_x000D_
[KEY_FIGURES].[].[ZINPUTSOFC]_x000D_
[LOCID].[].[7K10]_x000D_
[PRDID].[].[10001915]_x000D_
[KEY_FIGURES].[].[ZFORECASTOPENOUTPUT]_x000D_
[LOCID].[].[7K10]_x000D_
[PRDID].[].[10001915]_x000D_
[KEY_FIGURES].[].[ZACTUALSALES]_x000D_
[LOCID].[].[7K10]_x000D_
[PRDID].[].[10001915]_x000D_
[KEY_FIGURES].[].[ZCONSENSUSDEMAND]_x000D_
[LOCID].[].[7K10]_x000D_
[PRDID].[].[10001915]_x000D_
[KEY_FIGURES].[].[INDEPENDENTDEMAND]_x000D_
[LOCID].[].[7K10]_x000D_
[PRDID].[].[10001916]_x000D_
[KEY_FIGURES].[].[ZCONSENSUSDEMANDQTY]_x000D_
[LOCID].[].[7K10]_x000D_
[PRDID].[].[10001916]_x000D_
[KEY_FIGURES].[].[ZINPUTSOFC]_x000D_
[LOCID].[].[7K10]_x000D_
[PRDID].[].[10001916]_x000D_
[KEY_FIGURES].[].[ZFORECASTOPENOUTPUT]_x000D_
[LOCID].[].[7K10]_x000D_
[PRDID].[].[10001916]_x000D_
[KEY_FIGURES].[].[ZACTUALSALES]_x000D_
[LOCID].[].[7K10]_x000D_
[PRDID].[].[10001916]_x000D_
[KEY_FIGURES].[].[ZCONSENSUSDEMAND]_x000D_
[LOCID].[].[7K10]_x000D_
[PRDID].[].[10001916]_x000D_
[KEY_FIGURES].[].[INDEPENDENTDEMAND]_x000D_
[LOCID].[].[7K10]_x000D_
[PRDID].[].[10001919]_x000D_
[KEY_FIGURES].[].[ZCONSENSUSDEMANDQTY]_x000D_
[LOCID].[].[7K10]_x000D_
[PRDID].[].[10001919]_x000D_
[KEY_FIGURES].[].[ZINPUTSOFC]_x000D_
[LOCID].[].[7K10]_x000D_
[PRDID].[].[10001919]_x000D_
[KEY_FIGURES].[].[ZFORECASTOPENOUTPUT]_x000D_
[LOCID].[].[7K10]_x000D_
[PRDID].[].[10001919]_x000D_
[KEY_FIGURES].[].[ZACTUALSALES]_x000D_
[LOCID].[].[7K10]_x000D_
[PRDID].[].[10001919]_x000D_
[KEY_FIGURES].[].[ZCONSENSUSDEMAND]_x000D_
[LOCID].[].[7K10]_x000D_
[PRDID].[].[10001919]_x000D_
[KEY_FIGURES].[].[INDEPENDENTDEMAND]_x000D_
[LOCID].[].[7K10]_x000D_
[PRDID].[].[10001920]_x000D_
[KEY_FIGURES].[].[ZCONSENSUSDEMANDQTY]_x000D_
[LOCID].[].[7K10]_x000D_
[PRDID].[].[10001920]_x000D_
[KEY_FIGURES].[].[ZINPUTSOFC]_x000D_
[LOCID].[].[7K10]_x000D_
[PRDID].[].[10001920]_x000D_
[KEY_FIGURES].[].[ZFORECASTOPENOUTPUT]_x000D_
[LOCID].[].[7K10]_x000D_
[PRDID].[].[10001920]_x000D_
[KEY_FIGURES].[].[ZACTUALSALES]_x000D_
[LOCID].[].[7K10]_x000D_
[PRDID].[].[10001920]_x000D_
[KEY_FIGURES].[].[ZCONSENSUSDEMAND]_x000D_
[LOCID].[].[7K10]_x000D_
[PRDID].[].[10001920]_x000D_
[KEY_FIGURES].[].[INDEPENDENTDEMAND]_x000D_
[LOCID].[].[7K10]_x000D_
[PRDID].[].[10001921]_x000D_
[KEY_FIGURES].[].[ZCONSENSUSDEMANDQTY]_x000D_
[LOCID].[].[7K10]_x000D_
[PRDID].[].[10001921]_x000D_
[KEY_FIGURES].[].[ZINPUTSOFC]_x000D_
[LOCID].[].[7K10]_x000D_
[PRDID].[].[10001921]_x000D_
[KEY_FIGURES].[].[ZFORECASTOPENOUTPUT]_x000D_
[LOCID].[].[7K10]_x000D_
[PRDID].[].[10001921]_x000D_
[KEY_FIGURES].[].[ZACTUALSALES]_x000D_
[LOCID].[].[7K10]_x000D_
[PRDID].[].[10001921]_x000D_
[KEY_FIGURES].[].[ZCONSENSUSDEMAND]_x000D_
[LOCID].[].[7K10]_x000D_
[PRDID].[].[10001921]_x000D_
[KEY_FIGURES].[].[INDEPENDENTDEMAND]_x000D_
[LOCID].[].[7K10]_x000D_
[PRDID].[].[10001923]_x000D_
[KEY_FIGURES].[].[ZCONSENSUSDEMANDQTY]_x000D_
[LOCID].[].[7K10]_x000D_
[PRDID].[].[10001923]_x000D_
[KEY_FIGURES].[].[ZINPUTSOFC]_x000D_
[LOCID].[].[7K10]_x000D_
[PRDID].[].[10001923]_x000D_
[KEY_FIGURES].[].[ZFORECASTOPENOUTPUT]_x000D_
[LOCID].[].[7K10]_x000D_
[PRDID].[].[10001923]_x000D_
[KEY_FIGURES].[].[ZACTUALSALES]_x000D_
[LOCID].[].[7K10]_x000D_
[PRDID].[].[10001923]_x000D_
[KEY_FIGURES].[].[ZCONSENSUSDEMAND]_x000D_
[LOCID].[].[7K10]_x000D_
[PRDID].[].[10001923]_x000D_
[KEY_FIGURES].[].[INDEPENDENTDEMAND]_x000D_
[LOCID].[].[7K10]_x000D_
[PRDID].[].[10001924]_x000D_
[KEY_FIGURES].[].[ZCONSENSUSDEMANDQTY]_x000D_
[LOCID].[].[7K10]_x000D_
[PRDID].[].[10001924]_x000D_
[KEY_FIGURES].[].[ZINPUTSOFC]_x000D_
[LOCID].[].[7K10]_x000D_
[PRDID].[].[10001924]_x000D_
[KEY_FIGURES].[].[ZFORECASTOPENOUTPUT]_x000D_
[LOCID].[].[7K10]_x000D_
[PRDID].[].[10001924]_x000D_
[KEY_FIGURES].[].[ZACTUALSALES]_x000D_
[LOCID].[].[7K10]_x000D_
[PRDID].[].[10001924]_x000D_
[KEY_FIGURES].[].[ZCONSENSUSDEMAND]_x000D_
[LOCID].[].[7K10]_x000D_
[PRDID].[].[10001924]_x000D_
[KEY_FIGURES].[].[INDEPENDENTDEMAND]_x000D_
[LOCID].[].[7K10]_x000D_
[PRDID].[].[10001925]_x000D_
[KEY_FIGURES].[].[ZCONSENSUSDEMANDQTY]_x000D_
[LOCID].[].[7K10]_x000D_
[PRDID].[].[10001925]_x000D_
[KEY_FIGURES].[].[ZINPUTSOFC]_x000D_
[LOCID].[].[7K10]_x000D_
[PRDID].[].[10001925]_x000D_
[KEY_FIGURES].[].[ZFORECASTOPENOUTPUT]_x000D_
[LOCID].[].[7K10]_x000D_
[PRDID].[].[10001925]_x000D_
[KEY_FIGURES].[].[ZACTUALSALES]_x000D_
[LOCID].[].[7K10]_x000D_
[PRDID].[].[10001925]_x000D_
[KEY_FIGURES].[].[ZCONSENSUSDEMAND]_x000D_
[LOCID].[].[7K10]_x000D_
[PRDID].[].[10001925]_x000D_
[KEY_FIGURES].[].[INDEPENDENTDEMAND]_x000D_
[LOCID].[].[7K10]_x000D_
[PRDID].[].[10001926]_x000D_
[KEY_FIGURES].[].[ZCONSENSUSDEMANDQTY]_x000D_
[LOCID].[].[7K10]_x000D_
[PRDID].[].[10001926]_x000D_
[KEY_FIGURES].[].[ZINPUTSOFC]_x000D_
[LOCID].[].[7K10]_x000D_
[PRDID].[].[10001926]_x000D_
[KEY_FIGURES].[].[ZFORECASTOPENOUTPUT]_x000D_
[LOCID].[].[7K10]_x000D_
[PRDID].[].[10001926]_x000D_
[KEY_FIGURES].[].[ZACTUALSALES]_x000D_
[LOCID].[].[7K10]_x000D_
[PRDID].[].[10001926]_x000D_
[KEY_FIGURES].[].[ZCONSENSUSDEMAND]_x000D_
[LOCID].[].[7K10]_x000D_
[PRDID].[].[10001926]_x000D_
[KEY_FIGURES].[].[INDEPENDENTDEMAND]_x000D_
[LOCID].[].[7K10]_x000D_
[PRDID].[].[10001927]_x000D_
[KEY_FIGURES].[].[ZCONSENSUSDEMANDQTY]_x000D_
[LOCID].[].[7K10]_x000D_
[PRDID].[].[10001927]_x000D_
[KEY_FIGURES].[].[ZINPUTSOFC]_x000D_
[LOCID].[].[7K10]_x000D_
[PRDID].[].[10001927]_x000D_
[KEY_FIGURES].[].[ZFORECASTOPENOUTPUT]_x000D_
[LOCID].[].[7K10]_x000D_
[PRDID].[].[10001927]_x000D_
[KEY_FIGURES].[].[ZACTUALSALES]_x000D_
[LOCID].[].[7K10]_x000D_
[PRDID].[].[10001927]_x000D_
[KEY_FIGURES].[].[ZCONSENSUSDEMAND]_x000D_
[LOCID].[].[7K10]_x000D_
[PRDID].[].[10001927]_x000D_
[KEY_FIGURES].[].[INDEPENDENTDEMAND]_x000D_
[LOCID].[].[7K10]_x000D_
[PRDID].[].[10001928]_x000D_
[KEY_FIGURES].[].[ZCONSENSUSDEMANDQTY]_x000D_
[LOCID].[].[7K10]</t>
  </si>
  <si>
    <t>[PRDID].[].[10001928]_x000D_
[KEY_FIGURES].[].[ZINPUTSOFC]_x000D_
[LOCID].[].[7K10]_x000D_
[PRDID].[].[10001928]_x000D_
[KEY_FIGURES].[].[ZFORECASTOPENOUTPUT]_x000D_
[LOCID].[].[7K10]_x000D_
[PRDID].[].[10001928]_x000D_
[KEY_FIGURES].[].[ZACTUALSALES]_x000D_
[LOCID].[].[7K10]_x000D_
[PRDID].[].[10001928]_x000D_
[KEY_FIGURES].[].[ZCONSENSUSDEMAND]_x000D_
[LOCID].[].[7K10]_x000D_
[PRDID].[].[10001928]_x000D_
[KEY_FIGURES].[].[INDEPENDENTDEMAND]_x000D_
[LOCID].[].[7K10]_x000D_
[PRDID].[].[10001929]_x000D_
[KEY_FIGURES].[].[ZCONSENSUSDEMANDQTY]_x000D_
[LOCID].[].[7K10]_x000D_
[PRDID].[].[10001929]_x000D_
[KEY_FIGURES].[].[ZINPUTSOFC]_x000D_
[LOCID].[].[7K10]_x000D_
[PRDID].[].[10001929]_x000D_
[KEY_FIGURES].[].[ZFORECASTOPENOUTPUT]_x000D_
[LOCID].[].[7K10]_x000D_
[PRDID].[].[10001929]_x000D_
[KEY_FIGURES].[].[ZACTUALSALES]_x000D_
[LOCID].[].[7K10]_x000D_
[PRDID].[].[10001929]_x000D_
[KEY_FIGURES].[].[ZCONSENSUSDEMAND]_x000D_
[LOCID].[].[7K10]_x000D_
[PRDID].[].[10001929]_x000D_
[KEY_FIGURES].[].[INDEPENDENTDEMAND]_x000D_
[LOCID].[].[7K10]_x000D_
[PRDID].[].[10001930]_x000D_
[KEY_FIGURES].[].[ZCONSENSUSDEMANDQTY]_x000D_
[LOCID].[].[7K10]_x000D_
[PRDID].[].[10001930]_x000D_
[KEY_FIGURES].[].[ZINPUTSOFC]_x000D_
[LOCID].[].[7K10]_x000D_
[PRDID].[].[10001930]_x000D_
[KEY_FIGURES].[].[ZFORECASTOPENOUTPUT]_x000D_
[LOCID].[].[7K10]_x000D_
[PRDID].[].[10001930]_x000D_
[KEY_FIGURES].[].[ZACTUALSALES]_x000D_
[LOCID].[].[7K10]_x000D_
[PRDID].[].[10001930]_x000D_
[KEY_FIGURES].[].[ZCONSENSUSDEMAND]_x000D_
[LOCID].[].[7K10]_x000D_
[PRDID].[].[10001930]_x000D_
[KEY_FIGURES].[].[INDEPENDENTDEMAND]_x000D_
[LOCID].[].[7K10]_x000D_
[PRDID].[].[10001931]_x000D_
[KEY_FIGURES].[].[ZCONSENSUSDEMANDQTY]_x000D_
[LOCID].[].[7K10]_x000D_
[PRDID].[].[10001931]_x000D_
[KEY_FIGURES].[].[ZINPUTSOFC]_x000D_
[LOCID].[].[7K10]_x000D_
[PRDID].[].[10001931]_x000D_
[KEY_FIGURES].[].[ZFORECASTOPENOUTPUT]_x000D_
[LOCID].[].[7K10]_x000D_
[PRDID].[].[10001931]_x000D_
[KEY_FIGURES].[].[ZACTUALSALES]_x000D_
[LOCID].[].[7K10]_x000D_
[PRDID].[].[10001931]_x000D_
[KEY_FIGURES].[].[ZCONSENSUSDEMAND]_x000D_
[LOCID].[].[7K10]_x000D_
[PRDID].[].[10001931]_x000D_
[KEY_FIGURES].[].[INDEPENDENTDEMAND]_x000D_
[LOCID].[].[7K10]_x000D_
[PRDID].[].[10001932]_x000D_
[KEY_FIGURES].[].[ZCONSENSUSDEMANDQTY]_x000D_
[LOCID].[].[7K10]_x000D_
[PRDID].[].[10001932]_x000D_
[KEY_FIGURES].[].[ZINPUTSOFC]_x000D_
[LOCID].[].[7K10]_x000D_
[PRDID].[].[10001932]_x000D_
[KEY_FIGURES].[].[ZFORECASTOPENOUTPUT]_x000D_
[LOCID].[].[7K10]_x000D_
[PRDID].[].[10001932]_x000D_
[KEY_FIGURES].[].[ZACTUALSALES]_x000D_
[LOCID].[].[7K10]_x000D_
[PRDID].[].[10001932]_x000D_
[KEY_FIGURES].[].[ZCONSENSUSDEMAND]_x000D_
[LOCID].[].[7K10]_x000D_
[PRDID].[].[10001932]_x000D_
[KEY_FIGURES].[].[INDEPENDENTDEMAND]_x000D_
[LOCID].[].[7K10]_x000D_
[PRDID].[].[10001933]_x000D_
[KEY_FIGURES].[].[ZCONSENSUSDEMANDQTY]_x000D_
[LOCID].[].[7K10]_x000D_
[PRDID].[].[10001933]_x000D_
[KEY_FIGURES].[].[ZINPUTSOFC]_x000D_
[LOCID].[].[7K10]_x000D_
[PRDID].[].[10001933]_x000D_
[KEY_FIGURES].[].[ZFORECASTOPENOUTPUT]_x000D_
[LOCID].[].[7K10]_x000D_
[PRDID].[].[10001933]_x000D_
[KEY_FIGURES].[].[ZACTUALSALES]_x000D_
[LOCID].[].[7K10]_x000D_
[PRDID].[].[10001933]_x000D_
[KEY_FIGURES].[].[ZCONSENSUSDEMAND]_x000D_
[LOCID].[].[7K10]_x000D_
[PRDID].[].[10001933]_x000D_
[KEY_FIGURES].[].[INDEPENDENTDEMAND]_x000D_
[LOCID].[].[7K10]_x000D_
[PRDID].[].[10001934]_x000D_
[KEY_FIGURES].[].[ZCONSENSUSDEMANDQTY]_x000D_
[LOCID].[].[7K10]_x000D_
[PRDID].[].[10001934]_x000D_
[KEY_FIGURES].[].[ZINPUTSOFC]_x000D_
[LOCID].[].[7K10]_x000D_
[PRDID].[].[10001934]_x000D_
[KEY_FIGURES].[].[ZFORECASTOPENOUTPUT]_x000D_
[LOCID].[].[7K10]_x000D_
[PRDID].[].[10001934]_x000D_
[KEY_FIGURES].[].[ZACTUALSALES]_x000D_
[LOCID].[].[7K10]_x000D_
[PRDID].[].[10001934]_x000D_
[KEY_FIGURES].[].[ZCONSENSUSDEMAND]_x000D_
[LOCID].[].[7K10]_x000D_
[PRDID].[].[10001934]_x000D_
[KEY_FIGURES].[].[INDEPENDENTDEMAND]_x000D_
[LOCID].[].[7K10]_x000D_
[PRDID].[].[10001936]_x000D_
[KEY_FIGURES].[].[ZCONSENSUSDEMANDQTY]_x000D_
[LOCID].[].[7K10]_x000D_
[PRDID].[].[10001936]_x000D_
[KEY_FIGURES].[].[ZINPUTSOFC]_x000D_
[LOCID].[].[7K10]_x000D_
[PRDID].[].[10001936]_x000D_
[KEY_FIGURES].[].[ZFORECASTOPENOUTPUT]_x000D_
[LOCID].[].[7K10]_x000D_
[PRDID].[].[10001936]_x000D_
[KEY_FIGURES].[].[ZACTUALSALES]_x000D_
[LOCID].[].[7K10]_x000D_
[PRDID].[].[10001936]_x000D_
[KEY_FIGURES].[].[ZCONSENSUSDEMAND]_x000D_
[LOCID].[].[7K10]_x000D_
[PRDID].[].[10001936]_x000D_
[KEY_FIGURES].[].[INDEPENDENTDEMAND]_x000D_
[LOCID].[].[7K10]_x000D_
[PRDID].[].[10001937]_x000D_
[KEY_FIGURES].[].[ZCONSENSUSDEMANDQTY]_x000D_
[LOCID].[].[7K10]_x000D_
[PRDID].[].[10001937]_x000D_
[KEY_FIGURES].[].[ZINPUTSOFC]_x000D_
[LOCID].[].[7K10]_x000D_
[PRDID].[].[10001937]_x000D_
[KEY_FIGURES].[].[ZFORECASTOPENOUTPUT]_x000D_
[LOCID].[].[7K10]_x000D_
[PRDID].[].[10001937]_x000D_
[KEY_FIGURES].[].[ZACTUALSALES]_x000D_
[LOCID].[].[7K10]_x000D_
[PRDID].[].[10001937]_x000D_
[KEY_FIGURES].[].[ZCONSENSUSDEMAND]_x000D_
[LOCID].[].[7K10]_x000D_
[PRDID].[].[10001937]_x000D_
[KEY_FIGURES].[].[INDEPENDENTDEMAND]_x000D_
[LOCID].[].[7K10]_x000D_
[PRDID].[].[10001938]_x000D_
[KEY_FIGURES].[].[ZCONSENSUSDEMANDQTY]_x000D_
[LOCID].[].[7K10]_x000D_
[PRDID].[].[10001938]_x000D_
[KEY_FIGURES].[].[ZINPUTSOFC]_x000D_
[LOCID].[].[7K10]_x000D_
[PRDID].[].[10001938]_x000D_
[KEY_FIGURES].[].[ZFORECASTOPENOUTPUT]_x000D_
[LOCID].[].[7K10]_x000D_
[PRDID].[].[10001938]_x000D_
[KEY_FIGURES].[].[ZACTUALSALES]_x000D_
[LOCID].[].[7K10]_x000D_
[PRDID].[].[10001938]_x000D_
[KEY_FIGURES].[].[ZCONSENSUSDEMAND]_x000D_
[LOCID].[].[7K10]_x000D_
[PRDID].[].[10001938]_x000D_
[KEY_FIGURES].[].[INDEPENDENTDEMAND]_x000D_
[LOCID].[].[7K10]_x000D_
[PRDID].[].[10001939]_x000D_
[KEY_FIGURES].[].[ZCONSENSUSDEMANDQTY]_x000D_
[LOCID].[].[7K10]_x000D_
[PRDID].[].[10001939]_x000D_
[KEY_FIGURES].[].[ZINPUTSOFC]_x000D_
[LOCID].[].[7K10]_x000D_
[PRDID].[].[10001939]_x000D_
[KEY_FIGURES].[].[ZFORECASTOPENOUTPUT]_x000D_
[LOCID].[].[7K10]_x000D_
[PRDID].[].[10001939]_x000D_
[KEY_FIGURES].[].[ZACTUALSALES]_x000D_
[LOCID].[].[7K10]_x000D_
[PRDID].[].[10001939]_x000D_
[KEY_FIGURES].[].[ZCONSENSUSDEMAND]_x000D_
[LOCID].[].[7K10]_x000D_
[PRDID].[].[10001939]_x000D_
[KEY_FIGURES].[].[INDEPENDENTDEMAND]_x000D_
[LOCID].[].[7K10]_x000D_
[PRDID].[].[10001940]_x000D_
[KEY_FIGURES].[].[ZCONSENSUSDEMANDQTY]_x000D_
[LOCID].[].[7K10]_x000D_
[PRDID].[].[10001940]_x000D_
[KEY_FIGURES].[].[ZINPUTSOFC]</t>
  </si>
  <si>
    <t>[LOCID].[].[7K10]_x000D_
[PRDID].[].[10001940]_x000D_
[KEY_FIGURES].[].[ZFORECASTOPENOUTPUT]_x000D_
[LOCID].[].[7K10]_x000D_
[PRDID].[].[10001940]_x000D_
[KEY_FIGURES].[].[ZACTUALSALES]_x000D_
[LOCID].[].[7K10]_x000D_
[PRDID].[].[10001940]_x000D_
[KEY_FIGURES].[].[ZCONSENSUSDEMAND]_x000D_
[LOCID].[].[7K10]_x000D_
[PRDID].[].[10001940]_x000D_
[KEY_FIGURES].[].[INDEPENDENTDEMAND]_x000D_
[LOCID].[].[7K10]_x000D_
[PRDID].[].[10001941]_x000D_
[KEY_FIGURES].[].[ZCONSENSUSDEMANDQTY]_x000D_
[LOCID].[].[7K10]_x000D_
[PRDID].[].[10001941]_x000D_
[KEY_FIGURES].[].[ZINPUTSOFC]_x000D_
[LOCID].[].[7K10]_x000D_
[PRDID].[].[10001941]_x000D_
[KEY_FIGURES].[].[ZFORECASTOPENOUTPUT]_x000D_
[LOCID].[].[7K10]_x000D_
[PRDID].[].[10001941]_x000D_
[KEY_FIGURES].[].[ZACTUALSALES]_x000D_
[LOCID].[].[7K10]_x000D_
[PRDID].[].[10001941]_x000D_
[KEY_FIGURES].[].[ZCONSENSUSDEMAND]_x000D_
[LOCID].[].[7K10]_x000D_
[PRDID].[].[10001941]_x000D_
[KEY_FIGURES].[].[INDEPENDENTDEMAND]_x000D_
[LOCID].[].[7K10]_x000D_
[PRDID].[].[10001942]_x000D_
[KEY_FIGURES].[].[ZCONSENSUSDEMANDQTY]_x000D_
[LOCID].[].[7K10]_x000D_
[PRDID].[].[10001942]_x000D_
[KEY_FIGURES].[].[ZINPUTSOFC]_x000D_
[LOCID].[].[7K10]_x000D_
[PRDID].[].[10001942]_x000D_
[KEY_FIGURES].[].[ZFORECASTOPENOUTPUT]_x000D_
[LOCID].[].[7K10]_x000D_
[PRDID].[].[10001942]_x000D_
[KEY_FIGURES].[].[ZACTUALSALES]_x000D_
[LOCID].[].[7K10]_x000D_
[PRDID].[].[10001942]_x000D_
[KEY_FIGURES].[].[ZCONSENSUSDEMAND]_x000D_
[LOCID].[].[7K10]_x000D_
[PRDID].[].[10001942]_x000D_
[KEY_FIGURES].[].[INDEPENDENTDEMAND]_x000D_
[LOCID].[].[7K10]_x000D_
[PRDID].[].[10001943]_x000D_
[KEY_FIGURES].[].[ZCONSENSUSDEMANDQTY]_x000D_
[LOCID].[].[7K10]_x000D_
[PRDID].[].[10001943]_x000D_
[KEY_FIGURES].[].[ZINPUTSOFC]_x000D_
[LOCID].[].[7K10]_x000D_
[PRDID].[].[10001943]_x000D_
[KEY_FIGURES].[].[ZFORECASTOPENOUTPUT]_x000D_
[LOCID].[].[7K10]_x000D_
[PRDID].[].[10001943]_x000D_
[KEY_FIGURES].[].[ZACTUALSALES]_x000D_
[LOCID].[].[7K10]_x000D_
[PRDID].[].[10001943]_x000D_
[KEY_FIGURES].[].[ZCONSENSUSDEMAND]_x000D_
[LOCID].[].[7K10]_x000D_
[PRDID].[].[10001943]_x000D_
[KEY_FIGURES].[].[INDEPENDENTDEMAND]_x000D_
[LOCID].[].[7K10]_x000D_
[PRDID].[].[10001944]_x000D_
[KEY_FIGURES].[].[ZCONSENSUSDEMANDQTY]_x000D_
[LOCID].[].[7K10]_x000D_
[PRDID].[].[10001944]_x000D_
[KEY_FIGURES].[].[ZINPUTSOFC]_x000D_
[LOCID].[].[7K10]_x000D_
[PRDID].[].[10001944]_x000D_
[KEY_FIGURES].[].[ZFORECASTOPENOUTPUT]_x000D_
[LOCID].[].[7K10]_x000D_
[PRDID].[].[10001944]_x000D_
[KEY_FIGURES].[].[ZACTUALSALES]_x000D_
[LOCID].[].[7K10]_x000D_
[PRDID].[].[10001944]_x000D_
[KEY_FIGURES].[].[ZCONSENSUSDEMAND]_x000D_
[LOCID].[].[7K10]_x000D_
[PRDID].[].[10001944]_x000D_
[KEY_FIGURES].[].[INDEPENDENTDEMAND]_x000D_
[LOCID].[].[7K10]_x000D_
[PRDID].[].[10001945]_x000D_
[KEY_FIGURES].[].[ZCONSENSUSDEMANDQTY]_x000D_
[LOCID].[].[7K10]_x000D_
[PRDID].[].[10001945]_x000D_
[KEY_FIGURES].[].[ZINPUTSOFC]_x000D_
[LOCID].[].[7K10]_x000D_
[PRDID].[].[10001945]_x000D_
[KEY_FIGURES].[].[ZFORECASTOPENOUTPUT]_x000D_
[LOCID].[].[7K10]_x000D_
[PRDID].[].[10001945]_x000D_
[KEY_FIGURES].[].[ZACTUALSALES]_x000D_
[LOCID].[].[7K10]_x000D_
[PRDID].[].[10001945]_x000D_
[KEY_FIGURES].[].[ZCONSENSUSDEMAND]_x000D_
[LOCID].[].[7K10]_x000D_
[PRDID].[].[10001945]_x000D_
[KEY_FIGURES].[].[INDEPENDENTDEMAND]_x000D_
[LOCID].[].[7K10]_x000D_
[PRDID].[].[10001946]_x000D_
[KEY_FIGURES].[].[ZCONSENSUSDEMANDQTY]_x000D_
[LOCID].[].[7K10]_x000D_
[PRDID].[].[10001946]_x000D_
[KEY_FIGURES].[].[ZINPUTSOFC]_x000D_
[LOCID].[].[7K10]_x000D_
[PRDID].[].[10001946]_x000D_
[KEY_FIGURES].[].[ZFORECASTOPENOUTPUT]_x000D_
[LOCID].[].[7K10]_x000D_
[PRDID].[].[10001946]_x000D_
[KEY_FIGURES].[].[ZACTUALSALES]_x000D_
[LOCID].[].[7K10]_x000D_
[PRDID].[].[10001946]_x000D_
[KEY_FIGURES].[].[ZCONSENSUSDEMAND]_x000D_
[LOCID].[].[7K10]_x000D_
[PRDID].[].[10001946]_x000D_
[KEY_FIGURES].[].[INDEPENDENTDEMAND]_x000D_
[LOCID].[].[7K10]_x000D_
[PRDID].[].[10001947]_x000D_
[KEY_FIGURES].[].[ZCONSENSUSDEMANDQTY]_x000D_
[LOCID].[].[7K10]_x000D_
[PRDID].[].[10001947]_x000D_
[KEY_FIGURES].[].[ZINPUTSOFC]_x000D_
[LOCID].[].[7K10]_x000D_
[PRDID].[].[10001947]_x000D_
[KEY_FIGURES].[].[ZFORECASTOPENOUTPUT]_x000D_
[LOCID].[].[7K10]_x000D_
[PRDID].[].[10001947]_x000D_
[KEY_FIGURES].[].[ZACTUALSALES]_x000D_
[LOCID].[].[7K10]_x000D_
[PRDID].[].[10001947]_x000D_
[KEY_FIGURES].[].[ZCONSENSUSDEMAND]_x000D_
[LOCID].[].[7K10]_x000D_
[PRDID].[].[10001947]_x000D_
[KEY_FIGURES].[].[INDEPENDENTDEMAND]_x000D_
[LOCID].[].[7K10]_x000D_
[PRDID].[].[10001949]_x000D_
[KEY_FIGURES].[].[ZCONSENSUSDEMANDQTY]_x000D_
[LOCID].[].[7K10]_x000D_
[PRDID].[].[10001949]_x000D_
[KEY_FIGURES].[].[ZINPUTSOFC]_x000D_
[LOCID].[].[7K10]_x000D_
[PRDID].[].[10001949]_x000D_
[KEY_FIGURES].[].[ZFORECASTOPENOUTPUT]_x000D_
[LOCID].[].[7K10]_x000D_
[PRDID].[].[10001949]_x000D_
[KEY_FIGURES].[].[ZACTUALSALES]_x000D_
[LOCID].[].[7K10]_x000D_
[PRDID].[].[10001949]_x000D_
[KEY_FIGURES].[].[ZCONSENSUSDEMAND]_x000D_
[LOCID].[].[7K10]_x000D_
[PRDID].[].[10001949]_x000D_
[KEY_FIGURES].[].[INDEPENDENTDEMAND]_x000D_
[LOCID].[].[7K10]_x000D_
[PRDID].[].[10001950]_x000D_
[KEY_FIGURES].[].[ZCONSENSUSDEMANDQTY]_x000D_
[LOCID].[].[7K10]_x000D_
[PRDID].[].[10001950]_x000D_
[KEY_FIGURES].[].[ZINPUTSOFC]_x000D_
[LOCID].[].[7K10]_x000D_
[PRDID].[].[10001950]_x000D_
[KEY_FIGURES].[].[ZFORECASTOPENOUTPUT]_x000D_
[LOCID].[].[7K10]_x000D_
[PRDID].[].[10001950]_x000D_
[KEY_FIGURES].[].[ZACTUALSALES]_x000D_
[LOCID].[].[7K10]_x000D_
[PRDID].[].[10001950]_x000D_
[KEY_FIGURES].[].[ZCONSENSUSDEMAND]_x000D_
[LOCID].[].[7K10]_x000D_
[PRDID].[].[10001950]_x000D_
[KEY_FIGURES].[].[INDEPENDENTDEMAND]_x000D_
[LOCID].[].[7K10]_x000D_
[PRDID].[].[10001951]_x000D_
[KEY_FIGURES].[].[ZCONSENSUSDEMANDQTY]_x000D_
[LOCID].[].[7K10]_x000D_
[PRDID].[].[10001951]_x000D_
[KEY_FIGURES].[].[ZINPUTSOFC]_x000D_
[LOCID].[].[7K10]_x000D_
[PRDID].[].[10001951]_x000D_
[KEY_FIGURES].[].[ZFORECASTOPENOUTPUT]_x000D_
[LOCID].[].[7K10]_x000D_
[PRDID].[].[10001951]_x000D_
[KEY_FIGURES].[].[ZACTUALSALES]_x000D_
[LOCID].[].[7K10]_x000D_
[PRDID].[].[10001951]_x000D_
[KEY_FIGURES].[].[ZCONSENSUSDEMAND]_x000D_
[LOCID].[].[7K10]_x000D_
[PRDID].[].[10001951]_x000D_
[KEY_FIGURES].[].[INDEPENDENTDEMAND]_x000D_
[LOCID].[].[7K10]_x000D_
[PRDID].[].[10001952]_x000D_
[KEY_FIGURES].[].[ZCONSENSUSDEMANDQTY]_x000D_
[LOCID].[].[7K10]_x000D_
[PRDID].[].[10001952]_x000D_
[KEY_FIGURES].[].[ZINPUTSOFC]_x000D_
[LOCID].[].[7K10]_x000D_
[PRDID].[].[10001952]</t>
  </si>
  <si>
    <t>[KEY_FIGURES].[].[ZFORECASTOPENOUTPUT]_x000D_
[LOCID].[].[7K10]_x000D_
[PRDID].[].[10001952]_x000D_
[KEY_FIGURES].[].[ZACTUALSALES]_x000D_
[LOCID].[].[7K10]_x000D_
[PRDID].[].[10001952]_x000D_
[KEY_FIGURES].[].[ZCONSENSUSDEMAND]_x000D_
[LOCID].[].[7K10]_x000D_
[PRDID].[].[10001952]_x000D_
[KEY_FIGURES].[].[INDEPENDENTDEMAND]_x000D_
[LOCID].[].[7K10]_x000D_
[PRDID].[].[10001953]_x000D_
[KEY_FIGURES].[].[ZCONSENSUSDEMANDQTY]_x000D_
[LOCID].[].[7K10]_x000D_
[PRDID].[].[10001953]_x000D_
[KEY_FIGURES].[].[ZINPUTSOFC]_x000D_
[LOCID].[].[7K10]_x000D_
[PRDID].[].[10001953]_x000D_
[KEY_FIGURES].[].[ZFORECASTOPENOUTPUT]_x000D_
[LOCID].[].[7K10]_x000D_
[PRDID].[].[10001953]_x000D_
[KEY_FIGURES].[].[ZACTUALSALES]_x000D_
[LOCID].[].[7K10]_x000D_
[PRDID].[].[10001953]_x000D_
[KEY_FIGURES].[].[ZCONSENSUSDEMAND]_x000D_
[LOCID].[].[7K10]_x000D_
[PRDID].[].[10001953]_x000D_
[KEY_FIGURES].[].[INDEPENDENTDEMAND]_x000D_
[LOCID].[].[7K10]_x000D_
[PRDID].[].[10001954]_x000D_
[KEY_FIGURES].[].[ZCONSENSUSDEMANDQTY]_x000D_
[LOCID].[].[7K10]_x000D_
[PRDID].[].[10001954]_x000D_
[KEY_FIGURES].[].[ZINPUTSOFC]_x000D_
[LOCID].[].[7K10]_x000D_
[PRDID].[].[10001954]_x000D_
[KEY_FIGURES].[].[ZFORECASTOPENOUTPUT]_x000D_
[LOCID].[].[7K10]_x000D_
[PRDID].[].[10001954]_x000D_
[KEY_FIGURES].[].[ZACTUALSALES]_x000D_
[LOCID].[].[7K10]_x000D_
[PRDID].[].[10001954]_x000D_
[KEY_FIGURES].[].[ZCONSENSUSDEMAND]_x000D_
[LOCID].[].[7K10]_x000D_
[PRDID].[].[10001954]_x000D_
[KEY_FIGURES].[].[INDEPENDENTDEMAND]_x000D_
[LOCID].[].[7K10]_x000D_
[PRDID].[].[10001956]_x000D_
[KEY_FIGURES].[].[ZCONSENSUSDEMANDQTY]_x000D_
[LOCID].[].[7K10]_x000D_
[PRDID].[].[10001956]_x000D_
[KEY_FIGURES].[].[ZINPUTSOFC]_x000D_
[LOCID].[].[7K10]_x000D_
[PRDID].[].[10001956]_x000D_
[KEY_FIGURES].[].[ZFORECASTOPENOUTPUT]_x000D_
[LOCID].[].[7K10]_x000D_
[PRDID].[].[10001956]_x000D_
[KEY_FIGURES].[].[ZACTUALSALES]_x000D_
[LOCID].[].[7K10]_x000D_
[PRDID].[].[10001956]_x000D_
[KEY_FIGURES].[].[ZCONSENSUSDEMAND]_x000D_
[LOCID].[].[7K10]_x000D_
[PRDID].[].[10001956]_x000D_
[KEY_FIGURES].[].[INDEPENDENTDEMAND]_x000D_
[LOCID].[].[7K10]_x000D_
[PRDID].[].[10001957]_x000D_
[KEY_FIGURES].[].[ZCONSENSUSDEMANDQTY]_x000D_
[LOCID].[].[7K10]_x000D_
[PRDID].[].[10001957]_x000D_
[KEY_FIGURES].[].[ZINPUTSOFC]_x000D_
[LOCID].[].[7K10]_x000D_
[PRDID].[].[10001957]_x000D_
[KEY_FIGURES].[].[ZFORECASTOPENOUTPUT]_x000D_
[LOCID].[].[7K10]_x000D_
[PRDID].[].[10001957]_x000D_
[KEY_FIGURES].[].[ZACTUALSALES]_x000D_
[LOCID].[].[7K10]_x000D_
[PRDID].[].[10001957]_x000D_
[KEY_FIGURES].[].[ZCONSENSUSDEMAND]_x000D_
[LOCID].[].[7K10]_x000D_
[PRDID].[].[10001957]_x000D_
[KEY_FIGURES].[].[INDEPENDENTDEMAND]_x000D_
[LOCID].[].[7K10]_x000D_
[PRDID].[].[10001958]_x000D_
[KEY_FIGURES].[].[ZCONSENSUSDEMANDQTY]_x000D_
[LOCID].[].[7K10]_x000D_
[PRDID].[].[10001958]_x000D_
[KEY_FIGURES].[].[ZINPUTSOFC]_x000D_
[LOCID].[].[7K10]_x000D_
[PRDID].[].[10001958]_x000D_
[KEY_FIGURES].[].[ZFORECASTOPENOUTPUT]_x000D_
[LOCID].[].[7K10]_x000D_
[PRDID].[].[10001958]_x000D_
[KEY_FIGURES].[].[ZACTUALSALES]_x000D_
[LOCID].[].[7K10]_x000D_
[PRDID].[].[10001958]_x000D_
[KEY_FIGURES].[].[ZCONSENSUSDEMAND]_x000D_
[LOCID].[].[7K10]_x000D_
[PRDID].[].[10001958]_x000D_
[KEY_FIGURES].[].[INDEPENDENTDEMAND]_x000D_
[LOCID].[].[7K10]_x000D_
[PRDID].[].[10001960]_x000D_
[KEY_FIGURES].[].[ZCONSENSUSDEMANDQTY]_x000D_
[LOCID].[].[7K10]_x000D_
[PRDID].[].[10001960]_x000D_
[KEY_FIGURES].[].[ZINPUTSOFC]_x000D_
[LOCID].[].[7K10]_x000D_
[PRDID].[].[10001960]_x000D_
[KEY_FIGURES].[].[ZFORECASTOPENOUTPUT]_x000D_
[LOCID].[].[7K10]_x000D_
[PRDID].[].[10001960]_x000D_
[KEY_FIGURES].[].[ZACTUALSALES]_x000D_
[LOCID].[].[7K10]_x000D_
[PRDID].[].[10001960]_x000D_
[KEY_FIGURES].[].[ZCONSENSUSDEMAND]_x000D_
[LOCID].[].[7K10]_x000D_
[PRDID].[].[10001960]_x000D_
[KEY_FIGURES].[].[INDEPENDENTDEMAND]_x000D_
[LOCID].[].[7K10]_x000D_
[PRDID].[].[10001962]_x000D_
[KEY_FIGURES].[].[ZCONSENSUSDEMANDQTY]_x000D_
[LOCID].[].[7K10]_x000D_
[PRDID].[].[10001962]_x000D_
[KEY_FIGURES].[].[ZINPUTSOFC]_x000D_
[LOCID].[].[7K10]_x000D_
[PRDID].[].[10001962]_x000D_
[KEY_FIGURES].[].[ZFORECASTOPENOUTPUT]_x000D_
[LOCID].[].[7K10]_x000D_
[PRDID].[].[10001962]_x000D_
[KEY_FIGURES].[].[ZACTUALSALES]_x000D_
[LOCID].[].[7K10]_x000D_
[PRDID].[].[10001962]_x000D_
[KEY_FIGURES].[].[ZCONSENSUSDEMAND]_x000D_
[LOCID].[].[7K10]_x000D_
[PRDID].[].[10001962]_x000D_
[KEY_FIGURES].[].[INDEPENDENTDEMAND]_x000D_
[LOCID].[].[7K10]_x000D_
[PRDID].[].[10001963]_x000D_
[KEY_FIGURES].[].[ZCONSENSUSDEMANDQTY]_x000D_
[LOCID].[].[7K10]_x000D_
[PRDID].[].[10001963]_x000D_
[KEY_FIGURES].[].[ZINPUTSOFC]_x000D_
[LOCID].[].[7K10]_x000D_
[PRDID].[].[10001963]_x000D_
[KEY_FIGURES].[].[ZFORECASTOPENOUTPUT]_x000D_
[LOCID].[].[7K10]_x000D_
[PRDID].[].[10001963]_x000D_
[KEY_FIGURES].[].[ZACTUALSALES]_x000D_
[LOCID].[].[7K10]_x000D_
[PRDID].[].[10001963]_x000D_
[KEY_FIGURES].[].[ZCONSENSUSDEMAND]_x000D_
[LOCID].[].[7K10]_x000D_
[PRDID].[].[10001963]_x000D_
[KEY_FIGURES].[].[INDEPENDENTDEMAND]_x000D_
[LOCID].[].[7K10]_x000D_
[PRDID].[].[10001964]_x000D_
[KEY_FIGURES].[].[ZCONSENSUSDEMANDQTY]_x000D_
[LOCID].[].[7K10]_x000D_
[PRDID].[].[10001964]_x000D_
[KEY_FIGURES].[].[ZINPUTSOFC]_x000D_
[LOCID].[].[7K10]_x000D_
[PRDID].[].[10001964]_x000D_
[KEY_FIGURES].[].[ZFORECASTOPENOUTPUT]_x000D_
[LOCID].[].[7K10]_x000D_
[PRDID].[].[10001964]_x000D_
[KEY_FIGURES].[].[ZACTUALSALES]_x000D_
[LOCID].[].[7K10]_x000D_
[PRDID].[].[10001964]_x000D_
[KEY_FIGURES].[].[ZCONSENSUSDEMAND]_x000D_
[LOCID].[].[7K10]_x000D_
[PRDID].[].[10001964]_x000D_
[KEY_FIGURES].[].[INDEPENDENTDEMAND]_x000D_
[LOCID].[].[7K10]_x000D_
[PRDID].[].[10001966]_x000D_
[KEY_FIGURES].[].[ZCONSENSUSDEMANDQTY]_x000D_
[LOCID].[].[7K10]_x000D_
[PRDID].[].[10001966]_x000D_
[KEY_FIGURES].[].[ZINPUTSOFC]_x000D_
[LOCID].[].[7K10]_x000D_
[PRDID].[].[10001966]_x000D_
[KEY_FIGURES].[].[ZFORECASTOPENOUTPUT]_x000D_
[LOCID].[].[7K10]_x000D_
[PRDID].[].[10001966]_x000D_
[KEY_FIGURES].[].[ZACTUALSALES]_x000D_
[LOCID].[].[7K10]_x000D_
[PRDID].[].[10001966]_x000D_
[KEY_FIGURES].[].[ZCONSENSUSDEMAND]_x000D_
[LOCID].[].[7K10]_x000D_
[PRDID].[].[10001966]_x000D_
[KEY_FIGURES].[].[INDEPENDENTDEMAND]_x000D_
[LOCID].[].[7K10]_x000D_
[PRDID].[].[10001967]_x000D_
[KEY_FIGURES].[].[ZCONSENSUSDEMANDQTY]_x000D_
[LOCID].[].[7K10]_x000D_
[PRDID].[].[10001967]_x000D_
[KEY_FIGURES].[].[ZINPUTSOFC]_x000D_
[LOCID].[].[7K10]_x000D_
[PRDID].[].[10001967]_x000D_
[KEY_FIGURES].[].[ZFORECASTOPENOUTPUT]_x000D_
[LOCID].[].[7K10]</t>
  </si>
  <si>
    <t>[PRDID].[].[10001967]_x000D_
[KEY_FIGURES].[].[ZACTUALSALES]_x000D_
[LOCID].[].[7K10]_x000D_
[PRDID].[].[10001967]_x000D_
[KEY_FIGURES].[].[ZCONSENSUSDEMAND]_x000D_
[LOCID].[].[7K10]_x000D_
[PRDID].[].[10001967]_x000D_
[KEY_FIGURES].[].[INDEPENDENTDEMAND]_x000D_
[LOCID].[].[7K10]_x000D_
[PRDID].[].[10001968]_x000D_
[KEY_FIGURES].[].[ZCONSENSUSDEMANDQTY]_x000D_
[LOCID].[].[7K10]_x000D_
[PRDID].[].[10001968]_x000D_
[KEY_FIGURES].[].[ZINPUTSOFC]_x000D_
[LOCID].[].[7K10]_x000D_
[PRDID].[].[10001968]_x000D_
[KEY_FIGURES].[].[ZFORECASTOPENOUTPUT]_x000D_
[LOCID].[].[7K10]_x000D_
[PRDID].[].[10001968]_x000D_
[KEY_FIGURES].[].[ZACTUALSALES]_x000D_
[LOCID].[].[7K10]_x000D_
[PRDID].[].[10001968]_x000D_
[KEY_FIGURES].[].[ZCONSENSUSDEMAND]_x000D_
[LOCID].[].[7K10]_x000D_
[PRDID].[].[10001968]_x000D_
[KEY_FIGURES].[].[INDEPENDENTDEMAND]_x000D_
[LOCID].[].[7K10]_x000D_
[PRDID].[].[10001969]_x000D_
[KEY_FIGURES].[].[ZCONSENSUSDEMANDQTY]_x000D_
[LOCID].[].[7K10]_x000D_
[PRDID].[].[10001969]_x000D_
[KEY_FIGURES].[].[ZINPUTSOFC]_x000D_
[LOCID].[].[7K10]_x000D_
[PRDID].[].[10001969]_x000D_
[KEY_FIGURES].[].[ZFORECASTOPENOUTPUT]_x000D_
[LOCID].[].[7K10]_x000D_
[PRDID].[].[10001969]_x000D_
[KEY_FIGURES].[].[ZACTUALSALES]_x000D_
[LOCID].[].[7K10]_x000D_
[PRDID].[].[10001969]_x000D_
[KEY_FIGURES].[].[ZCONSENSUSDEMAND]_x000D_
[LOCID].[].[7K10]_x000D_
[PRDID].[].[10001969]_x000D_
[KEY_FIGURES].[].[INDEPENDENTDEMAND]_x000D_
[LOCID].[].[7K10]_x000D_
[PRDID].[].[10001970]_x000D_
[KEY_FIGURES].[].[ZCONSENSUSDEMANDQTY]_x000D_
[LOCID].[].[7K10]_x000D_
[PRDID].[].[10001970]_x000D_
[KEY_FIGURES].[].[ZINPUTSOFC]_x000D_
[LOCID].[].[7K10]_x000D_
[PRDID].[].[10001970]_x000D_
[KEY_FIGURES].[].[ZFORECASTOPENOUTPUT]_x000D_
[LOCID].[].[7K10]_x000D_
[PRDID].[].[10001970]_x000D_
[KEY_FIGURES].[].[ZACTUALSALES]_x000D_
[LOCID].[].[7K10]_x000D_
[PRDID].[].[10001970]_x000D_
[KEY_FIGURES].[].[ZCONSENSUSDEMAND]_x000D_
[LOCID].[].[7K10]_x000D_
[PRDID].[].[10001970]_x000D_
[KEY_FIGURES].[].[INDEPENDENTDEMAND]_x000D_
[LOCID].[].[7K10]_x000D_
[PRDID].[].[10001971]_x000D_
[KEY_FIGURES].[].[ZCONSENSUSDEMANDQTY]_x000D_
[LOCID].[].[7K10]_x000D_
[PRDID].[].[10001971]_x000D_
[KEY_FIGURES].[].[ZINPUTSOFC]_x000D_
[LOCID].[].[7K10]_x000D_
[PRDID].[].[10001971]_x000D_
[KEY_FIGURES].[].[ZFORECASTOPENOUTPUT]_x000D_
[LOCID].[].[7K10]_x000D_
[PRDID].[].[10001971]_x000D_
[KEY_FIGURES].[].[ZACTUALSALES]_x000D_
[LOCID].[].[7K10]_x000D_
[PRDID].[].[10001971]_x000D_
[KEY_FIGURES].[].[ZCONSENSUSDEMAND]_x000D_
[LOCID].[].[7K10]_x000D_
[PRDID].[].[10001971]_x000D_
[KEY_FIGURES].[].[INDEPENDENTDEMAND]_x000D_
[LOCID].[].[7K10]_x000D_
[PRDID].[].[10001972]_x000D_
[KEY_FIGURES].[].[ZCONSENSUSDEMANDQTY]_x000D_
[LOCID].[].[7K10]_x000D_
[PRDID].[].[10001972]_x000D_
[KEY_FIGURES].[].[ZINPUTSOFC]_x000D_
[LOCID].[].[7K10]_x000D_
[PRDID].[].[10001972]_x000D_
[KEY_FIGURES].[].[ZFORECASTOPENOUTPUT]_x000D_
[LOCID].[].[7K10]_x000D_
[PRDID].[].[10001972]_x000D_
[KEY_FIGURES].[].[ZACTUALSALES]_x000D_
[LOCID].[].[7K10]_x000D_
[PRDID].[].[10001972]_x000D_
[KEY_FIGURES].[].[ZCONSENSUSDEMAND]_x000D_
[LOCID].[].[7K10]_x000D_
[PRDID].[].[10001972]_x000D_
[KEY_FIGURES].[].[INDEPENDENTDEMAND]_x000D_
[LOCID].[].[7K10]_x000D_
[PRDID].[].[10001973]_x000D_
[KEY_FIGURES].[].[ZCONSENSUSDEMANDQTY]_x000D_
[LOCID].[].[7K10]_x000D_
[PRDID].[].[10001973]_x000D_
[KEY_FIGURES].[].[ZINPUTSOFC]_x000D_
[LOCID].[].[7K10]_x000D_
[PRDID].[].[10001973]_x000D_
[KEY_FIGURES].[].[ZFORECASTOPENOUTPUT]_x000D_
[LOCID].[].[7K10]_x000D_
[PRDID].[].[10001973]_x000D_
[KEY_FIGURES].[].[ZACTUALSALES]_x000D_
[LOCID].[].[7K10]_x000D_
[PRDID].[].[10001973]_x000D_
[KEY_FIGURES].[].[ZCONSENSUSDEMAND]_x000D_
[LOCID].[].[7K10]_x000D_
[PRDID].[].[10001973]_x000D_
[KEY_FIGURES].[].[INDEPENDENTDEMAND]_x000D_
[LOCID].[].[7K10]_x000D_
[PRDID].[].[10001974]_x000D_
[KEY_FIGURES].[].[ZCONSENSUSDEMANDQTY]_x000D_
[LOCID].[].[7K10]_x000D_
[PRDID].[].[10001974]_x000D_
[KEY_FIGURES].[].[ZINPUTSOFC]_x000D_
[LOCID].[].[7K10]_x000D_
[PRDID].[].[10001974]_x000D_
[KEY_FIGURES].[].[ZFORECASTOPENOUTPUT]_x000D_
[LOCID].[].[7K10]_x000D_
[PRDID].[].[10001974]_x000D_
[KEY_FIGURES].[].[ZACTUALSALES]_x000D_
[LOCID].[].[7K10]_x000D_
[PRDID].[].[10001974]_x000D_
[KEY_FIGURES].[].[ZCONSENSUSDEMAND]_x000D_
[LOCID].[].[7K10]_x000D_
[PRDID].[].[10001974]_x000D_
[KEY_FIGURES].[].[INDEPENDENTDEMAND]_x000D_
[LOCID].[].[7K10]_x000D_
[PRDID].[].[10001975]_x000D_
[KEY_FIGURES].[].[ZCONSENSUSDEMANDQTY]_x000D_
[LOCID].[].[7K10]_x000D_
[PRDID].[].[10001975]_x000D_
[KEY_FIGURES].[].[ZINPUTSOFC]_x000D_
[LOCID].[].[7K10]_x000D_
[PRDID].[].[10001975]_x000D_
[KEY_FIGURES].[].[ZFORECASTOPENOUTPUT]_x000D_
[LOCID].[].[7K10]_x000D_
[PRDID].[].[10001975]_x000D_
[KEY_FIGURES].[].[ZACTUALSALES]_x000D_
[LOCID].[].[7K10]_x000D_
[PRDID].[].[10001975]_x000D_
[KEY_FIGURES].[].[ZCONSENSUSDEMAND]_x000D_
[LOCID].[].[7K10]_x000D_
[PRDID].[].[10001975]_x000D_
[KEY_FIGURES].[].[INDEPENDENTDEMAND]_x000D_
[LOCID].[].[7K10]_x000D_
[PRDID].[].[10001976]_x000D_
[KEY_FIGURES].[].[ZCONSENSUSDEMANDQTY]_x000D_
[LOCID].[].[7K10]_x000D_
[PRDID].[].[10001976]_x000D_
[KEY_FIGURES].[].[ZINPUTSOFC]_x000D_
[LOCID].[].[7K10]_x000D_
[PRDID].[].[10001976]_x000D_
[KEY_FIGURES].[].[ZFORECASTOPENOUTPUT]_x000D_
[LOCID].[].[7K10]_x000D_
[PRDID].[].[10001976]_x000D_
[KEY_FIGURES].[].[ZACTUALSALES]_x000D_
[LOCID].[].[7K10]_x000D_
[PRDID].[].[10001976]_x000D_
[KEY_FIGURES].[].[ZCONSENSUSDEMAND]_x000D_
[LOCID].[].[7K10]_x000D_
[PRDID].[].[10001976]_x000D_
[KEY_FIGURES].[].[INDEPENDENTDEMAND]_x000D_
[LOCID].[].[7K10]_x000D_
[PRDID].[].[10001977]_x000D_
[KEY_FIGURES].[].[ZCONSENSUSDEMANDQTY]_x000D_
[LOCID].[].[7K10]_x000D_
[PRDID].[].[10001977]_x000D_
[KEY_FIGURES].[].[ZINPUTSOFC]_x000D_
[LOCID].[].[7K10]_x000D_
[PRDID].[].[10001977]_x000D_
[KEY_FIGURES].[].[ZFORECASTOPENOUTPUT]_x000D_
[LOCID].[].[7K10]_x000D_
[PRDID].[].[10001977]_x000D_
[KEY_FIGURES].[].[ZACTUALSALES]_x000D_
[LOCID].[].[7K10]_x000D_
[PRDID].[].[10001977]_x000D_
[KEY_FIGURES].[].[ZCONSENSUSDEMAND]_x000D_
[LOCID].[].[7K10]_x000D_
[PRDID].[].[10001977]_x000D_
[KEY_FIGURES].[].[INDEPENDENTDEMAND]_x000D_
[LOCID].[].[7K10]_x000D_
[PRDID].[].[10001978]_x000D_
[KEY_FIGURES].[].[ZCONSENSUSDEMANDQTY]_x000D_
[LOCID].[].[7K10]_x000D_
[PRDID].[].[10001978]_x000D_
[KEY_FIGURES].[].[ZINPUTSOFC]_x000D_
[LOCID].[].[7K10]_x000D_
[PRDID].[].[10001978]_x000D_
[KEY_FIGURES].[].[ZFORECASTOPENOUTPUT]_x000D_
[LOCID].[].[7K10]_x000D_
[PRDID].[].[10001978]_x000D_
[KEY_FIGURES].[].[ZACTUALSALES]</t>
  </si>
  <si>
    <t>[LOCID].[].[7K10]_x000D_
[PRDID].[].[10001978]_x000D_
[KEY_FIGURES].[].[ZCONSENSUSDEMAND]_x000D_
[LOCID].[].[7K10]_x000D_
[PRDID].[].[10001978]_x000D_
[KEY_FIGURES].[].[INDEPENDENTDEMAND]_x000D_
[LOCID].[].[7K10]_x000D_
[PRDID].[].[10001979]_x000D_
[KEY_FIGURES].[].[ZCONSENSUSDEMANDQTY]_x000D_
[LOCID].[].[7K10]_x000D_
[PRDID].[].[10001979]_x000D_
[KEY_FIGURES].[].[ZINPUTSOFC]_x000D_
[LOCID].[].[7K10]_x000D_
[PRDID].[].[10001979]_x000D_
[KEY_FIGURES].[].[ZFORECASTOPENOUTPUT]_x000D_
[LOCID].[].[7K10]_x000D_
[PRDID].[].[10001979]_x000D_
[KEY_FIGURES].[].[ZACTUALSALES]_x000D_
[LOCID].[].[7K10]_x000D_
[PRDID].[].[10001979]_x000D_
[KEY_FIGURES].[].[ZCONSENSUSDEMAND]_x000D_
[LOCID].[].[7K10]_x000D_
[PRDID].[].[10001979]_x000D_
[KEY_FIGURES].[].[INDEPENDENTDEMAND]_x000D_
[LOCID].[].[7K10]_x000D_
[PRDID].[].[10001980]_x000D_
[KEY_FIGURES].[].[ZCONSENSUSDEMANDQTY]_x000D_
[LOCID].[].[7K10]_x000D_
[PRDID].[].[10001980]_x000D_
[KEY_FIGURES].[].[ZINPUTSOFC]_x000D_
[LOCID].[].[7K10]_x000D_
[PRDID].[].[10001980]_x000D_
[KEY_FIGURES].[].[ZFORECASTOPENOUTPUT]_x000D_
[LOCID].[].[7K10]_x000D_
[PRDID].[].[10001980]_x000D_
[KEY_FIGURES].[].[ZACTUALSALES]_x000D_
[LOCID].[].[7K10]_x000D_
[PRDID].[].[10001980]_x000D_
[KEY_FIGURES].[].[ZCONSENSUSDEMAND]_x000D_
[LOCID].[].[7K10]_x000D_
[PRDID].[].[10001980]_x000D_
[KEY_FIGURES].[].[INDEPENDENTDEMAND]_x000D_
[LOCID].[].[7K10]_x000D_
[PRDID].[].[10001981]_x000D_
[KEY_FIGURES].[].[ZCONSENSUSDEMANDQTY]_x000D_
[LOCID].[].[7K10]_x000D_
[PRDID].[].[10001981]_x000D_
[KEY_FIGURES].[].[ZINPUTSOFC]_x000D_
[LOCID].[].[7K10]_x000D_
[PRDID].[].[10001981]_x000D_
[KEY_FIGURES].[].[ZFORECASTOPENOUTPUT]_x000D_
[LOCID].[].[7K10]_x000D_
[PRDID].[].[10001981]_x000D_
[KEY_FIGURES].[].[ZACTUALSALES]_x000D_
[LOCID].[].[7K10]_x000D_
[PRDID].[].[10001981]_x000D_
[KEY_FIGURES].[].[ZCONSENSUSDEMAND]_x000D_
[LOCID].[].[7K10]_x000D_
[PRDID].[].[10001981]_x000D_
[KEY_FIGURES].[].[INDEPENDENTDEMAND]_x000D_
[LOCID].[].[7K10]_x000D_
[PRDID].[].[10001982]_x000D_
[KEY_FIGURES].[].[ZCONSENSUSDEMANDQTY]_x000D_
[LOCID].[].[7K10]_x000D_
[PRDID].[].[10001982]_x000D_
[KEY_FIGURES].[].[ZINPUTSOFC]_x000D_
[LOCID].[].[7K10]_x000D_
[PRDID].[].[10001982]_x000D_
[KEY_FIGURES].[].[ZFORECASTOPENOUTPUT]_x000D_
[LOCID].[].[7K10]_x000D_
[PRDID].[].[10001982]_x000D_
[KEY_FIGURES].[].[ZACTUALSALES]_x000D_
[LOCID].[].[7K10]_x000D_
[PRDID].[].[10001982]_x000D_
[KEY_FIGURES].[].[ZCONSENSUSDEMAND]_x000D_
[LOCID].[].[7K10]_x000D_
[PRDID].[].[10001982]_x000D_
[KEY_FIGURES].[].[INDEPENDENTDEMAND]_x000D_
[LOCID].[].[7K10]_x000D_
[PRDID].[].[10001983]_x000D_
[KEY_FIGURES].[].[ZCONSENSUSDEMANDQTY]_x000D_
[LOCID].[].[7K10]_x000D_
[PRDID].[].[10001983]_x000D_
[KEY_FIGURES].[].[ZINPUTSOFC]_x000D_
[LOCID].[].[7K10]_x000D_
[PRDID].[].[10001983]_x000D_
[KEY_FIGURES].[].[ZFORECASTOPENOUTPUT]_x000D_
[LOCID].[].[7K10]_x000D_
[PRDID].[].[10001983]_x000D_
[KEY_FIGURES].[].[ZACTUALSALES]_x000D_
[LOCID].[].[7K10]_x000D_
[PRDID].[].[10001983]_x000D_
[KEY_FIGURES].[].[ZCONSENSUSDEMAND]_x000D_
[LOCID].[].[7K10]_x000D_
[PRDID].[].[10001983]_x000D_
[KEY_FIGURES].[].[INDEPENDENTDEMAND]_x000D_
[LOCID].[].[7K10]_x000D_
[PRDID].[].[10001984]_x000D_
[KEY_FIGURES].[].[ZCONSENSUSDEMANDQTY]_x000D_
[LOCID].[].[7K10]_x000D_
[PRDID].[].[10001984]_x000D_
[KEY_FIGURES].[].[ZINPUTSOFC]_x000D_
[LOCID].[].[7K10]_x000D_
[PRDID].[].[10001984]_x000D_
[KEY_FIGURES].[].[ZFORECASTOPENOUTPUT]_x000D_
[LOCID].[].[7K10]_x000D_
[PRDID].[].[10001984]_x000D_
[KEY_FIGURES].[].[ZACTUALSALES]_x000D_
[LOCID].[].[7K10]_x000D_
[PRDID].[].[10001984]_x000D_
[KEY_FIGURES].[].[ZCONSENSUSDEMAND]_x000D_
[LOCID].[].[7K10]_x000D_
[PRDID].[].[10001984]_x000D_
[KEY_FIGURES].[].[INDEPENDENTDEMAND]_x000D_
[LOCID].[].[7K10]_x000D_
[PRDID].[].[10001985]_x000D_
[KEY_FIGURES].[].[ZCONSENSUSDEMANDQTY]_x000D_
[LOCID].[].[7K10]_x000D_
[PRDID].[].[10001985]_x000D_
[KEY_FIGURES].[].[ZINPUTSOFC]_x000D_
[LOCID].[].[7K10]_x000D_
[PRDID].[].[10001985]_x000D_
[KEY_FIGURES].[].[ZFORECASTOPENOUTPUT]_x000D_
[LOCID].[].[7K10]_x000D_
[PRDID].[].[10001985]_x000D_
[KEY_FIGURES].[].[ZACTUALSALES]_x000D_
[LOCID].[].[7K10]_x000D_
[PRDID].[].[10001985]_x000D_
[KEY_FIGURES].[].[ZCONSENSUSDEMAND]_x000D_
[LOCID].[].[7K10]_x000D_
[PRDID].[].[10001985]_x000D_
[KEY_FIGURES].[].[INDEPENDENTDEMAND]_x000D_
[LOCID].[].[7K10]_x000D_
[PRDID].[].[10001986]_x000D_
[KEY_FIGURES].[].[ZCONSENSUSDEMANDQTY]_x000D_
[LOCID].[].[7K10]_x000D_
[PRDID].[].[10001986]_x000D_
[KEY_FIGURES].[].[ZINPUTSOFC]_x000D_
[LOCID].[].[7K10]_x000D_
[PRDID].[].[10001986]_x000D_
[KEY_FIGURES].[].[ZFORECASTOPENOUTPUT]_x000D_
[LOCID].[].[7K10]_x000D_
[PRDID].[].[10001986]_x000D_
[KEY_FIGURES].[].[ZACTUALSALES]_x000D_
[LOCID].[].[7K10]_x000D_
[PRDID].[].[10001986]_x000D_
[KEY_FIGURES].[].[ZCONSENSUSDEMAND]_x000D_
[LOCID].[].[7K10]_x000D_
[PRDID].[].[10001986]_x000D_
[KEY_FIGURES].[].[INDEPENDENTDEMAND]_x000D_
[LOCID].[].[7K10]_x000D_
[PRDID].[].[10001987]_x000D_
[KEY_FIGURES].[].[ZCONSENSUSDEMANDQTY]_x000D_
[LOCID].[].[7K10]_x000D_
[PRDID].[].[10001987]_x000D_
[KEY_FIGURES].[].[ZINPUTSOFC]_x000D_
[LOCID].[].[7K10]_x000D_
[PRDID].[].[10001987]_x000D_
[KEY_FIGURES].[].[ZFORECASTOPENOUTPUT]_x000D_
[LOCID].[].[7K10]_x000D_
[PRDID].[].[10001987]_x000D_
[KEY_FIGURES].[].[ZACTUALSALES]_x000D_
[LOCID].[].[7K10]_x000D_
[PRDID].[].[10001987]_x000D_
[KEY_FIGURES].[].[ZCONSENSUSDEMAND]_x000D_
[LOCID].[].[7K10]_x000D_
[PRDID].[].[10001987]_x000D_
[KEY_FIGURES].[].[INDEPENDENTDEMAND]_x000D_
[LOCID].[].[7K10]_x000D_
[PRDID].[].[10001988]_x000D_
[KEY_FIGURES].[].[ZCONSENSUSDEMANDQTY]_x000D_
[LOCID].[].[7K10]_x000D_
[PRDID].[].[10001988]_x000D_
[KEY_FIGURES].[].[ZINPUTSOFC]_x000D_
[LOCID].[].[7K10]_x000D_
[PRDID].[].[10001988]_x000D_
[KEY_FIGURES].[].[ZFORECASTOPENOUTPUT]_x000D_
[LOCID].[].[7K10]_x000D_
[PRDID].[].[10001988]_x000D_
[KEY_FIGURES].[].[ZACTUALSALES]_x000D_
[LOCID].[].[7K10]_x000D_
[PRDID].[].[10001988]_x000D_
[KEY_FIGURES].[].[ZCONSENSUSDEMAND]_x000D_
[LOCID].[].[7K10]_x000D_
[PRDID].[].[10001988]_x000D_
[KEY_FIGURES].[].[INDEPENDENTDEMAND]_x000D_
[LOCID].[].[7K10]_x000D_
[PRDID].[].[10001989]_x000D_
[KEY_FIGURES].[].[ZCONSENSUSDEMANDQTY]_x000D_
[LOCID].[].[7K10]_x000D_
[PRDID].[].[10001989]_x000D_
[KEY_FIGURES].[].[ZINPUTSOFC]_x000D_
[LOCID].[].[7K10]_x000D_
[PRDID].[].[10001989]_x000D_
[KEY_FIGURES].[].[ZFORECASTOPENOUTPUT]_x000D_
[LOCID].[].[7K10]_x000D_
[PRDID].[].[10001989]_x000D_
[KEY_FIGURES].[].[ZACTUALSALES]_x000D_
[LOCID].[].[7K10]_x000D_
[PRDID].[].[10001989]</t>
  </si>
  <si>
    <t>[KEY_FIGURES].[].[ZCONSENSUSDEMAND]_x000D_
[LOCID].[].[7K10]_x000D_
[PRDID].[].[10001989]_x000D_
[KEY_FIGURES].[].[INDEPENDENTDEMAND]_x000D_
[LOCID].[].[7K10]_x000D_
[PRDID].[].[10001990]_x000D_
[KEY_FIGURES].[].[ZCONSENSUSDEMANDQTY]_x000D_
[LOCID].[].[7K10]_x000D_
[PRDID].[].[10001990]_x000D_
[KEY_FIGURES].[].[ZINPUTSOFC]_x000D_
[LOCID].[].[7K10]_x000D_
[PRDID].[].[10001990]_x000D_
[KEY_FIGURES].[].[ZFORECASTOPENOUTPUT]_x000D_
[LOCID].[].[7K10]_x000D_
[PRDID].[].[10001990]_x000D_
[KEY_FIGURES].[].[ZACTUALSALES]_x000D_
[LOCID].[].[7K10]_x000D_
[PRDID].[].[10001990]_x000D_
[KEY_FIGURES].[].[ZCONSENSUSDEMAND]_x000D_
[LOCID].[].[7K10]_x000D_
[PRDID].[].[10001990]_x000D_
[KEY_FIGURES].[].[INDEPENDENTDEMAND]_x000D_
[LOCID].[].[7K10]_x000D_
[PRDID].[].[10001991]_x000D_
[KEY_FIGURES].[].[ZCONSENSUSDEMANDQTY]_x000D_
[LOCID].[].[7K10]_x000D_
[PRDID].[].[10001991]_x000D_
[KEY_FIGURES].[].[ZINPUTSOFC]_x000D_
[LOCID].[].[7K10]_x000D_
[PRDID].[].[10001991]_x000D_
[KEY_FIGURES].[].[ZFORECASTOPENOUTPUT]_x000D_
[LOCID].[].[7K10]_x000D_
[PRDID].[].[10001991]_x000D_
[KEY_FIGURES].[].[ZACTUALSALES]_x000D_
[LOCID].[].[7K10]_x000D_
[PRDID].[].[10001991]_x000D_
[KEY_FIGURES].[].[ZCONSENSUSDEMAND]_x000D_
[LOCID].[].[7K10]_x000D_
[PRDID].[].[10001991]_x000D_
[KEY_FIGURES].[].[INDEPENDENTDEMAND]_x000D_
[LOCID].[].[7K10]_x000D_
[PRDID].[].[10001992]_x000D_
[KEY_FIGURES].[].[ZCONSENSUSDEMANDQTY]_x000D_
[LOCID].[].[7K10]_x000D_
[PRDID].[].[10001992]_x000D_
[KEY_FIGURES].[].[ZINPUTSOFC]_x000D_
[LOCID].[].[7K10]_x000D_
[PRDID].[].[10001992]_x000D_
[KEY_FIGURES].[].[ZFORECASTOPENOUTPUT]_x000D_
[LOCID].[].[7K10]_x000D_
[PRDID].[].[10001992]_x000D_
[KEY_FIGURES].[].[ZACTUALSALES]_x000D_
[LOCID].[].[7K10]_x000D_
[PRDID].[].[10001992]_x000D_
[KEY_FIGURES].[].[ZCONSENSUSDEMAND]_x000D_
[LOCID].[].[7K10]_x000D_
[PRDID].[].[10001992]_x000D_
[KEY_FIGURES].[].[INDEPENDENTDEMAND]_x000D_
[LOCID].[].[7K10]_x000D_
[PRDID].[].[10001993]_x000D_
[KEY_FIGURES].[].[ZCONSENSUSDEMANDQTY]_x000D_
[LOCID].[].[7K10]_x000D_
[PRDID].[].[10001993]_x000D_
[KEY_FIGURES].[].[ZINPUTSOFC]_x000D_
[LOCID].[].[7K10]_x000D_
[PRDID].[].[10001993]_x000D_
[KEY_FIGURES].[].[ZFORECASTOPENOUTPUT]_x000D_
[LOCID].[].[7K10]_x000D_
[PRDID].[].[10001993]_x000D_
[KEY_FIGURES].[].[ZACTUALSALES]_x000D_
[LOCID].[].[7K10]_x000D_
[PRDID].[].[10001993]_x000D_
[KEY_FIGURES].[].[ZCONSENSUSDEMAND]_x000D_
[LOCID].[].[7K10]_x000D_
[PRDID].[].[10001993]_x000D_
[KEY_FIGURES].[].[INDEPENDENTDEMAND]_x000D_
[LOCID].[].[7K10]_x000D_
[PRDID].[].[10001994]_x000D_
[KEY_FIGURES].[].[ZCONSENSUSDEMANDQTY]_x000D_
[LOCID].[].[7K10]_x000D_
[PRDID].[].[10001994]_x000D_
[KEY_FIGURES].[].[ZINPUTSOFC]_x000D_
[LOCID].[].[7K10]_x000D_
[PRDID].[].[10001994]_x000D_
[KEY_FIGURES].[].[ZFORECASTOPENOUTPUT]_x000D_
[LOCID].[].[7K10]_x000D_
[PRDID].[].[10001994]_x000D_
[KEY_FIGURES].[].[ZACTUALSALES]_x000D_
[LOCID].[].[7K10]_x000D_
[PRDID].[].[10001994]_x000D_
[KEY_FIGURES].[].[ZCONSENSUSDEMAND]_x000D_
[LOCID].[].[7K10]_x000D_
[PRDID].[].[10001994]_x000D_
[KEY_FIGURES].[].[INDEPENDENTDEMAND]_x000D_
[LOCID].[].[7K10]_x000D_
[PRDID].[].[10001995]_x000D_
[KEY_FIGURES].[].[ZCONSENSUSDEMANDQTY]_x000D_
[LOCID].[].[7K10]_x000D_
[PRDID].[].[10001995]_x000D_
[KEY_FIGURES].[].[ZINPUTSOFC]_x000D_
[LOCID].[].[7K10]_x000D_
[PRDID].[].[10001995]_x000D_
[KEY_FIGURES].[].[ZFORECASTOPENOUTPUT]_x000D_
[LOCID].[].[7K10]_x000D_
[PRDID].[].[10001995]_x000D_
[KEY_FIGURES].[].[ZACTUALSALES]_x000D_
[LOCID].[].[7K10]_x000D_
[PRDID].[].[10001995]_x000D_
[KEY_FIGURES].[].[ZCONSENSUSDEMAND]_x000D_
[LOCID].[].[7K10]_x000D_
[PRDID].[].[10001995]_x000D_
[KEY_FIGURES].[].[INDEPENDENTDEMAND]_x000D_
[LOCID].[].[7K10]_x000D_
[PRDID].[].[10001996]_x000D_
[KEY_FIGURES].[].[ZCONSENSUSDEMANDQTY]_x000D_
[LOCID].[].[7K10]_x000D_
[PRDID].[].[10001996]_x000D_
[KEY_FIGURES].[].[ZINPUTSOFC]_x000D_
[LOCID].[].[7K10]_x000D_
[PRDID].[].[10001996]_x000D_
[KEY_FIGURES].[].[ZFORECASTOPENOUTPUT]_x000D_
[LOCID].[].[7K10]_x000D_
[PRDID].[].[10001996]_x000D_
[KEY_FIGURES].[].[ZACTUALSALES]_x000D_
[LOCID].[].[7K10]_x000D_
[PRDID].[].[10001996]_x000D_
[KEY_FIGURES].[].[ZCONSENSUSDEMAND]_x000D_
[LOCID].[].[7K10]_x000D_
[PRDID].[].[10001996]_x000D_
[KEY_FIGURES].[].[INDEPENDENTDEMAND]_x000D_
[LOCID].[].[7K10]_x000D_
[PRDID].[].[10001997]_x000D_
[KEY_FIGURES].[].[ZCONSENSUSDEMANDQTY]_x000D_
[LOCID].[].[7K10]_x000D_
[PRDID].[].[10001997]_x000D_
[KEY_FIGURES].[].[ZINPUTSOFC]_x000D_
[LOCID].[].[7K10]_x000D_
[PRDID].[].[10001997]_x000D_
[KEY_FIGURES].[].[ZFORECASTOPENOUTPUT]_x000D_
[LOCID].[].[7K10]_x000D_
[PRDID].[].[10001997]_x000D_
[KEY_FIGURES].[].[ZACTUALSALES]_x000D_
[LOCID].[].[7K10]_x000D_
[PRDID].[].[10001997]_x000D_
[KEY_FIGURES].[].[ZCONSENSUSDEMAND]_x000D_
[LOCID].[].[7K10]_x000D_
[PRDID].[].[10001997]_x000D_
[KEY_FIGURES].[].[INDEPENDENTDEMAND]_x000D_
[LOCID].[].[7K10]_x000D_
[PRDID].[].[10001998]_x000D_
[KEY_FIGURES].[].[ZCONSENSUSDEMANDQTY]_x000D_
[LOCID].[].[7K10]_x000D_
[PRDID].[].[10001998]_x000D_
[KEY_FIGURES].[].[ZINPUTSOFC]_x000D_
[LOCID].[].[7K10]_x000D_
[PRDID].[].[10001998]_x000D_
[KEY_FIGURES].[].[ZFORECASTOPENOUTPUT]_x000D_
[LOCID].[].[7K10]_x000D_
[PRDID].[].[10001998]_x000D_
[KEY_FIGURES].[].[ZACTUALSALES]_x000D_
[LOCID].[].[7K10]_x000D_
[PRDID].[].[10001998]_x000D_
[KEY_FIGURES].[].[ZCONSENSUSDEMAND]_x000D_
[LOCID].[].[7K10]_x000D_
[PRDID].[].[10001998]_x000D_
[KEY_FIGURES].[].[INDEPENDENTDEMAND]_x000D_
[LOCID].[].[7K10]_x000D_
[PRDID].[].[10001999]_x000D_
[KEY_FIGURES].[].[ZCONSENSUSDEMANDQTY]_x000D_
[LOCID].[].[7K10]_x000D_
[PRDID].[].[10001999]_x000D_
[KEY_FIGURES].[].[ZINPUTSOFC]_x000D_
[LOCID].[].[7K10]_x000D_
[PRDID].[].[10001999]_x000D_
[KEY_FIGURES].[].[ZFORECASTOPENOUTPUT]_x000D_
[LOCID].[].[7K10]_x000D_
[PRDID].[].[10001999]_x000D_
[KEY_FIGURES].[].[ZACTUALSALES]_x000D_
[LOCID].[].[7K10]_x000D_
[PRDID].[].[10001999]_x000D_
[KEY_FIGURES].[].[ZCONSENSUSDEMAND]_x000D_
[LOCID].[].[7K10]_x000D_
[PRDID].[].[10001999]_x000D_
[KEY_FIGURES].[].[INDEPENDENTDEMAND]_x000D_
[LOCID].[].[7K10]_x000D_
[PRDID].[].[10002000]_x000D_
[KEY_FIGURES].[].[ZCONSENSUSDEMANDQTY]_x000D_
[LOCID].[].[7K10]_x000D_
[PRDID].[].[10002000]_x000D_
[KEY_FIGURES].[].[ZINPUTSOFC]_x000D_
[LOCID].[].[7K10]_x000D_
[PRDID].[].[10002000]_x000D_
[KEY_FIGURES].[].[ZFORECASTOPENOUTPUT]_x000D_
[LOCID].[].[7K10]_x000D_
[PRDID].[].[10002000]_x000D_
[KEY_FIGURES].[].[ZACTUALSALES]_x000D_
[LOCID].[].[7K10]_x000D_
[PRDID].[].[10002000]_x000D_
[KEY_FIGURES].[].[ZCONSENSUSDEMAND]_x000D_
[LOCID].[].[7K10]</t>
  </si>
  <si>
    <t>[PRDID].[].[10002000]_x000D_
[KEY_FIGURES].[].[INDEPENDENTDEMAND]_x000D_
[LOCID].[].[7K10]_x000D_
[PRDID].[].[10002001]_x000D_
[KEY_FIGURES].[].[ZCONSENSUSDEMANDQTY]_x000D_
[LOCID].[].[7K10]_x000D_
[PRDID].[].[10002001]_x000D_
[KEY_FIGURES].[].[ZINPUTSOFC]_x000D_
[LOCID].[].[7K10]_x000D_
[PRDID].[].[10002001]_x000D_
[KEY_FIGURES].[].[ZFORECASTOPENOUTPUT]_x000D_
[LOCID].[].[7K10]_x000D_
[PRDID].[].[10002001]_x000D_
[KEY_FIGURES].[].[ZACTUALSALES]_x000D_
[LOCID].[].[7K10]_x000D_
[PRDID].[].[10002001]_x000D_
[KEY_FIGURES].[].[ZCONSENSUSDEMAND]_x000D_
[LOCID].[].[7K10]_x000D_
[PRDID].[].[10002001]_x000D_
[KEY_FIGURES].[].[INDEPENDENTDEMAND]_x000D_
[LOCID].[].[7K10]_x000D_
[PRDID].[].[10002002]_x000D_
[KEY_FIGURES].[].[ZCONSENSUSDEMANDQTY]_x000D_
[LOCID].[].[7K10]_x000D_
[PRDID].[].[10002002]_x000D_
[KEY_FIGURES].[].[ZINPUTSOFC]_x000D_
[LOCID].[].[7K10]_x000D_
[PRDID].[].[10002002]_x000D_
[KEY_FIGURES].[].[ZFORECASTOPENOUTPUT]_x000D_
[LOCID].[].[7K10]_x000D_
[PRDID].[].[10002002]_x000D_
[KEY_FIGURES].[].[ZACTUALSALES]_x000D_
[LOCID].[].[7K10]_x000D_
[PRDID].[].[10002002]_x000D_
[KEY_FIGURES].[].[ZCONSENSUSDEMAND]_x000D_
[LOCID].[].[7K10]_x000D_
[PRDID].[].[10002002]_x000D_
[KEY_FIGURES].[].[INDEPENDENTDEMAND]_x000D_
[LOCID].[].[7K10]_x000D_
[PRDID].[].[10002003]_x000D_
[KEY_FIGURES].[].[ZCONSENSUSDEMANDQTY]_x000D_
[LOCID].[].[7K10]_x000D_
[PRDID].[].[10002003]_x000D_
[KEY_FIGURES].[].[ZINPUTSOFC]_x000D_
[LOCID].[].[7K10]_x000D_
[PRDID].[].[10002003]_x000D_
[KEY_FIGURES].[].[ZFORECASTOPENOUTPUT]_x000D_
[LOCID].[].[7K10]_x000D_
[PRDID].[].[10002003]_x000D_
[KEY_FIGURES].[].[ZACTUALSALES]_x000D_
[LOCID].[].[7K10]_x000D_
[PRDID].[].[10002003]_x000D_
[KEY_FIGURES].[].[ZCONSENSUSDEMAND]_x000D_
[LOCID].[].[7K10]_x000D_
[PRDID].[].[10002003]_x000D_
[KEY_FIGURES].[].[INDEPENDENTDEMAND]_x000D_
[LOCID].[].[7K10]_x000D_
[PRDID].[].[10002004]_x000D_
[KEY_FIGURES].[].[ZCONSENSUSDEMANDQTY]_x000D_
[LOCID].[].[7K10]_x000D_
[PRDID].[].[10002004]_x000D_
[KEY_FIGURES].[].[ZINPUTSOFC]_x000D_
[LOCID].[].[7K10]_x000D_
[PRDID].[].[10002004]_x000D_
[KEY_FIGURES].[].[ZFORECASTOPENOUTPUT]_x000D_
[LOCID].[].[7K10]_x000D_
[PRDID].[].[10002004]_x000D_
[KEY_FIGURES].[].[ZACTUALSALES]_x000D_
[LOCID].[].[7K10]_x000D_
[PRDID].[].[10002004]_x000D_
[KEY_FIGURES].[].[ZCONSENSUSDEMAND]_x000D_
[LOCID].[].[7K10]_x000D_
[PRDID].[].[10002004]_x000D_
[KEY_FIGURES].[].[INDEPENDENTDEMAND]_x000D_
[LOCID].[].[7K10]_x000D_
[PRDID].[].[10002005]_x000D_
[KEY_FIGURES].[].[ZCONSENSUSDEMANDQTY]_x000D_
[LOCID].[].[7K10]_x000D_
[PRDID].[].[10002005]_x000D_
[KEY_FIGURES].[].[ZINPUTSOFC]_x000D_
[LOCID].[].[7K10]_x000D_
[PRDID].[].[10002005]_x000D_
[KEY_FIGURES].[].[ZFORECASTOPENOUTPUT]_x000D_
[LOCID].[].[7K10]_x000D_
[PRDID].[].[10002005]_x000D_
[KEY_FIGURES].[].[ZACTUALSALES]_x000D_
[LOCID].[].[7K10]_x000D_
[PRDID].[].[10002005]_x000D_
[KEY_FIGURES].[].[ZCONSENSUSDEMAND]_x000D_
[LOCID].[].[7K10]_x000D_
[PRDID].[].[10002005]_x000D_
[KEY_FIGURES].[].[INDEPENDENTDEMAND]_x000D_
[LOCID].[].[7K10]_x000D_
[PRDID].[].[10002006]_x000D_
[KEY_FIGURES].[].[ZCONSENSUSDEMANDQTY]_x000D_
[LOCID].[].[7K10]_x000D_
[PRDID].[].[10002006]_x000D_
[KEY_FIGURES].[].[ZINPUTSOFC]_x000D_
[LOCID].[].[7K10]_x000D_
[PRDID].[].[10002006]_x000D_
[KEY_FIGURES].[].[ZFORECASTOPENOUTPUT]_x000D_
[LOCID].[].[7K10]_x000D_
[PRDID].[].[10002006]_x000D_
[KEY_FIGURES].[].[ZACTUALSALES]_x000D_
[LOCID].[].[7K10]_x000D_
[PRDID].[].[10002006]_x000D_
[KEY_FIGURES].[].[ZCONSENSUSDEMAND]_x000D_
[LOCID].[].[7K10]_x000D_
[PRDID].[].[10002006]_x000D_
[KEY_FIGURES].[].[INDEPENDENTDEMAND]_x000D_
[LOCID].[].[7K10]_x000D_
[PRDID].[].[10002007]_x000D_
[KEY_FIGURES].[].[ZCONSENSUSDEMANDQTY]_x000D_
[LOCID].[].[7K10]_x000D_
[PRDID].[].[10002007]_x000D_
[KEY_FIGURES].[].[ZINPUTSOFC]_x000D_
[LOCID].[].[7K10]_x000D_
[PRDID].[].[10002007]_x000D_
[KEY_FIGURES].[].[ZFORECASTOPENOUTPUT]_x000D_
[LOCID].[].[7K10]_x000D_
[PRDID].[].[10002007]_x000D_
[KEY_FIGURES].[].[ZACTUALSALES]_x000D_
[LOCID].[].[7K10]_x000D_
[PRDID].[].[10002007]_x000D_
[KEY_FIGURES].[].[ZCONSENSUSDEMAND]_x000D_
[LOCID].[].[7K10]_x000D_
[PRDID].[].[10002007]_x000D_
[KEY_FIGURES].[].[INDEPENDENTDEMAND]_x000D_
[LOCID].[].[7K10]_x000D_
[PRDID].[].[10002008]_x000D_
[KEY_FIGURES].[].[ZCONSENSUSDEMANDQTY]_x000D_
[LOCID].[].[7K10]_x000D_
[PRDID].[].[10002008]_x000D_
[KEY_FIGURES].[].[ZINPUTSOFC]_x000D_
[LOCID].[].[7K10]_x000D_
[PRDID].[].[10002008]_x000D_
[KEY_FIGURES].[].[ZFORECASTOPENOUTPUT]_x000D_
[LOCID].[].[7K10]_x000D_
[PRDID].[].[10002008]_x000D_
[KEY_FIGURES].[].[ZACTUALSALES]_x000D_
[LOCID].[].[7K10]_x000D_
[PRDID].[].[10002008]_x000D_
[KEY_FIGURES].[].[ZCONSENSUSDEMAND]_x000D_
[LOCID].[].[7K10]_x000D_
[PRDID].[].[10002008]_x000D_
[KEY_FIGURES].[].[INDEPENDENTDEMAND]_x000D_
[LOCID].[].[7K10]_x000D_
[PRDID].[].[10002009]_x000D_
[KEY_FIGURES].[].[ZCONSENSUSDEMANDQTY]_x000D_
[LOCID].[].[7K10]_x000D_
[PRDID].[].[10002009]_x000D_
[KEY_FIGURES].[].[ZINPUTSOFC]_x000D_
[LOCID].[].[7K10]_x000D_
[PRDID].[].[10002009]_x000D_
[KEY_FIGURES].[].[ZFORECASTOPENOUTPUT]_x000D_
[LOCID].[].[7K10]_x000D_
[PRDID].[].[10002009]_x000D_
[KEY_FIGURES].[].[ZACTUALSALES]_x000D_
[LOCID].[].[7K10]_x000D_
[PRDID].[].[10002009]_x000D_
[KEY_FIGURES].[].[ZCONSENSUSDEMAND]_x000D_
[LOCID].[].[7K10]_x000D_
[PRDID].[].[10002009]_x000D_
[KEY_FIGURES].[].[INDEPENDENTDEMAND]_x000D_
[LOCID].[].[7K10]_x000D_
[PRDID].[].[10002010]_x000D_
[KEY_FIGURES].[].[ZCONSENSUSDEMANDQTY]_x000D_
[LOCID].[].[7K10]_x000D_
[PRDID].[].[10002010]_x000D_
[KEY_FIGURES].[].[ZINPUTSOFC]_x000D_
[LOCID].[].[7K10]_x000D_
[PRDID].[].[10002010]_x000D_
[KEY_FIGURES].[].[ZFORECASTOPENOUTPUT]_x000D_
[LOCID].[].[7K10]_x000D_
[PRDID].[].[10002010]_x000D_
[KEY_FIGURES].[].[ZACTUALSALES]_x000D_
[LOCID].[].[7K10]_x000D_
[PRDID].[].[10002010]_x000D_
[KEY_FIGURES].[].[ZCONSENSUSDEMAND]_x000D_
[LOCID].[].[7K10]_x000D_
[PRDID].[].[10002010]_x000D_
[KEY_FIGURES].[].[INDEPENDENTDEMAND]_x000D_
[LOCID].[].[7K10]_x000D_
[PRDID].[].[10002011]_x000D_
[KEY_FIGURES].[].[ZCONSENSUSDEMANDQTY]_x000D_
[LOCID].[].[7K10]_x000D_
[PRDID].[].[10002011]_x000D_
[KEY_FIGURES].[].[ZINPUTSOFC]_x000D_
[LOCID].[].[7K10]_x000D_
[PRDID].[].[10002011]_x000D_
[KEY_FIGURES].[].[ZFORECASTOPENOUTPUT]_x000D_
[LOCID].[].[7K10]_x000D_
[PRDID].[].[10002011]_x000D_
[KEY_FIGURES].[].[ZACTUALSALES]_x000D_
[LOCID].[].[7K10]_x000D_
[PRDID].[].[10002011]_x000D_
[KEY_FIGURES].[].[ZCONSENSUSDEMAND]_x000D_
[LOCID].[].[7K10]_x000D_
[PRDID].[].[10002011]_x000D_
[KEY_FIGURES].[].[INDEPENDENTDEMAND]</t>
  </si>
  <si>
    <t>[LOCID].[].[7K10]_x000D_
[PRDID].[].[10002012]_x000D_
[KEY_FIGURES].[].[ZCONSENSUSDEMANDQTY]_x000D_
[LOCID].[].[7K10]_x000D_
[PRDID].[].[10002012]_x000D_
[KEY_FIGURES].[].[ZINPUTSOFC]_x000D_
[LOCID].[].[7K10]_x000D_
[PRDID].[].[10002012]_x000D_
[KEY_FIGURES].[].[ZFORECASTOPENOUTPUT]_x000D_
[LOCID].[].[7K10]_x000D_
[PRDID].[].[10002012]_x000D_
[KEY_FIGURES].[].[ZACTUALSALES]_x000D_
[LOCID].[].[7K10]_x000D_
[PRDID].[].[10002012]_x000D_
[KEY_FIGURES].[].[ZCONSENSUSDEMAND]_x000D_
[LOCID].[].[7K10]_x000D_
[PRDID].[].[10002012]_x000D_
[KEY_FIGURES].[].[INDEPENDENTDEMAND]_x000D_
[LOCID].[].[7K10]_x000D_
[PRDID].[].[10002013]_x000D_
[KEY_FIGURES].[].[ZCONSENSUSDEMANDQTY]_x000D_
[LOCID].[].[7K10]_x000D_
[PRDID].[].[10002013]_x000D_
[KEY_FIGURES].[].[ZINPUTSOFC]_x000D_
[LOCID].[].[7K10]_x000D_
[PRDID].[].[10002013]_x000D_
[KEY_FIGURES].[].[ZFORECASTOPENOUTPUT]_x000D_
[LOCID].[].[7K10]_x000D_
[PRDID].[].[10002013]_x000D_
[KEY_FIGURES].[].[ZACTUALSALES]_x000D_
[LOCID].[].[7K10]_x000D_
[PRDID].[].[10002013]_x000D_
[KEY_FIGURES].[].[ZCONSENSUSDEMAND]_x000D_
[LOCID].[].[7K10]_x000D_
[PRDID].[].[10002013]_x000D_
[KEY_FIGURES].[].[INDEPENDENTDEMAND]_x000D_
[LOCID].[].[7K10]_x000D_
[PRDID].[].[10002014]_x000D_
[KEY_FIGURES].[].[ZCONSENSUSDEMANDQTY]_x000D_
[LOCID].[].[7K10]_x000D_
[PRDID].[].[10002014]_x000D_
[KEY_FIGURES].[].[ZINPUTSOFC]_x000D_
[LOCID].[].[7K10]_x000D_
[PRDID].[].[10002014]_x000D_
[KEY_FIGURES].[].[ZFORECASTOPENOUTPUT]_x000D_
[LOCID].[].[7K10]_x000D_
[PRDID].[].[10002014]_x000D_
[KEY_FIGURES].[].[ZACTUALSALES]_x000D_
[LOCID].[].[7K10]_x000D_
[PRDID].[].[10002014]_x000D_
[KEY_FIGURES].[].[ZCONSENSUSDEMAND]_x000D_
[LOCID].[].[7K10]_x000D_
[PRDID].[].[10002014]_x000D_
[KEY_FIGURES].[].[INDEPENDENTDEMAND]_x000D_
[LOCID].[].[7K10]_x000D_
[PRDID].[].[10002015]_x000D_
[KEY_FIGURES].[].[ZCONSENSUSDEMANDQTY]_x000D_
[LOCID].[].[7K10]_x000D_
[PRDID].[].[10002015]_x000D_
[KEY_FIGURES].[].[ZINPUTSOFC]_x000D_
[LOCID].[].[7K10]_x000D_
[PRDID].[].[10002015]_x000D_
[KEY_FIGURES].[].[ZFORECASTOPENOUTPUT]_x000D_
[LOCID].[].[7K10]_x000D_
[PRDID].[].[10002015]_x000D_
[KEY_FIGURES].[].[ZACTUALSALES]_x000D_
[LOCID].[].[7K10]_x000D_
[PRDID].[].[10002015]_x000D_
[KEY_FIGURES].[].[ZCONSENSUSDEMAND]_x000D_
[LOCID].[].[7K10]_x000D_
[PRDID].[].[10002015]_x000D_
[KEY_FIGURES].[].[INDEPENDENTDEMAND]_x000D_
[LOCID].[].[7K10]_x000D_
[PRDID].[].[10002016]_x000D_
[KEY_FIGURES].[].[ZCONSENSUSDEMANDQTY]_x000D_
[LOCID].[].[7K10]_x000D_
[PRDID].[].[10002016]_x000D_
[KEY_FIGURES].[].[ZINPUTSOFC]_x000D_
[LOCID].[].[7K10]_x000D_
[PRDID].[].[10002016]_x000D_
[KEY_FIGURES].[].[ZFORECASTOPENOUTPUT]_x000D_
[LOCID].[].[7K10]_x000D_
[PRDID].[].[10002016]_x000D_
[KEY_FIGURES].[].[ZACTUALSALES]_x000D_
[LOCID].[].[7K10]_x000D_
[PRDID].[].[10002016]_x000D_
[KEY_FIGURES].[].[ZCONSENSUSDEMAND]_x000D_
[LOCID].[].[7K10]_x000D_
[PRDID].[].[10002016]_x000D_
[KEY_FIGURES].[].[INDEPENDENTDEMAND]_x000D_
[LOCID].[].[7K10]_x000D_
[PRDID].[].[10002017]_x000D_
[KEY_FIGURES].[].[ZCONSENSUSDEMANDQTY]_x000D_
[LOCID].[].[7K10]_x000D_
[PRDID].[].[10002017]_x000D_
[KEY_FIGURES].[].[ZINPUTSOFC]_x000D_
[LOCID].[].[7K10]_x000D_
[PRDID].[].[10002017]_x000D_
[KEY_FIGURES].[].[ZFORECASTOPENOUTPUT]_x000D_
[LOCID].[].[7K10]_x000D_
[PRDID].[].[10002017]_x000D_
[KEY_FIGURES].[].[ZACTUALSALES]_x000D_
[LOCID].[].[7K10]_x000D_
[PRDID].[].[10002017]_x000D_
[KEY_FIGURES].[].[ZCONSENSUSDEMAND]_x000D_
[LOCID].[].[7K10]_x000D_
[PRDID].[].[10002017]_x000D_
[KEY_FIGURES].[].[INDEPENDENTDEMAND]_x000D_
[LOCID].[].[7K10]_x000D_
[PRDID].[].[10002018]_x000D_
[KEY_FIGURES].[].[ZCONSENSUSDEMANDQTY]_x000D_
[LOCID].[].[7K10]_x000D_
[PRDID].[].[10002018]_x000D_
[KEY_FIGURES].[].[ZINPUTSOFC]_x000D_
[LOCID].[].[7K10]_x000D_
[PRDID].[].[10002018]_x000D_
[KEY_FIGURES].[].[ZFORECASTOPENOUTPUT]_x000D_
[LOCID].[].[7K10]_x000D_
[PRDID].[].[10002018]_x000D_
[KEY_FIGURES].[].[ZACTUALSALES]_x000D_
[LOCID].[].[7K10]_x000D_
[PRDID].[].[10002018]_x000D_
[KEY_FIGURES].[].[ZCONSENSUSDEMAND]_x000D_
[LOCID].[].[7K10]_x000D_
[PRDID].[].[10002018]_x000D_
[KEY_FIGURES].[].[INDEPENDENTDEMAND]_x000D_
[LOCID].[].[7K10]_x000D_
[PRDID].[].[10002019]_x000D_
[KEY_FIGURES].[].[ZCONSENSUSDEMANDQTY]_x000D_
[LOCID].[].[7K10]_x000D_
[PRDID].[].[10002019]_x000D_
[KEY_FIGURES].[].[ZINPUTSOFC]_x000D_
[LOCID].[].[7K10]_x000D_
[PRDID].[].[10002019]_x000D_
[KEY_FIGURES].[].[ZFORECASTOPENOUTPUT]_x000D_
[LOCID].[].[7K10]_x000D_
[PRDID].[].[10002019]_x000D_
[KEY_FIGURES].[].[ZACTUALSALES]_x000D_
[LOCID].[].[7K10]_x000D_
[PRDID].[].[10002019]_x000D_
[KEY_FIGURES].[].[ZCONSENSUSDEMAND]_x000D_
[LOCID].[].[7K10]_x000D_
[PRDID].[].[10002019]_x000D_
[KEY_FIGURES].[].[INDEPENDENTDEMAND]_x000D_
[LOCID].[].[7K10]_x000D_
[PRDID].[].[10002020]_x000D_
[KEY_FIGURES].[].[ZCONSENSUSDEMANDQTY]_x000D_
[LOCID].[].[7K10]_x000D_
[PRDID].[].[10002020]_x000D_
[KEY_FIGURES].[].[ZINPUTSOFC]_x000D_
[LOCID].[].[7K10]_x000D_
[PRDID].[].[10002020]_x000D_
[KEY_FIGURES].[].[ZFORECASTOPENOUTPUT]_x000D_
[LOCID].[].[7K10]_x000D_
[PRDID].[].[10002020]_x000D_
[KEY_FIGURES].[].[ZACTUALSALES]_x000D_
[LOCID].[].[7K10]_x000D_
[PRDID].[].[10002020]_x000D_
[KEY_FIGURES].[].[ZCONSENSUSDEMAND]_x000D_
[LOCID].[].[7K10]_x000D_
[PRDID].[].[10002020]_x000D_
[KEY_FIGURES].[].[INDEPENDENTDEMAND]_x000D_
[LOCID].[].[7K10]_x000D_
[PRDID].[].[10002021]_x000D_
[KEY_FIGURES].[].[ZCONSENSUSDEMANDQTY]_x000D_
[LOCID].[].[7K10]_x000D_
[PRDID].[].[10002021]_x000D_
[KEY_FIGURES].[].[ZINPUTSOFC]_x000D_
[LOCID].[].[7K10]_x000D_
[PRDID].[].[10002021]_x000D_
[KEY_FIGURES].[].[ZFORECASTOPENOUTPUT]_x000D_
[LOCID].[].[7K10]_x000D_
[PRDID].[].[10002021]_x000D_
[KEY_FIGURES].[].[ZACTUALSALES]_x000D_
[LOCID].[].[7K10]_x000D_
[PRDID].[].[10002021]_x000D_
[KEY_FIGURES].[].[ZCONSENSUSDEMAND]_x000D_
[LOCID].[].[7K10]_x000D_
[PRDID].[].[10002021]_x000D_
[KEY_FIGURES].[].[INDEPENDENTDEMAND]_x000D_
[LOCID].[].[7K10]_x000D_
[PRDID].[].[10002022]_x000D_
[KEY_FIGURES].[].[ZCONSENSUSDEMANDQTY]_x000D_
[LOCID].[].[7K10]_x000D_
[PRDID].[].[10002022]_x000D_
[KEY_FIGURES].[].[ZINPUTSOFC]_x000D_
[LOCID].[].[7K10]_x000D_
[PRDID].[].[10002022]_x000D_
[KEY_FIGURES].[].[ZFORECASTOPENOUTPUT]_x000D_
[LOCID].[].[7K10]_x000D_
[PRDID].[].[10002022]_x000D_
[KEY_FIGURES].[].[ZACTUALSALES]_x000D_
[LOCID].[].[7K10]_x000D_
[PRDID].[].[10002022]_x000D_
[KEY_FIGURES].[].[ZCONSENSUSDEMAND]_x000D_
[LOCID].[].[7K10]_x000D_
[PRDID].[].[10002022]_x000D_
[KEY_FIGURES].[].[INDEPENDENTDEMAND]_x000D_
[LOCID].[].[7K10]_x000D_
[PRDID].[].[10002023]</t>
  </si>
  <si>
    <t>[KEY_FIGURES].[].[ZCONSENSUSDEMANDQTY]_x000D_
[LOCID].[].[7K10]_x000D_
[PRDID].[].[10002023]_x000D_
[KEY_FIGURES].[].[ZINPUTSOFC]_x000D_
[LOCID].[].[7K10]_x000D_
[PRDID].[].[10002023]_x000D_
[KEY_FIGURES].[].[ZFORECASTOPENOUTPUT]_x000D_
[LOCID].[].[7K10]_x000D_
[PRDID].[].[10002023]_x000D_
[KEY_FIGURES].[].[ZACTUALSALES]_x000D_
[LOCID].[].[7K10]_x000D_
[PRDID].[].[10002023]_x000D_
[KEY_FIGURES].[].[ZCONSENSUSDEMAND]_x000D_
[LOCID].[].[7K10]_x000D_
[PRDID].[].[10002023]_x000D_
[KEY_FIGURES].[].[INDEPENDENTDEMAND]_x000D_
[LOCID].[].[7K10]_x000D_
[PRDID].[].[10002024]_x000D_
[KEY_FIGURES].[].[ZCONSENSUSDEMANDQTY]_x000D_
[LOCID].[].[7K10]_x000D_
[PRDID].[].[10002024]_x000D_
[KEY_FIGURES].[].[ZINPUTSOFC]_x000D_
[LOCID].[].[7K10]_x000D_
[PRDID].[].[10002024]_x000D_
[KEY_FIGURES].[].[ZFORECASTOPENOUTPUT]_x000D_
[LOCID].[].[7K10]_x000D_
[PRDID].[].[10002024]_x000D_
[KEY_FIGURES].[].[ZACTUALSALES]_x000D_
[LOCID].[].[7K10]_x000D_
[PRDID].[].[10002024]_x000D_
[KEY_FIGURES].[].[ZCONSENSUSDEMAND]_x000D_
[LOCID].[].[7K10]_x000D_
[PRDID].[].[10002024]_x000D_
[KEY_FIGURES].[].[INDEPENDENTDEMAND]_x000D_
[LOCID].[].[7K10]_x000D_
[PRDID].[].[10002025]_x000D_
[KEY_FIGURES].[].[ZCONSENSUSDEMANDQTY]_x000D_
[LOCID].[].[7K10]_x000D_
[PRDID].[].[10002025]_x000D_
[KEY_FIGURES].[].[ZINPUTSOFC]_x000D_
[LOCID].[].[7K10]_x000D_
[PRDID].[].[10002025]_x000D_
[KEY_FIGURES].[].[ZFORECASTOPENOUTPUT]_x000D_
[LOCID].[].[7K10]_x000D_
[PRDID].[].[10002025]_x000D_
[KEY_FIGURES].[].[ZACTUALSALES]_x000D_
[LOCID].[].[7K10]_x000D_
[PRDID].[].[10002025]_x000D_
[KEY_FIGURES].[].[ZCONSENSUSDEMAND]_x000D_
[LOCID].[].[7K10]_x000D_
[PRDID].[].[10002025]_x000D_
[KEY_FIGURES].[].[INDEPENDENTDEMAND]_x000D_
[LOCID].[].[7K10]_x000D_
[PRDID].[].[10002026]_x000D_
[KEY_FIGURES].[].[ZCONSENSUSDEMANDQTY]_x000D_
[LOCID].[].[7K10]_x000D_
[PRDID].[].[10002026]_x000D_
[KEY_FIGURES].[].[ZINPUTSOFC]_x000D_
[LOCID].[].[7K10]_x000D_
[PRDID].[].[10002026]_x000D_
[KEY_FIGURES].[].[ZFORECASTOPENOUTPUT]_x000D_
[LOCID].[].[7K10]_x000D_
[PRDID].[].[10002026]_x000D_
[KEY_FIGURES].[].[ZACTUALSALES]_x000D_
[LOCID].[].[7K10]_x000D_
[PRDID].[].[10002026]_x000D_
[KEY_FIGURES].[].[ZCONSENSUSDEMAND]_x000D_
[LOCID].[].[7K10]_x000D_
[PRDID].[].[10002026]_x000D_
[KEY_FIGURES].[].[INDEPENDENTDEMAND]_x000D_
[LOCID].[].[7K10]_x000D_
[PRDID].[].[10002027]_x000D_
[KEY_FIGURES].[].[ZCONSENSUSDEMANDQTY]_x000D_
[LOCID].[].[7K10]_x000D_
[PRDID].[].[10002027]_x000D_
[KEY_FIGURES].[].[ZINPUTSOFC]_x000D_
[LOCID].[].[7K10]_x000D_
[PRDID].[].[10002027]_x000D_
[KEY_FIGURES].[].[ZFORECASTOPENOUTPUT]_x000D_
[LOCID].[].[7K10]_x000D_
[PRDID].[].[10002027]_x000D_
[KEY_FIGURES].[].[ZACTUALSALES]_x000D_
[LOCID].[].[7K10]_x000D_
[PRDID].[].[10002027]_x000D_
[KEY_FIGURES].[].[ZCONSENSUSDEMAND]_x000D_
[LOCID].[].[7K10]_x000D_
[PRDID].[].[10002027]_x000D_
[KEY_FIGURES].[].[INDEPENDENTDEMAND]_x000D_
[LOCID].[].[7K10]_x000D_
[PRDID].[].[10002028]_x000D_
[KEY_FIGURES].[].[ZCONSENSUSDEMANDQTY]_x000D_
[LOCID].[].[7K10]_x000D_
[PRDID].[].[10002028]_x000D_
[KEY_FIGURES].[].[ZINPUTSOFC]_x000D_
[LOCID].[].[7K10]_x000D_
[PRDID].[].[10002028]_x000D_
[KEY_FIGURES].[].[ZFORECASTOPENOUTPUT]_x000D_
[LOCID].[].[7K10]_x000D_
[PRDID].[].[10002028]_x000D_
[KEY_FIGURES].[].[ZACTUALSALES]_x000D_
[LOCID].[].[7K10]_x000D_
[PRDID].[].[10002028]_x000D_
[KEY_FIGURES].[].[ZCONSENSUSDEMAND]_x000D_
[LOCID].[].[7K10]_x000D_
[PRDID].[].[10002028]_x000D_
[KEY_FIGURES].[].[INDEPENDENTDEMAND]_x000D_
[LOCID].[].[7K10]_x000D_
[PRDID].[].[10002029]_x000D_
[KEY_FIGURES].[].[ZCONSENSUSDEMANDQTY]_x000D_
[LOCID].[].[7K10]_x000D_
[PRDID].[].[10002029]_x000D_
[KEY_FIGURES].[].[ZINPUTSOFC]_x000D_
[LOCID].[].[7K10]_x000D_
[PRDID].[].[10002029]_x000D_
[KEY_FIGURES].[].[ZFORECASTOPENOUTPUT]_x000D_
[LOCID].[].[7K10]_x000D_
[PRDID].[].[10002029]_x000D_
[KEY_FIGURES].[].[ZACTUALSALES]_x000D_
[LOCID].[].[7K10]_x000D_
[PRDID].[].[10002029]_x000D_
[KEY_FIGURES].[].[ZCONSENSUSDEMAND]_x000D_
[LOCID].[].[7K10]_x000D_
[PRDID].[].[10002029]_x000D_
[KEY_FIGURES].[].[INDEPENDENTDEMAND]_x000D_
[LOCID].[].[7K10]_x000D_
[PRDID].[].[10002030]_x000D_
[KEY_FIGURES].[].[ZCONSENSUSDEMANDQTY]_x000D_
[LOCID].[].[7K10]_x000D_
[PRDID].[].[10002030]_x000D_
[KEY_FIGURES].[].[ZINPUTSOFC]_x000D_
[LOCID].[].[7K10]_x000D_
[PRDID].[].[10002030]_x000D_
[KEY_FIGURES].[].[ZFORECASTOPENOUTPUT]_x000D_
[LOCID].[].[7K10]_x000D_
[PRDID].[].[10002030]_x000D_
[KEY_FIGURES].[].[ZACTUALSALES]_x000D_
[LOCID].[].[7K10]_x000D_
[PRDID].[].[10002030]_x000D_
[KEY_FIGURES].[].[ZCONSENSUSDEMAND]_x000D_
[LOCID].[].[7K10]_x000D_
[PRDID].[].[10002030]_x000D_
[KEY_FIGURES].[].[INDEPENDENTDEMAND]_x000D_
[LOCID].[].[7K10]_x000D_
[PRDID].[].[10002031]_x000D_
[KEY_FIGURES].[].[ZCONSENSUSDEMANDQTY]_x000D_
[LOCID].[].[7K10]_x000D_
[PRDID].[].[10002031]_x000D_
[KEY_FIGURES].[].[ZINPUTSOFC]_x000D_
[LOCID].[].[7K10]_x000D_
[PRDID].[].[10002031]_x000D_
[KEY_FIGURES].[].[ZFORECASTOPENOUTPUT]_x000D_
[LOCID].[].[7K10]_x000D_
[PRDID].[].[10002031]_x000D_
[KEY_FIGURES].[].[ZACTUALSALES]_x000D_
[LOCID].[].[7K10]_x000D_
[PRDID].[].[10002031]_x000D_
[KEY_FIGURES].[].[ZCONSENSUSDEMAND]_x000D_
[LOCID].[].[7K10]_x000D_
[PRDID].[].[10002031]_x000D_
[KEY_FIGURES].[].[INDEPENDENTDEMAND]</t>
  </si>
  <si>
    <t>2</t>
  </si>
  <si>
    <t>Integrated Business Planning</t>
  </si>
  <si>
    <t>Input Forecast - FC Process</t>
  </si>
  <si>
    <t>Border | Pattern</t>
  </si>
  <si>
    <t>8</t>
  </si>
  <si>
    <t>[LOCID].[].[7K10]_x000D_
[PRDID].[].[10001674]_x000D_
[KEY_FIGURES].[].[ZCONSENSUSDEMANDQTY]_x000D_
[LOCID].[].[7K10]_x000D_
[PRDID].[].[10001674]_x000D_
[KEY_FIGURES].[].[ZSODLYQTYNRUP]_x000D_
[LOCID].[].[7K10]_x000D_
[PRDID].[].[10001674]_x000D_
[KEY_FIGURES].[].[ZINPUTSOFC]_x000D_
[LOCID].[].[7K10]_x000D_
[PRDID].[].[10001674]_x000D_
[KEY_FIGURES].[].[ZFORECASTOPENOUTPUT]_x000D_
[LOCID].[].[7K10]_x000D_
[PRDID].[].[10001674]_x000D_
[KEY_FIGURES].[].[ZACTUALSALES]_x000D_
[LOCID].[].[7K10]_x000D_
[PRDID].[].[10001674]_x000D_
[KEY_FIGURES].[].[ZCONSENSUSDEMAND]_x000D_
[LOCID].[].[7K10]_x000D_
[PRDID].[].[10001674]_x000D_
[KEY_FIGURES].[].[INDEPENDENTDEMAND]</t>
  </si>
  <si>
    <t>[PERIODID4].[].[62673]_x000D_
[PERIODID4].[].[62674]_x000D_
[PERIODID4].[].[62675]_x000D_
[PERIODID4].[].[62676]_x000D_
[PERIODID4].[].[62677]_x000D_
[PERIODID4].[].[62678]_x000D_
[PERIODID4].[].[62679]_x000D_
[PERIODID4].[].[62680]_x000D_
[PERIODID4].[].[62681]_x000D_
[PERIODID4].[].[62682]_x000D_
[PERIODID4].[].[62683]_x000D_
[PERIODID4].[].[62684]_x000D_
[PERIODID4].[].[62685]_x000D_
[PERIODID4].[].[62686]_x000D_
[PERIODID4].[].[62687]_x000D_
[PERIODID4].[].[62688]_x000D_
[PERIODID4].[].[62689]_x000D_
[PERIODID4].[].[62690]_x000D_
[PERIODID4].[].[62691]_x000D_
[PERIODID4].[].[62692]_x000D_
[PERIODID4].[].[62693]_x000D_
[PERIODID4].[].[62694]_x000D_
[PERIODID4].[].[62695]_x000D_
[PERIODID4].[].[62696]_x000D_
[PERIODID4].[].[62697]_x000D_
[PERIODID4].[].[62698]_x000D_
[PERIODID4].[].[62699]_x000D_
[PERIODID4].[].[62700]_x000D_
[PERIODID4].[].[62701]_x000D_
[PERIODID4].[].[62702]_x000D_
[PERIODID4].[].[62703]_x000D_
[PERIODID4].[].[62704]_x000D_
[PERIODID4].[].[62705]_x000D_
[PERIODID4].[].[62706]_x000D_
[PERIODID4].[].[62707]_x000D_
[PERIODID4].[].[62708]_x000D_
[PERIODID4].[].[62709]_x000D_
[PERIODID4].[].[62710]_x000D_
[PERIODID4].[].[62711]_x000D_
[PERIODID4].[].[62712]_x000D_
[PERIODID4].[].[62713]_x000D_
[PERIODID4].[].[62714]_x000D_
[PERIODID4].[].[62715]_x000D_
[PERIODID4].[].[62716]_x000D_
[PERIODID4].[].[62717]_x000D_
[PERIODID4].[].[62718]_x000D_
[PERIODID4].[].[62719]_x000D_
[PERIODID4].[].[62720]_x000D_
[PERIODID4].[].[62721]_x000D_
[PERIODID4].[].[62722]_x000D_
[PERIODID4].[].[62723]_x000D_
[PERIODID4].[].[62724]_x000D_
[PERIODID4].[].[62725]_x000D_
[PERIODID4].[].[62726]_x000D_
[PERIODID4].[].[62727]_x000D_
[PERIODID4].[].[62728]_x000D_
[PERIODID4].[].[62729]_x000D_
[PERIODID4].[].[62730]_x000D_
[PERIODID4].[].[62731]_x000D_
[PERIODID4].[].[62732]_x000D_
[PERIODID4].[].[62733]_x000D_
[PERIODID4].[].[62734]_x000D_
[PERIODID4].[].[62735]_x000D_
[PERIODID4].[].[62736]_x000D_
[PERIODID4].[].[62737]_x000D_
[PERIODID4].[].[62738]_x000D_
[PERIODID4].[].[62739]_x000D_
[PERIODID4].[].[62740]_x000D_
[PERIODID4].[].[62741]_x000D_
[PERIODID4].[].[62742]_x000D_
[PERIODID4].[].[62743]_x000D_
[PERIODID4].[].[62744]_x000D_
[PERIODID4].[].[62745]_x000D_
[PERIODID4].[].[62746]_x000D_
[PERIODID4].[].[62747]_x000D_
[PERIODID4].[].[62748]_x000D_
[PERIODID4].[].[62749]_x000D_
[PERIODID4].[].[62750]_x000D_
[PERIODID4].[].[62751]_x000D_
[PERIODID4].[].[62752]</t>
  </si>
  <si>
    <t>[PRDID].[].[10001667]_x000D_
[KEY_FIGURES].[].[ZCONSENSUSDEMANDQTY]_x000D_
[LOCID].[].[7K10]_x000D_
[PRDID].[].[10001667]_x000D_
[KEY_FIGURES].[].[ZSODLYQTYNRUP]_x000D_
[LOCID].[].[7K10]_x000D_
[PRDID].[].[10001667]_x000D_
[KEY_FIGURES].[].[ZINPUTSOFC]_x000D_
[LOCID].[].[7K10]_x000D_
[PRDID].[].[10001667]_x000D_
[KEY_FIGURES].[].[ZFORECASTOPENOUTPUT]_x000D_
[LOCID].[].[7K10]_x000D_
[PRDID].[].[10001667]_x000D_
[KEY_FIGURES].[].[ZACTUALSALES]_x000D_
[LOCID].[].[7K10]_x000D_
[PRDID].[].[10001667]_x000D_
[KEY_FIGURES].[].[ZCONSENSUSDEMAND]_x000D_
[LOCID].[].[7K10]_x000D_
[PRDID].[].[10001667]_x000D_
[KEY_FIGURES].[].[INDEPENDENTDEMAND]_x000D_
[LOCID].[].[7K10]_x000D_
[PRDID].[].[10001668]_x000D_
[KEY_FIGURES].[].[ZCONSENSUSDEMANDQTY]_x000D_
[LOCID].[].[7K10]_x000D_
[PRDID].[].[10001668]_x000D_
[KEY_FIGURES].[].[ZSODLYQTYNRUP]_x000D_
[LOCID].[].[7K10]_x000D_
[PRDID].[].[10001668]_x000D_
[KEY_FIGURES].[].[ZINPUTSOFC]_x000D_
[LOCID].[].[7K10]_x000D_
[PRDID].[].[10001668]_x000D_
[KEY_FIGURES].[].[ZFORECASTOPENOUTPUT]_x000D_
[LOCID].[].[7K10]_x000D_
[PRDID].[].[10001668]_x000D_
[KEY_FIGURES].[].[ZACTUALSALES]_x000D_
[LOCID].[].[7K10]_x000D_
[PRDID].[].[10001668]_x000D_
[KEY_FIGURES].[].[ZCONSENSUSDEMAND]_x000D_
[LOCID].[].[7K10]_x000D_
[PRDID].[].[10001668]_x000D_
[KEY_FIGURES].[].[INDEPENDENTDEMAND]_x000D_
[LOCID].[].[7K10]_x000D_
[PRDID].[].[10001670]_x000D_
[KEY_FIGURES].[].[ZCONSENSUSDEMANDQTY]_x000D_
[LOCID].[].[7K10]_x000D_
[PRDID].[].[10001670]_x000D_
[KEY_FIGURES].[].[ZSODLYQTYNRUP]_x000D_
[LOCID].[].[7K10]_x000D_
[PRDID].[].[10001670]_x000D_
[KEY_FIGURES].[].[ZINPUTSOFC]_x000D_
[LOCID].[].[7K10]_x000D_
[PRDID].[].[10001670]_x000D_
[KEY_FIGURES].[].[ZFORECASTOPENOUTPUT]_x000D_
[LOCID].[].[7K10]_x000D_
[PRDID].[].[10001670]_x000D_
[KEY_FIGURES].[].[ZACTUALSALES]_x000D_
[LOCID].[].[7K10]_x000D_
[PRDID].[].[10001670]_x000D_
[KEY_FIGURES].[].[ZCONSENSUSDEMAND]_x000D_
[LOCID].[].[7K10]_x000D_
[PRDID].[].[10001670]_x000D_
[KEY_FIGURES].[].[INDEPENDENTDEMAND]_x000D_
[LOCID].[].[7K10]_x000D_
[PRDID].[].[10001674]_x000D_
[KEY_FIGURES].[].[ZCONSENSUSDEMANDQTY]_x000D_
[LOCID].[].[7K10]_x000D_
[PRDID].[].[10001674]_x000D_
[KEY_FIGURES].[].[ZSODLYQTYNRUP]_x000D_
[LOCID].[].[7K10]_x000D_
[PRDID].[].[10001674]_x000D_
[KEY_FIGURES].[].[ZINPUTSOFC]_x000D_
[LOCID].[].[7K10]_x000D_
[PRDID].[].[10001674]_x000D_
[KEY_FIGURES].[].[ZFORECASTOPENOUTPUT]_x000D_
[LOCID].[].[7K10]_x000D_
[PRDID].[].[10001674]_x000D_
[KEY_FIGURES].[].[ZACTUALSALES]_x000D_
[LOCID].[].[7K10]_x000D_
[PRDID].[].[10001674]_x000D_
[KEY_FIGURES].[].[ZCONSENSUSDEMAND]_x000D_
[LOCID].[].[7K10]_x000D_
[PRDID].[].[10001674]_x000D_
[KEY_FIGURES].[].[INDEPENDENTDEMAND]_x000D_
[LOCID].[].[7K10]_x000D_
[PRDID].[].[10001675]_x000D_
[KEY_FIGURES].[].[ZCONSENSUSDEMANDQTY]_x000D_
[LOCID].[].[7K10]_x000D_
[PRDID].[].[10001675]_x000D_
[KEY_FIGURES].[].[ZSODLYQTYNRUP]_x000D_
[LOCID].[].[7K10]_x000D_
[PRDID].[].[10001675]_x000D_
[KEY_FIGURES].[].[ZINPUTSOFC]_x000D_
[LOCID].[].[7K10]_x000D_
[PRDID].[].[10001675]_x000D_
[KEY_FIGURES].[].[ZFORECASTOPENOUTPUT]_x000D_
[LOCID].[].[7K10]_x000D_
[PRDID].[].[10001675]_x000D_
[KEY_FIGURES].[].[ZACTUALSALES]_x000D_
[LOCID].[].[7K10]_x000D_
[PRDID].[].[10001675]_x000D_
[KEY_FIGURES].[].[ZCONSENSUSDEMAND]_x000D_
[LOCID].[].[7K10]_x000D_
[PRDID].[].[10001675]_x000D_
[KEY_FIGURES].[].[INDEPENDENTDEMAND]_x000D_
[LOCID].[].[7K10]_x000D_
[PRDID].[].[10001677]_x000D_
[KEY_FIGURES].[].[ZCONSENSUSDEMANDQTY]_x000D_
[LOCID].[].[7K10]_x000D_
[PRDID].[].[10001677]_x000D_
[KEY_FIGURES].[].[ZSODLYQTYNRUP]_x000D_
[LOCID].[].[7K10]_x000D_
[PRDID].[].[10001677]_x000D_
[KEY_FIGURES].[].[ZINPUTSOFC]_x000D_
[LOCID].[].[7K10]_x000D_
[PRDID].[].[10001677]_x000D_
[KEY_FIGURES].[].[ZFORECASTOPENOUTPUT]_x000D_
[LOCID].[].[7K10]_x000D_
[PRDID].[].[10001677]_x000D_
[KEY_FIGURES].[].[ZACTUALSALES]_x000D_
[LOCID].[].[7K10]_x000D_
[PRDID].[].[10001677]_x000D_
[KEY_FIGURES].[].[ZCONSENSUSDEMAND]_x000D_
[LOCID].[].[7K10]_x000D_
[PRDID].[].[10001677]_x000D_
[KEY_FIGURES].[].[INDEPENDENTDEMAND]_x000D_
[LOCID].[].[7K10]_x000D_
[PRDID].[].[10001678]_x000D_
[KEY_FIGURES].[].[ZCONSENSUSDEMANDQTY]_x000D_
[LOCID].[].[7K10]_x000D_
[PRDID].[].[10001678]_x000D_
[KEY_FIGURES].[].[ZSODLYQTYNRUP]_x000D_
[LOCID].[].[7K10]_x000D_
[PRDID].[].[10001678]_x000D_
[KEY_FIGURES].[].[ZINPUTSOFC]_x000D_
[LOCID].[].[7K10]_x000D_
[PRDID].[].[10001678]_x000D_
[KEY_FIGURES].[].[ZFORECASTOPENOUTPUT]_x000D_
[LOCID].[].[7K10]_x000D_
[PRDID].[].[10001678]_x000D_
[KEY_FIGURES].[].[ZACTUALSALES]_x000D_
[LOCID].[].[7K10]_x000D_
[PRDID].[].[10001678]_x000D_
[KEY_FIGURES].[].[ZCONSENSUSDEMAND]_x000D_
[LOCID].[].[7K10]_x000D_
[PRDID].[].[10001678]_x000D_
[KEY_FIGURES].[].[INDEPENDENTDEMAND]_x000D_
[LOCID].[].[7K10]_x000D_
[PRDID].[].[10001679]_x000D_
[KEY_FIGURES].[].[ZCONSENSUSDEMANDQTY]_x000D_
[LOCID].[].[7K10]_x000D_
[PRDID].[].[10001679]_x000D_
[KEY_FIGURES].[].[ZSODLYQTYNRUP]_x000D_
[LOCID].[].[7K10]_x000D_
[PRDID].[].[10001679]_x000D_
[KEY_FIGURES].[].[ZINPUTSOFC]_x000D_
[LOCID].[].[7K10]_x000D_
[PRDID].[].[10001679]_x000D_
[KEY_FIGURES].[].[ZFORECASTOPENOUTPUT]_x000D_
[LOCID].[].[7K10]_x000D_
[PRDID].[].[10001679]_x000D_
[KEY_FIGURES].[].[ZACTUALSALES]_x000D_
[LOCID].[].[7K10]_x000D_
[PRDID].[].[10001679]_x000D_
[KEY_FIGURES].[].[ZCONSENSUSDEMAND]_x000D_
[LOCID].[].[7K10]_x000D_
[PRDID].[].[10001679]_x000D_
[KEY_FIGURES].[].[INDEPENDENTDEMAND]_x000D_
[LOCID].[].[7K10]_x000D_
[PRDID].[].[10001680]_x000D_
[KEY_FIGURES].[].[ZCONSENSUSDEMANDQTY]_x000D_
[LOCID].[].[7K10]_x000D_
[PRDID].[].[10001680]_x000D_
[KEY_FIGURES].[].[ZSODLYQTYNRUP]_x000D_
[LOCID].[].[7K10]_x000D_
[PRDID].[].[10001680]_x000D_
[KEY_FIGURES].[].[ZINPUTSOFC]_x000D_
[LOCID].[].[7K10]_x000D_
[PRDID].[].[10001680]_x000D_
[KEY_FIGURES].[].[ZFORECASTOPENOUTPUT]_x000D_
[LOCID].[].[7K10]_x000D_
[PRDID].[].[10001680]_x000D_
[KEY_FIGURES].[].[ZACTUALSALES]_x000D_
[LOCID].[].[7K10]_x000D_
[PRDID].[].[10001680]_x000D_
[KEY_FIGURES].[].[ZCONSENSUSDEMAND]_x000D_
[LOCID].[].[7K10]_x000D_
[PRDID].[].[10001680]_x000D_
[KEY_FIGURES].[].[INDEPENDENTDEMAND]_x000D_
[LOCID].[].[7K10]_x000D_
[PRDID].[].[10001681]_x000D_
[KEY_FIGURES].[].[ZCONSENSUSDEMANDQTY]_x000D_
[LOCID].[].[7K10]_x000D_
[PRDID].[].[10001681]_x000D_
[KEY_FIGURES].[].[ZSODLYQTYNRUP]_x000D_
[LOCID].[].[7K10]_x000D_
[PRDID].[].[10001681]_x000D_
[KEY_FIGURES].[].[ZINPUTSOFC]_x000D_
[LOCID].[].[7K10]_x000D_
[PRDID].[].[10001681]_x000D_
[KEY_FIGURES].[].[ZFORECASTOPENOUTPUT]</t>
  </si>
  <si>
    <t>[LOCID].[].[7K10]_x000D_
[PRDID].[].[10001681]_x000D_
[KEY_FIGURES].[].[ZACTUALSALES]_x000D_
[LOCID].[].[7K10]_x000D_
[PRDID].[].[10001681]_x000D_
[KEY_FIGURES].[].[ZCONSENSUSDEMAND]_x000D_
[LOCID].[].[7K10]_x000D_
[PRDID].[].[10001681]_x000D_
[KEY_FIGURES].[].[INDEPENDENTDEMAND]_x000D_
[LOCID].[].[7K10]_x000D_
[PRDID].[].[10001683]_x000D_
[KEY_FIGURES].[].[ZCONSENSUSDEMANDQTY]_x000D_
[LOCID].[].[7K10]_x000D_
[PRDID].[].[10001683]_x000D_
[KEY_FIGURES].[].[ZSODLYQTYNRUP]_x000D_
[LOCID].[].[7K10]_x000D_
[PRDID].[].[10001683]_x000D_
[KEY_FIGURES].[].[ZINPUTSOFC]_x000D_
[LOCID].[].[7K10]_x000D_
[PRDID].[].[10001683]_x000D_
[KEY_FIGURES].[].[ZFORECASTOPENOUTPUT]_x000D_
[LOCID].[].[7K10]_x000D_
[PRDID].[].[10001683]_x000D_
[KEY_FIGURES].[].[ZACTUALSALES]_x000D_
[LOCID].[].[7K10]_x000D_
[PRDID].[].[10001683]_x000D_
[KEY_FIGURES].[].[ZCONSENSUSDEMAND]_x000D_
[LOCID].[].[7K10]_x000D_
[PRDID].[].[10001683]_x000D_
[KEY_FIGURES].[].[INDEPENDENTDEMAND]_x000D_
[LOCID].[].[7K10]_x000D_
[PRDID].[].[10001685]_x000D_
[KEY_FIGURES].[].[ZCONSENSUSDEMANDQTY]_x000D_
[LOCID].[].[7K10]_x000D_
[PRDID].[].[10001685]_x000D_
[KEY_FIGURES].[].[ZSODLYQTYNRUP]_x000D_
[LOCID].[].[7K10]_x000D_
[PRDID].[].[10001685]_x000D_
[KEY_FIGURES].[].[ZINPUTSOFC]_x000D_
[LOCID].[].[7K10]_x000D_
[PRDID].[].[10001685]_x000D_
[KEY_FIGURES].[].[ZFORECASTOPENOUTPUT]_x000D_
[LOCID].[].[7K10]_x000D_
[PRDID].[].[10001685]_x000D_
[KEY_FIGURES].[].[ZACTUALSALES]_x000D_
[LOCID].[].[7K10]_x000D_
[PRDID].[].[10001685]_x000D_
[KEY_FIGURES].[].[ZCONSENSUSDEMAND]_x000D_
[LOCID].[].[7K10]_x000D_
[PRDID].[].[10001685]_x000D_
[KEY_FIGURES].[].[INDEPENDENTDEMAND]_x000D_
[LOCID].[].[7K10]_x000D_
[PRDID].[].[10001691]_x000D_
[KEY_FIGURES].[].[ZCONSENSUSDEMANDQTY]_x000D_
[LOCID].[].[7K10]_x000D_
[PRDID].[].[10001691]_x000D_
[KEY_FIGURES].[].[ZSODLYQTYNRUP]_x000D_
[LOCID].[].[7K10]_x000D_
[PRDID].[].[10001691]_x000D_
[KEY_FIGURES].[].[ZINPUTSOFC]_x000D_
[LOCID].[].[7K10]_x000D_
[PRDID].[].[10001691]_x000D_
[KEY_FIGURES].[].[ZFORECASTOPENOUTPUT]_x000D_
[LOCID].[].[7K10]_x000D_
[PRDID].[].[10001691]_x000D_
[KEY_FIGURES].[].[ZACTUALSALES]_x000D_
[LOCID].[].[7K10]_x000D_
[PRDID].[].[10001691]_x000D_
[KEY_FIGURES].[].[ZCONSENSUSDEMAND]_x000D_
[LOCID].[].[7K10]_x000D_
[PRDID].[].[10001691]_x000D_
[KEY_FIGURES].[].[INDEPENDENTDEMAND]_x000D_
[LOCID].[].[7K10]_x000D_
[PRDID].[].[10001751]_x000D_
[KEY_FIGURES].[].[ZCONSENSUSDEMANDQTY]_x000D_
[LOCID].[].[7K10]_x000D_
[PRDID].[].[10001751]_x000D_
[KEY_FIGURES].[].[ZSODLYQTYNRUP]_x000D_
[LOCID].[].[7K10]_x000D_
[PRDID].[].[10001751]_x000D_
[KEY_FIGURES].[].[ZINPUTSOFC]_x000D_
[LOCID].[].[7K10]_x000D_
[PRDID].[].[10001751]_x000D_
[KEY_FIGURES].[].[ZFORECASTOPENOUTPUT]_x000D_
[LOCID].[].[7K10]_x000D_
[PRDID].[].[10001751]_x000D_
[KEY_FIGURES].[].[ZACTUALSALES]_x000D_
[LOCID].[].[7K10]_x000D_
[PRDID].[].[10001751]_x000D_
[KEY_FIGURES].[].[ZCONSENSUSDEMAND]_x000D_
[LOCID].[].[7K10]_x000D_
[PRDID].[].[10001751]_x000D_
[KEY_FIGURES].[].[INDEPENDENTDEMAND]_x000D_
[LOCID].[].[7K10]_x000D_
[PRDID].[].[10001752]_x000D_
[KEY_FIGURES].[].[ZCONSENSUSDEMANDQTY]_x000D_
[LOCID].[].[7K10]_x000D_
[PRDID].[].[10001752]_x000D_
[KEY_FIGURES].[].[ZSODLYQTYNRUP]_x000D_
[LOCID].[].[7K10]_x000D_
[PRDID].[].[10001752]_x000D_
[KEY_FIGURES].[].[ZINPUTSOFC]_x000D_
[LOCID].[].[7K10]_x000D_
[PRDID].[].[10001752]_x000D_
[KEY_FIGURES].[].[ZFORECASTOPENOUTPUT]_x000D_
[LOCID].[].[7K10]_x000D_
[PRDID].[].[10001752]_x000D_
[KEY_FIGURES].[].[ZACTUALSALES]_x000D_
[LOCID].[].[7K10]_x000D_
[PRDID].[].[10001752]_x000D_
[KEY_FIGURES].[].[ZCONSENSUSDEMAND]_x000D_
[LOCID].[].[7K10]_x000D_
[PRDID].[].[10001752]_x000D_
[KEY_FIGURES].[].[INDEPENDENTDEMAND]_x000D_
[LOCID].[].[7K10]_x000D_
[PRDID].[].[10001753]_x000D_
[KEY_FIGURES].[].[ZCONSENSUSDEMANDQTY]_x000D_
[LOCID].[].[7K10]_x000D_
[PRDID].[].[10001753]_x000D_
[KEY_FIGURES].[].[ZSODLYQTYNRUP]_x000D_
[LOCID].[].[7K10]_x000D_
[PRDID].[].[10001753]_x000D_
[KEY_FIGURES].[].[ZINPUTSOFC]_x000D_
[LOCID].[].[7K10]_x000D_
[PRDID].[].[10001753]_x000D_
[KEY_FIGURES].[].[ZFORECASTOPENOUTPUT]_x000D_
[LOCID].[].[7K10]_x000D_
[PRDID].[].[10001753]_x000D_
[KEY_FIGURES].[].[ZACTUALSALES]_x000D_
[LOCID].[].[7K10]_x000D_
[PRDID].[].[10001753]_x000D_
[KEY_FIGURES].[].[ZCONSENSUSDEMAND]_x000D_
[LOCID].[].[7K10]_x000D_
[PRDID].[].[10001753]_x000D_
[KEY_FIGURES].[].[INDEPENDENTDEMAND]_x000D_
[LOCID].[].[7K10]_x000D_
[PRDID].[].[10001755]_x000D_
[KEY_FIGURES].[].[ZCONSENSUSDEMANDQTY]_x000D_
[LOCID].[].[7K10]_x000D_
[PRDID].[].[10001755]_x000D_
[KEY_FIGURES].[].[ZSODLYQTYNRUP]_x000D_
[LOCID].[].[7K10]_x000D_
[PRDID].[].[10001755]_x000D_
[KEY_FIGURES].[].[ZINPUTSOFC]_x000D_
[LOCID].[].[7K10]_x000D_
[PRDID].[].[10001755]_x000D_
[KEY_FIGURES].[].[ZFORECASTOPENOUTPUT]_x000D_
[LOCID].[].[7K10]_x000D_
[PRDID].[].[10001755]_x000D_
[KEY_FIGURES].[].[ZACTUALSALES]_x000D_
[LOCID].[].[7K10]_x000D_
[PRDID].[].[10001755]_x000D_
[KEY_FIGURES].[].[ZCONSENSUSDEMAND]_x000D_
[LOCID].[].[7K10]_x000D_
[PRDID].[].[10001755]_x000D_
[KEY_FIGURES].[].[INDEPENDENTDEMAND]_x000D_
[LOCID].[].[7K10]_x000D_
[PRDID].[].[10001756]_x000D_
[KEY_FIGURES].[].[ZCONSENSUSDEMANDQTY]_x000D_
[LOCID].[].[7K10]_x000D_
[PRDID].[].[10001756]_x000D_
[KEY_FIGURES].[].[ZSODLYQTYNRUP]_x000D_
[LOCID].[].[7K10]_x000D_
[PRDID].[].[10001756]_x000D_
[KEY_FIGURES].[].[ZINPUTSOFC]_x000D_
[LOCID].[].[7K10]_x000D_
[PRDID].[].[10001756]_x000D_
[KEY_FIGURES].[].[ZFORECASTOPENOUTPUT]_x000D_
[LOCID].[].[7K10]_x000D_
[PRDID].[].[10001756]_x000D_
[KEY_FIGURES].[].[ZACTUALSALES]_x000D_
[LOCID].[].[7K10]_x000D_
[PRDID].[].[10001756]_x000D_
[KEY_FIGURES].[].[ZCONSENSUSDEMAND]_x000D_
[LOCID].[].[7K10]_x000D_
[PRDID].[].[10001756]_x000D_
[KEY_FIGURES].[].[INDEPENDENTDEMAND]_x000D_
[LOCID].[].[7K10]_x000D_
[PRDID].[].[10001757]_x000D_
[KEY_FIGURES].[].[ZCONSENSUSDEMANDQTY]_x000D_
[LOCID].[].[7K10]_x000D_
[PRDID].[].[10001757]_x000D_
[KEY_FIGURES].[].[ZSODLYQTYNRUP]_x000D_
[LOCID].[].[7K10]_x000D_
[PRDID].[].[10001757]_x000D_
[KEY_FIGURES].[].[ZINPUTSOFC]_x000D_
[LOCID].[].[7K10]_x000D_
[PRDID].[].[10001757]_x000D_
[KEY_FIGURES].[].[ZFORECASTOPENOUTPUT]_x000D_
[LOCID].[].[7K10]_x000D_
[PRDID].[].[10001757]_x000D_
[KEY_FIGURES].[].[ZACTUALSALES]_x000D_
[LOCID].[].[7K10]_x000D_
[PRDID].[].[10001757]_x000D_
[KEY_FIGURES].[].[ZCONSENSUSDEMAND]_x000D_
[LOCID].[].[7K10]_x000D_
[PRDID].[].[10001757]_x000D_
[KEY_FIGURES].[].[INDEPENDENTDEMAND]_x000D_
[LOCID].[].[7K10]_x000D_
[PRDID].[].[10001758]</t>
  </si>
  <si>
    <t>[KEY_FIGURES].[].[ZCONSENSUSDEMANDQTY]_x000D_
[LOCID].[].[7K10]_x000D_
[PRDID].[].[10001758]_x000D_
[KEY_FIGURES].[].[ZSODLYQTYNRUP]_x000D_
[LOCID].[].[7K10]_x000D_
[PRDID].[].[10001758]_x000D_
[KEY_FIGURES].[].[ZINPUTSOFC]_x000D_
[LOCID].[].[7K10]_x000D_
[PRDID].[].[10001758]_x000D_
[KEY_FIGURES].[].[ZFORECASTOPENOUTPUT]_x000D_
[LOCID].[].[7K10]_x000D_
[PRDID].[].[10001758]_x000D_
[KEY_FIGURES].[].[ZACTUALSALES]_x000D_
[LOCID].[].[7K10]_x000D_
[PRDID].[].[10001758]_x000D_
[KEY_FIGURES].[].[ZCONSENSUSDEMAND]_x000D_
[LOCID].[].[7K10]_x000D_
[PRDID].[].[10001758]_x000D_
[KEY_FIGURES].[].[INDEPENDENTDEMAND]_x000D_
[LOCID].[].[7K10]_x000D_
[PRDID].[].[10001760]_x000D_
[KEY_FIGURES].[].[ZCONSENSUSDEMANDQTY]_x000D_
[LOCID].[].[7K10]_x000D_
[PRDID].[].[10001760]_x000D_
[KEY_FIGURES].[].[ZSODLYQTYNRUP]_x000D_
[LOCID].[].[7K10]_x000D_
[PRDID].[].[10001760]_x000D_
[KEY_FIGURES].[].[ZINPUTSOFC]_x000D_
[LOCID].[].[7K10]_x000D_
[PRDID].[].[10001760]_x000D_
[KEY_FIGURES].[].[ZFORECASTOPENOUTPUT]_x000D_
[LOCID].[].[7K10]_x000D_
[PRDID].[].[10001760]_x000D_
[KEY_FIGURES].[].[ZACTUALSALES]_x000D_
[LOCID].[].[7K10]_x000D_
[PRDID].[].[10001760]_x000D_
[KEY_FIGURES].[].[ZCONSENSUSDEMAND]_x000D_
[LOCID].[].[7K10]_x000D_
[PRDID].[].[10001760]_x000D_
[KEY_FIGURES].[].[INDEPENDENTDEMAND]_x000D_
[LOCID].[].[7K10]_x000D_
[PRDID].[].[10001761]_x000D_
[KEY_FIGURES].[].[ZCONSENSUSDEMANDQTY]_x000D_
[LOCID].[].[7K10]_x000D_
[PRDID].[].[10001761]_x000D_
[KEY_FIGURES].[].[ZSODLYQTYNRUP]_x000D_
[LOCID].[].[7K10]_x000D_
[PRDID].[].[10001761]_x000D_
[KEY_FIGURES].[].[ZINPUTSOFC]_x000D_
[LOCID].[].[7K10]_x000D_
[PRDID].[].[10001761]_x000D_
[KEY_FIGURES].[].[ZFORECASTOPENOUTPUT]_x000D_
[LOCID].[].[7K10]_x000D_
[PRDID].[].[10001761]_x000D_
[KEY_FIGURES].[].[ZACTUALSALES]_x000D_
[LOCID].[].[7K10]_x000D_
[PRDID].[].[10001761]_x000D_
[KEY_FIGURES].[].[ZCONSENSUSDEMAND]_x000D_
[LOCID].[].[7K10]_x000D_
[PRDID].[].[10001761]_x000D_
[KEY_FIGURES].[].[INDEPENDENTDEMAND]_x000D_
[LOCID].[].[7K10]_x000D_
[PRDID].[].[10002923]_x000D_
[KEY_FIGURES].[].[ZCONSENSUSDEMANDQTY]_x000D_
[LOCID].[].[7K10]_x000D_
[PRDID].[].[10002923]_x000D_
[KEY_FIGURES].[].[ZSODLYQTYNRUP]_x000D_
[LOCID].[].[7K10]_x000D_
[PRDID].[].[10002923]_x000D_
[KEY_FIGURES].[].[ZINPUTSOFC]_x000D_
[LOCID].[].[7K10]_x000D_
[PRDID].[].[10002923]_x000D_
[KEY_FIGURES].[].[ZFORECASTOPENOUTPUT]_x000D_
[LOCID].[].[7K10]_x000D_
[PRDID].[].[10002923]_x000D_
[KEY_FIGURES].[].[ZACTUALSALES]_x000D_
[LOCID].[].[7K10]_x000D_
[PRDID].[].[10002923]_x000D_
[KEY_FIGURES].[].[ZCONSENSUSDEMAND]_x000D_
[LOCID].[].[7K10]_x000D_
[PRDID].[].[10002923]_x000D_
[KEY_FIGURES].[].[INDEPENDENTDEMAND]_x000D_
[LOCID].[].[7K10]_x000D_
[PRDID].[].[10002924]_x000D_
[KEY_FIGURES].[].[ZCONSENSUSDEMANDQTY]_x000D_
[LOCID].[].[7K10]_x000D_
[PRDID].[].[10002924]_x000D_
[KEY_FIGURES].[].[ZSODLYQTYNRUP]_x000D_
[LOCID].[].[7K10]_x000D_
[PRDID].[].[10002924]_x000D_
[KEY_FIGURES].[].[ZINPUTSOFC]_x000D_
[LOCID].[].[7K10]_x000D_
[PRDID].[].[10002924]_x000D_
[KEY_FIGURES].[].[ZFORECASTOPENOUTPUT]_x000D_
[LOCID].[].[7K10]_x000D_
[PRDID].[].[10002924]_x000D_
[KEY_FIGURES].[].[ZACTUALSALES]_x000D_
[LOCID].[].[7K10]_x000D_
[PRDID].[].[10002924]_x000D_
[KEY_FIGURES].[].[ZCONSENSUSDEMAND]_x000D_
[LOCID].[].[7K10]_x000D_
[PRDID].[].[10002924]_x000D_
[KEY_FIGURES].[].[INDEPENDENTDEMAND]_x000D_
[LOCID].[].[7K10]_x000D_
[PRDID].[].[10002925]_x000D_
[KEY_FIGURES].[].[ZCONSENSUSDEMANDQTY]_x000D_
[LOCID].[].[7K10]_x000D_
[PRDID].[].[10002925]_x000D_
[KEY_FIGURES].[].[ZSODLYQTYNRUP]_x000D_
[LOCID].[].[7K10]_x000D_
[PRDID].[].[10002925]_x000D_
[KEY_FIGURES].[].[ZINPUTSOFC]_x000D_
[LOCID].[].[7K10]_x000D_
[PRDID].[].[10002925]_x000D_
[KEY_FIGURES].[].[ZFORECASTOPENOUTPUT]_x000D_
[LOCID].[].[7K10]_x000D_
[PRDID].[].[10002925]_x000D_
[KEY_FIGURES].[].[ZACTUALSALES]_x000D_
[LOCID].[].[7K10]_x000D_
[PRDID].[].[10002925]_x000D_
[KEY_FIGURES].[].[ZCONSENSUSDEMAND]_x000D_
[LOCID].[].[7K10]_x000D_
[PRDID].[].[10002925]_x000D_
[KEY_FIGURES].[].[INDEPENDENTDEMAND]_x000D_
[LOCID].[].[7K10]_x000D_
[PRDID].[].[10002926]_x000D_
[KEY_FIGURES].[].[ZCONSENSUSDEMANDQTY]_x000D_
[LOCID].[].[7K10]_x000D_
[PRDID].[].[10002926]_x000D_
[KEY_FIGURES].[].[ZSODLYQTYNRUP]_x000D_
[LOCID].[].[7K10]_x000D_
[PRDID].[].[10002926]_x000D_
[KEY_FIGURES].[].[ZINPUTSOFC]_x000D_
[LOCID].[].[7K10]_x000D_
[PRDID].[].[10002926]_x000D_
[KEY_FIGURES].[].[ZFORECASTOPENOUTPUT]_x000D_
[LOCID].[].[7K10]_x000D_
[PRDID].[].[10002926]_x000D_
[KEY_FIGURES].[].[ZACTUALSALES]_x000D_
[LOCID].[].[7K10]_x000D_
[PRDID].[].[10002926]_x000D_
[KEY_FIGURES].[].[ZCONSENSUSDEMAND]_x000D_
[LOCID].[].[7K10]_x000D_
[PRDID].[].[10002926]_x000D_
[KEY_FIGURES].[].[INDEPENDENTDEMAND]_x000D_
[LOCID].[].[7K10]_x000D_
[PRDID].[].[10002927]_x000D_
[KEY_FIGURES].[].[ZCONSENSUSDEMANDQTY]_x000D_
[LOCID].[].[7K10]_x000D_
[PRDID].[].[10002927]_x000D_
[KEY_FIGURES].[].[ZSODLYQTYNRUP]_x000D_
[LOCID].[].[7K10]_x000D_
[PRDID].[].[10002927]_x000D_
[KEY_FIGURES].[].[ZINPUTSOFC]_x000D_
[LOCID].[].[7K10]_x000D_
[PRDID].[].[10002927]_x000D_
[KEY_FIGURES].[].[ZFORECASTOPENOUTPUT]_x000D_
[LOCID].[].[7K10]_x000D_
[PRDID].[].[10002927]_x000D_
[KEY_FIGURES].[].[ZACTUALSALES]_x000D_
[LOCID].[].[7K10]_x000D_
[PRDID].[].[10002927]_x000D_
[KEY_FIGURES].[].[ZCONSENSUSDEMAND]_x000D_
[LOCID].[].[7K10]_x000D_
[PRDID].[].[10002927]_x000D_
[KEY_FIGURES].[].[INDEPENDENTDEMAND]_x000D_
[LOCID].[].[7K10]_x000D_
[PRDID].[].[10002928]_x000D_
[KEY_FIGURES].[].[ZCONSENSUSDEMANDQTY]_x000D_
[LOCID].[].[7K10]_x000D_
[PRDID].[].[10002928]_x000D_
[KEY_FIGURES].[].[ZSODLYQTYNRUP]_x000D_
[LOCID].[].[7K10]_x000D_
[PRDID].[].[10002928]_x000D_
[KEY_FIGURES].[].[ZINPUTSOFC]_x000D_
[LOCID].[].[7K10]_x000D_
[PRDID].[].[10002928]_x000D_
[KEY_FIGURES].[].[ZFORECASTOPENOUTPUT]_x000D_
[LOCID].[].[7K10]_x000D_
[PRDID].[].[10002928]_x000D_
[KEY_FIGURES].[].[ZACTUALSALES]_x000D_
[LOCID].[].[7K10]_x000D_
[PRDID].[].[10002928]_x000D_
[KEY_FIGURES].[].[ZCONSENSUSDEMAND]_x000D_
[LOCID].[].[7K10]_x000D_
[PRDID].[].[10002928]_x000D_
[KEY_FIGURES].[].[INDEPENDENTDEMAND]_x000D_
[LOCID].[].[7K10]_x000D_
[PRDID].[].[10002929]_x000D_
[KEY_FIGURES].[].[ZCONSENSUSDEMANDQTY]_x000D_
[LOCID].[].[7K10]_x000D_
[PRDID].[].[10002929]_x000D_
[KEY_FIGURES].[].[ZSODLYQTYNRUP]_x000D_
[LOCID].[].[7K10]_x000D_
[PRDID].[].[10002929]_x000D_
[KEY_FIGURES].[].[ZINPUTSOFC]_x000D_
[LOCID].[].[7K10]_x000D_
[PRDID].[].[10002929]_x000D_
[KEY_FIGURES].[].[ZFORECASTOPENOUTPUT]_x000D_
[LOCID].[].[7K10]</t>
  </si>
  <si>
    <t>[PRDID].[].[10002929]_x000D_
[KEY_FIGURES].[].[ZACTUALSALES]_x000D_
[LOCID].[].[7K10]_x000D_
[PRDID].[].[10002929]_x000D_
[KEY_FIGURES].[].[ZCONSENSUSDEMAND]_x000D_
[LOCID].[].[7K10]_x000D_
[PRDID].[].[10002929]_x000D_
[KEY_FIGURES].[].[INDEPENDENTDEMAND]_x000D_
[LOCID].[].[7K10]_x000D_
[PRDID].[].[10002930]_x000D_
[KEY_FIGURES].[].[ZCONSENSUSDEMANDQTY]_x000D_
[LOCID].[].[7K10]_x000D_
[PRDID].[].[10002930]_x000D_
[KEY_FIGURES].[].[ZSODLYQTYNRUP]_x000D_
[LOCID].[].[7K10]_x000D_
[PRDID].[].[10002930]_x000D_
[KEY_FIGURES].[].[ZINPUTSOFC]_x000D_
[LOCID].[].[7K10]_x000D_
[PRDID].[].[10002930]_x000D_
[KEY_FIGURES].[].[ZFORECASTOPENOUTPUT]_x000D_
[LOCID].[].[7K10]_x000D_
[PRDID].[].[10002930]_x000D_
[KEY_FIGURES].[].[ZACTUALSALES]_x000D_
[LOCID].[].[7K10]_x000D_
[PRDID].[].[10002930]_x000D_
[KEY_FIGURES].[].[ZCONSENSUSDEMAND]_x000D_
[LOCID].[].[7K10]_x000D_
[PRDID].[].[10002930]_x000D_
[KEY_FIGURES].[].[INDEPENDENTDEMAND]_x000D_
[LOCID].[].[7K10]_x000D_
[PRDID].[].[10002931]_x000D_
[KEY_FIGURES].[].[ZCONSENSUSDEMANDQTY]_x000D_
[LOCID].[].[7K10]_x000D_
[PRDID].[].[10002931]_x000D_
[KEY_FIGURES].[].[ZSODLYQTYNRUP]_x000D_
[LOCID].[].[7K10]_x000D_
[PRDID].[].[10002931]_x000D_
[KEY_FIGURES].[].[ZINPUTSOFC]_x000D_
[LOCID].[].[7K10]_x000D_
[PRDID].[].[10002931]_x000D_
[KEY_FIGURES].[].[ZFORECASTOPENOUTPUT]_x000D_
[LOCID].[].[7K10]_x000D_
[PRDID].[].[10002931]_x000D_
[KEY_FIGURES].[].[ZACTUALSALES]_x000D_
[LOCID].[].[7K10]_x000D_
[PRDID].[].[10002931]_x000D_
[KEY_FIGURES].[].[ZCONSENSUSDEMAND]_x000D_
[LOCID].[].[7K10]_x000D_
[PRDID].[].[10002931]_x000D_
[KEY_FIGURES].[].[INDEPENDENTDEMAND]_x000D_
[LOCID].[].[7K10]_x000D_
[PRDID].[].[10002932]_x000D_
[KEY_FIGURES].[].[ZCONSENSUSDEMANDQTY]_x000D_
[LOCID].[].[7K10]_x000D_
[PRDID].[].[10002932]_x000D_
[KEY_FIGURES].[].[ZSODLYQTYNRUP]_x000D_
[LOCID].[].[7K10]_x000D_
[PRDID].[].[10002932]_x000D_
[KEY_FIGURES].[].[ZINPUTSOFC]_x000D_
[LOCID].[].[7K10]_x000D_
[PRDID].[].[10002932]_x000D_
[KEY_FIGURES].[].[ZFORECASTOPENOUTPUT]_x000D_
[LOCID].[].[7K10]_x000D_
[PRDID].[].[10002932]_x000D_
[KEY_FIGURES].[].[ZACTUALSALES]_x000D_
[LOCID].[].[7K10]_x000D_
[PRDID].[].[10002932]_x000D_
[KEY_FIGURES].[].[ZCONSENSUSDEMAND]_x000D_
[LOCID].[].[7K10]_x000D_
[PRDID].[].[10002932]_x000D_
[KEY_FIGURES].[].[INDEPENDENTDEMAND]_x000D_
[LOCID].[].[7K10]_x000D_
[PRDID].[].[10002933]_x000D_
[KEY_FIGURES].[].[ZCONSENSUSDEMANDQTY]_x000D_
[LOCID].[].[7K10]_x000D_
[PRDID].[].[10002933]_x000D_
[KEY_FIGURES].[].[ZSODLYQTYNRUP]_x000D_
[LOCID].[].[7K10]_x000D_
[PRDID].[].[10002933]_x000D_
[KEY_FIGURES].[].[ZINPUTSOFC]_x000D_
[LOCID].[].[7K10]_x000D_
[PRDID].[].[10002933]_x000D_
[KEY_FIGURES].[].[ZFORECASTOPENOUTPUT]_x000D_
[LOCID].[].[7K10]_x000D_
[PRDID].[].[10002933]_x000D_
[KEY_FIGURES].[].[ZACTUALSALES]_x000D_
[LOCID].[].[7K10]_x000D_
[PRDID].[].[10002933]_x000D_
[KEY_FIGURES].[].[ZCONSENSUSDEMAND]_x000D_
[LOCID].[].[7K10]_x000D_
[PRDID].[].[10002933]_x000D_
[KEY_FIGURES].[].[INDEPENDENTDEMAND]_x000D_
[LOCID].[].[7K10]_x000D_
[PRDID].[].[10002934]_x000D_
[KEY_FIGURES].[].[ZCONSENSUSDEMANDQTY]_x000D_
[LOCID].[].[7K10]_x000D_
[PRDID].[].[10002934]_x000D_
[KEY_FIGURES].[].[ZSODLYQTYNRUP]_x000D_
[LOCID].[].[7K10]_x000D_
[PRDID].[].[10002934]_x000D_
[KEY_FIGURES].[].[ZINPUTSOFC]_x000D_
[LOCID].[].[7K10]_x000D_
[PRDID].[].[10002934]_x000D_
[KEY_FIGURES].[].[ZFORECASTOPENOUTPUT]_x000D_
[LOCID].[].[7K10]_x000D_
[PRDID].[].[10002934]_x000D_
[KEY_FIGURES].[].[ZACTUALSALES]_x000D_
[LOCID].[].[7K10]_x000D_
[PRDID].[].[10002934]_x000D_
[KEY_FIGURES].[].[ZCONSENSUSDEMAND]_x000D_
[LOCID].[].[7K10]_x000D_
[PRDID].[].[10002934]_x000D_
[KEY_FIGURES].[].[INDEPENDENTDEMAND]_x000D_
[LOCID].[].[7K10]_x000D_
[PRDID].[].[10002935]_x000D_
[KEY_FIGURES].[].[ZCONSENSUSDEMANDQTY]_x000D_
[LOCID].[].[7K10]_x000D_
[PRDID].[].[10002935]_x000D_
[KEY_FIGURES].[].[ZSODLYQTYNRUP]_x000D_
[LOCID].[].[7K10]_x000D_
[PRDID].[].[10002935]_x000D_
[KEY_FIGURES].[].[ZINPUTSOFC]_x000D_
[LOCID].[].[7K10]_x000D_
[PRDID].[].[10002935]_x000D_
[KEY_FIGURES].[].[ZFORECASTOPENOUTPUT]_x000D_
[LOCID].[].[7K10]_x000D_
[PRDID].[].[10002935]_x000D_
[KEY_FIGURES].[].[ZACTUALSALES]_x000D_
[LOCID].[].[7K10]_x000D_
[PRDID].[].[10002935]_x000D_
[KEY_FIGURES].[].[ZCONSENSUSDEMAND]_x000D_
[LOCID].[].[7K10]_x000D_
[PRDID].[].[10002935]_x000D_
[KEY_FIGURES].[].[INDEPENDENTDEMAND]_x000D_
[LOCID].[].[7K10]_x000D_
[PRDID].[].[10002936]_x000D_
[KEY_FIGURES].[].[ZCONSENSUSDEMANDQTY]_x000D_
[LOCID].[].[7K10]_x000D_
[PRDID].[].[10002936]_x000D_
[KEY_FIGURES].[].[ZSODLYQTYNRUP]_x000D_
[LOCID].[].[7K10]_x000D_
[PRDID].[].[10002936]_x000D_
[KEY_FIGURES].[].[ZINPUTSOFC]_x000D_
[LOCID].[].[7K10]_x000D_
[PRDID].[].[10002936]_x000D_
[KEY_FIGURES].[].[ZFORECASTOPENOUTPUT]_x000D_
[LOCID].[].[7K10]_x000D_
[PRDID].[].[10002936]_x000D_
[KEY_FIGURES].[].[ZACTUALSALES]_x000D_
[LOCID].[].[7K10]_x000D_
[PRDID].[].[10002936]_x000D_
[KEY_FIGURES].[].[ZCONSENSUSDEMAND]_x000D_
[LOCID].[].[7K10]_x000D_
[PRDID].[].[10002936]_x000D_
[KEY_FIGURES].[].[INDEPENDENTDEMAND]_x000D_
[LOCID].[].[7K10]_x000D_
[PRDID].[].[10002937]_x000D_
[KEY_FIGURES].[].[ZCONSENSUSDEMANDQTY]_x000D_
[LOCID].[].[7K10]_x000D_
[PRDID].[].[10002937]_x000D_
[KEY_FIGURES].[].[ZSODLYQTYNRUP]_x000D_
[LOCID].[].[7K10]_x000D_
[PRDID].[].[10002937]_x000D_
[KEY_FIGURES].[].[ZINPUTSOFC]_x000D_
[LOCID].[].[7K10]_x000D_
[PRDID].[].[10002937]_x000D_
[KEY_FIGURES].[].[ZFORECASTOPENOUTPUT]_x000D_
[LOCID].[].[7K10]_x000D_
[PRDID].[].[10002937]_x000D_
[KEY_FIGURES].[].[ZACTUALSALES]_x000D_
[LOCID].[].[7K10]_x000D_
[PRDID].[].[10002937]_x000D_
[KEY_FIGURES].[].[ZCONSENSUSDEMAND]_x000D_
[LOCID].[].[7K10]_x000D_
[PRDID].[].[10002937]_x000D_
[KEY_FIGURES].[].[INDEPENDENTDEMAND]_x000D_
[LOCID].[].[7K10]_x000D_
[PRDID].[].[10002943]_x000D_
[KEY_FIGURES].[].[ZCONSENSUSDEMANDQTY]_x000D_
[LOCID].[].[7K10]_x000D_
[PRDID].[].[10002943]_x000D_
[KEY_FIGURES].[].[ZSODLYQTYNRUP]_x000D_
[LOCID].[].[7K10]_x000D_
[PRDID].[].[10002943]_x000D_
[KEY_FIGURES].[].[ZINPUTSOFC]_x000D_
[LOCID].[].[7K10]_x000D_
[PRDID].[].[10002943]_x000D_
[KEY_FIGURES].[].[ZFORECASTOPENOUTPUT]_x000D_
[LOCID].[].[7K10]_x000D_
[PRDID].[].[10002943]_x000D_
[KEY_FIGURES].[].[ZACTUALSALES]_x000D_
[LOCID].[].[7K10]_x000D_
[PRDID].[].[10002943]_x000D_
[KEY_FIGURES].[].[ZCONSENSUSDEMAND]_x000D_
[LOCID].[].[7K10]_x000D_
[PRDID].[].[10002943]_x000D_
[KEY_FIGURES].[].[INDEPENDENTDEMAND]_x000D_
[LOCID].[].[7K10]_x000D_
[PRDID].[].[10002946]_x000D_
[KEY_FIGURES].[].[ZCONSENSUSDEMANDQTY]</t>
  </si>
  <si>
    <t>[LOCID].[].[7K10]_x000D_
[PRDID].[].[10002946]_x000D_
[KEY_FIGURES].[].[ZSODLYQTYNRUP]_x000D_
[LOCID].[].[7K10]_x000D_
[PRDID].[].[10002946]_x000D_
[KEY_FIGURES].[].[ZINPUTSOFC]_x000D_
[LOCID].[].[7K10]_x000D_
[PRDID].[].[10002946]_x000D_
[KEY_FIGURES].[].[ZFORECASTOPENOUTPUT]_x000D_
[LOCID].[].[7K10]_x000D_
[PRDID].[].[10002946]_x000D_
[KEY_FIGURES].[].[ZACTUALSALES]_x000D_
[LOCID].[].[7K10]_x000D_
[PRDID].[].[10002946]_x000D_
[KEY_FIGURES].[].[ZCONSENSUSDEMAND]_x000D_
[LOCID].[].[7K10]_x000D_
[PRDID].[].[10002946]_x000D_
[KEY_FIGURES].[].[INDEPENDENTDEMAND]_x000D_
[LOCID].[].[7K10]_x000D_
[PRDID].[].[10002947]_x000D_
[KEY_FIGURES].[].[ZCONSENSUSDEMANDQTY]_x000D_
[LOCID].[].[7K10]_x000D_
[PRDID].[].[10002947]_x000D_
[KEY_FIGURES].[].[ZSODLYQTYNRUP]_x000D_
[LOCID].[].[7K10]_x000D_
[PRDID].[].[10002947]_x000D_
[KEY_FIGURES].[].[ZINPUTSOFC]_x000D_
[LOCID].[].[7K10]_x000D_
[PRDID].[].[10002947]_x000D_
[KEY_FIGURES].[].[ZFORECASTOPENOUTPUT]_x000D_
[LOCID].[].[7K10]_x000D_
[PRDID].[].[10002947]_x000D_
[KEY_FIGURES].[].[ZACTUALSALES]_x000D_
[LOCID].[].[7K10]_x000D_
[PRDID].[].[10002947]_x000D_
[KEY_FIGURES].[].[ZCONSENSUSDEMAND]_x000D_
[LOCID].[].[7K10]_x000D_
[PRDID].[].[10002947]_x000D_
[KEY_FIGURES].[].[INDEPENDENTDEMAND]_x000D_
[LOCID].[].[7K10]_x000D_
[PRDID].[].[10002948]_x000D_
[KEY_FIGURES].[].[ZCONSENSUSDEMANDQTY]_x000D_
[LOCID].[].[7K10]_x000D_
[PRDID].[].[10002948]_x000D_
[KEY_FIGURES].[].[ZSODLYQTYNRUP]_x000D_
[LOCID].[].[7K10]_x000D_
[PRDID].[].[10002948]_x000D_
[KEY_FIGURES].[].[ZINPUTSOFC]_x000D_
[LOCID].[].[7K10]_x000D_
[PRDID].[].[10002948]_x000D_
[KEY_FIGURES].[].[ZFORECASTOPENOUTPUT]_x000D_
[LOCID].[].[7K10]_x000D_
[PRDID].[].[10002948]_x000D_
[KEY_FIGURES].[].[ZACTUALSALES]_x000D_
[LOCID].[].[7K10]_x000D_
[PRDID].[].[10002948]_x000D_
[KEY_FIGURES].[].[ZCONSENSUSDEMAND]_x000D_
[LOCID].[].[7K10]_x000D_
[PRDID].[].[10002948]_x000D_
[KEY_FIGURES].[].[INDEPENDENTDEMAND]_x000D_
[LOCID].[].[7K10]_x000D_
[PRDID].[].[10002949]_x000D_
[KEY_FIGURES].[].[ZCONSENSUSDEMANDQTY]_x000D_
[LOCID].[].[7K10]_x000D_
[PRDID].[].[10002949]_x000D_
[KEY_FIGURES].[].[ZSODLYQTYNRUP]_x000D_
[LOCID].[].[7K10]_x000D_
[PRDID].[].[10002949]_x000D_
[KEY_FIGURES].[].[ZINPUTSOFC]_x000D_
[LOCID].[].[7K10]_x000D_
[PRDID].[].[10002949]_x000D_
[KEY_FIGURES].[].[ZFORECASTOPENOUTPUT]_x000D_
[LOCID].[].[7K10]_x000D_
[PRDID].[].[10002949]_x000D_
[KEY_FIGURES].[].[ZACTUALSALES]_x000D_
[LOCID].[].[7K10]_x000D_
[PRDID].[].[10002949]_x000D_
[KEY_FIGURES].[].[ZCONSENSUSDEMAND]_x000D_
[LOCID].[].[7K10]_x000D_
[PRDID].[].[10002949]_x000D_
[KEY_FIGURES].[].[INDEPENDENTDEMAND]_x000D_
[LOCID].[].[7K10]_x000D_
[PRDID].[].[10002950]_x000D_
[KEY_FIGURES].[].[ZCONSENSUSDEMANDQTY]_x000D_
[LOCID].[].[7K10]_x000D_
[PRDID].[].[10002950]_x000D_
[KEY_FIGURES].[].[ZSODLYQTYNRUP]_x000D_
[LOCID].[].[7K10]_x000D_
[PRDID].[].[10002950]_x000D_
[KEY_FIGURES].[].[ZINPUTSOFC]_x000D_
[LOCID].[].[7K10]_x000D_
[PRDID].[].[10002950]_x000D_
[KEY_FIGURES].[].[ZFORECASTOPENOUTPUT]_x000D_
[LOCID].[].[7K10]_x000D_
[PRDID].[].[10002950]_x000D_
[KEY_FIGURES].[].[ZACTUALSALES]_x000D_
[LOCID].[].[7K10]_x000D_
[PRDID].[].[10002950]_x000D_
[KEY_FIGURES].[].[ZCONSENSUSDEMAND]_x000D_
[LOCID].[].[7K10]_x000D_
[PRDID].[].[10002950]_x000D_
[KEY_FIGURES].[].[INDEPENDENTDEMAND]</t>
  </si>
  <si>
    <t>0</t>
  </si>
  <si>
    <t xml:space="preserve">PERIODID4.RELATIVE Equals 0 </t>
  </si>
  <si>
    <t xml:space="preserve">PERIODID4.RELATIVE Equals 1 </t>
  </si>
  <si>
    <t xml:space="preserve">PERIODID5.RELATIVE Equals 0 </t>
  </si>
  <si>
    <t xml:space="preserve">PERIODID5.RELATIVE Equals 1 </t>
  </si>
  <si>
    <t xml:space="preserve">PERIODID3.RELATIVE Equals 0 </t>
  </si>
  <si>
    <t>Independent Demand</t>
  </si>
  <si>
    <t>FontBold | Pattern</t>
  </si>
  <si>
    <t>Border</t>
  </si>
  <si>
    <t>Minimum Throughput Rate</t>
  </si>
  <si>
    <t>NumberFormat</t>
  </si>
  <si>
    <t>Maximum Production Receipts</t>
  </si>
  <si>
    <t>Border | Pattern | ConditionalFormatting</t>
  </si>
  <si>
    <t>Projected Periods of Coverage</t>
  </si>
  <si>
    <t>Sheet7_SERIES</t>
  </si>
  <si>
    <t>Sheet7_FILTER</t>
  </si>
  <si>
    <t>Sheet7_CHART</t>
  </si>
  <si>
    <t>Sheet7_OFFLINE</t>
  </si>
  <si>
    <t>[PERIODID5].[].[53177]_x000D_
[PERIODID5].[].[53178]_x000D_
[PERIODID5].[].[53179]_x000D_
[PERIODID5].[].[53180]_x000D_
[PERIODID5].[].[53181]_x000D_
[PERIODID5].[].[53182]_x000D_
[PERIODID5].[].[53183]_x000D_
[PERIODID5].[].[53184]_x000D_
[PERIODID5].[].[53185]_x000D_
[PERIODID5].[].[53186]_x000D_
[PERIODID5].[].[53187]_x000D_
[PERIODID5].[].[53188]_x000D_
[PERIODID5].[].[53189]_x000D_
[PERIODID5].[].[53190]_x000D_
[PERIODID5].[].[53191]_x000D_
[PERIODID5].[].[53192]_x000D_
[PERIODID5].[].[53193]_x000D_
[PERIODID5].[].[53194]_x000D_
[PERIODID5].[].[53195]_x000D_
[PERIODID5].[].[53196]_x000D_
[PERIODID5].[].[53197]_x000D_
[PERIODID5].[].[53198]_x000D_
[PERIODID5].[].[53199]_x000D_
[PERIODID5].[].[53200]_x000D_
[PERIODID5].[].[53201]_x000D_
[PERIODID5].[].[53202]_x000D_
[PERIODID5].[].[53203]_x000D_
[PERIODID5].[].[53204]_x000D_
[PERIODID5].[].[53205]_x000D_
[PERIODID5].[].[53206]_x000D_
[PERIODID5].[].[53207]_x000D_
[PERIODID5].[].[53208]_x000D_
[PERIODID5].[].[53209]_x000D_
[PERIODID5].[].[53210]_x000D_
[PERIODID5].[].[53211]_x000D_
[PERIODID5].[].[53212]_x000D_
[PERIODID5].[].[53213]_x000D_
[PERIODID5].[].[53214]_x000D_
[PERIODID5].[].[53215]_x000D_
[PERIODID5].[].[53216]_x000D_
[PERIODID5].[].[53217]_x000D_
[PERIODID5].[].[53218]_x000D_
[PERIODID5].[].[53219]_x000D_
[PERIODID5].[].[53220]_x000D_
[PERIODID5].[].[53221]_x000D_
[PERIODID5].[].[53222]_x000D_
[PERIODID5].[].[53223]_x000D_
[PERIODID5].[].[53224]_x000D_
[PERIODID5].[].[53225]_x000D_
[PERIODID5].[].[53226]_x000D_
[PERIODID5].[].[53227]_x000D_
[PERIODID5].[].[53228]_x000D_
[PERIODID5].[].[53229]_x000D_
[PERIODID5].[].[53230]_x000D_
[PERIODID5].[].[53231]_x000D_
[PERIODID5].[].[53232]_x000D_
[PERIODID5].[].[53233]_x000D_
[PERIODID5].[].[53234]_x000D_
[PERIODID5].[].[53235]_x000D_
[PERIODID5].[].[53236]_x000D_
[PERIODID5].[].[53237]_x000D_
[PERIODID5].[].[53238]_x000D_
[PERIODID5].[].[53239]_x000D_
[PERIODID5].[].[53240]_x000D_
[PERIODID5].[].[53241]_x000D_
[PERIODID5].[].[53242]_x000D_
[PERIODID5].[].[53243]_x000D_
[PERIODID5].[].[53244]_x000D_
[PERIODID5].[].[53245]_x000D_
[PERIODID5].[].[53246]_x000D_
[PERIODID5].[].[53247]_x000D_
[PERIODID5].[].[53248]_x000D_
[PERIODID5].[].[53249]_x000D_
[PERIODID5].[].[53250]_x000D_
[PERIODID5].[].[53251]_x000D_
[PERIODID5].[].[53252]_x000D_
[PERIODID5].[].[53253]_x000D_
[PERIODID5].[].[53254]_x000D_
[PERIODID5].[].[53255]_x000D_
[PERIODID5].[].[53256]</t>
  </si>
  <si>
    <t>Sheet8_SERIES</t>
  </si>
  <si>
    <t>Sheet8_FILTER</t>
  </si>
  <si>
    <t>Sheet8_CHART</t>
  </si>
  <si>
    <t>Sheet8_OFFLINE</t>
  </si>
  <si>
    <t>4</t>
  </si>
  <si>
    <t>Capacity Utilization</t>
  </si>
  <si>
    <t>NumberFormat | Pattern | ConditionalFormatting</t>
  </si>
  <si>
    <t>= EPMOlapMemberO("[KEY_FIGURES].[].[CAPASUPPLY]","","Capacity Supply","","000")_x000D_
= EPMOlapMemberO("[KEY_FIGURES].[].[PCAPAUSAGE]","","Capacity Usage of Production Resource","","000")</t>
  </si>
  <si>
    <t>W13 2021</t>
  </si>
  <si>
    <t>W14 2021</t>
  </si>
  <si>
    <t>W15 2021</t>
  </si>
  <si>
    <t>W16 2021</t>
  </si>
  <si>
    <t>W17 2021</t>
  </si>
  <si>
    <t>W18 2021</t>
  </si>
  <si>
    <t>W19 2021</t>
  </si>
  <si>
    <t>W20 2021</t>
  </si>
  <si>
    <t>W21 2021</t>
  </si>
  <si>
    <t>W22 2021</t>
  </si>
  <si>
    <t>W23 2021</t>
  </si>
  <si>
    <t>W24 2021</t>
  </si>
  <si>
    <t>W25 2021</t>
  </si>
  <si>
    <t>W26 2021</t>
  </si>
  <si>
    <t>W27 2021</t>
  </si>
  <si>
    <t>W28 2021</t>
  </si>
  <si>
    <t>W29 2021</t>
  </si>
  <si>
    <t>W30 2021</t>
  </si>
  <si>
    <t>W31 2021</t>
  </si>
  <si>
    <t>W32 2021</t>
  </si>
  <si>
    <t>W33 2021</t>
  </si>
  <si>
    <t>W34 2021</t>
  </si>
  <si>
    <t>W35 2021</t>
  </si>
  <si>
    <t>W36 2021</t>
  </si>
  <si>
    <t>W37 2021</t>
  </si>
  <si>
    <t>W38 2021</t>
  </si>
  <si>
    <t>W39 2021</t>
  </si>
  <si>
    <t>W40 2021</t>
  </si>
  <si>
    <t>W41 2021</t>
  </si>
  <si>
    <t>W42 2021</t>
  </si>
  <si>
    <t>W43 2021</t>
  </si>
  <si>
    <t>W44 2021</t>
  </si>
  <si>
    <t>W45 2021</t>
  </si>
  <si>
    <t>W46 2021</t>
  </si>
  <si>
    <t>W47 2021</t>
  </si>
  <si>
    <t>W48 2021</t>
  </si>
  <si>
    <t>W49 2021</t>
  </si>
  <si>
    <t>W50 2021</t>
  </si>
  <si>
    <t>W51 2021</t>
  </si>
  <si>
    <t>W52 2021</t>
  </si>
  <si>
    <t>W01 2022</t>
  </si>
  <si>
    <t>W02 2022</t>
  </si>
  <si>
    <t>W03 2022</t>
  </si>
  <si>
    <t>W04 2022</t>
  </si>
  <si>
    <t>W05 2022</t>
  </si>
  <si>
    <t>W06 2022</t>
  </si>
  <si>
    <t>W07 2022</t>
  </si>
  <si>
    <t>W08 2022</t>
  </si>
  <si>
    <t>W09 2022</t>
  </si>
  <si>
    <t>W10 2022</t>
  </si>
  <si>
    <t>W11 2022</t>
  </si>
  <si>
    <t>W12 2022</t>
  </si>
  <si>
    <t>W13 2022</t>
  </si>
  <si>
    <t>W14 2022</t>
  </si>
  <si>
    <t>W15 2022</t>
  </si>
  <si>
    <t>W16 2022</t>
  </si>
  <si>
    <t>W17 2022</t>
  </si>
  <si>
    <t>W18 2022</t>
  </si>
  <si>
    <t>W19 2022</t>
  </si>
  <si>
    <t>W20 2022</t>
  </si>
  <si>
    <t>W21 2022</t>
  </si>
  <si>
    <t>W22 2022</t>
  </si>
  <si>
    <t>W23 2022</t>
  </si>
  <si>
    <t>W24 2022</t>
  </si>
  <si>
    <t>W25 2022</t>
  </si>
  <si>
    <t>W26 2022</t>
  </si>
  <si>
    <t>W27 2022</t>
  </si>
  <si>
    <t>W28 2022</t>
  </si>
  <si>
    <t>W29 2022</t>
  </si>
  <si>
    <t>W30 2022</t>
  </si>
  <si>
    <t>W31 2022</t>
  </si>
  <si>
    <t>W32 2022</t>
  </si>
  <si>
    <t>W33 2022</t>
  </si>
  <si>
    <t>W34 2022</t>
  </si>
  <si>
    <t>W35 2022</t>
  </si>
  <si>
    <t>W36 2022</t>
  </si>
  <si>
    <t>W37 2022</t>
  </si>
  <si>
    <t>W38 2022</t>
  </si>
  <si>
    <t>Capacity Supply</t>
  </si>
  <si>
    <t>Capacity Usage of Production Resource</t>
  </si>
  <si>
    <t>149</t>
  </si>
  <si>
    <t>[LOCID].[].[7K10]_x000D_
[BMIPRODHRD6].[].[GB-50 DOUBLE ROMAN]_x000D_
[PRDID].[].[10001652]_x000D_
[KEY_FIGURES].[].[PRODUCTION]_x000D_
[LOCID].[].[7K10]_x000D_
[BMIPRODHRD6].[].[GB-50 DOUBLE ROMAN]_x000D_
[PRDID].[].[10001652]_x000D_
[KEY_FIGURES].[].[ZOPENPRODUCTION]_x000D_
[LOCID].[].[7K10]_x000D_
[BMIPRODHRD6].[].[GB-50 DOUBLE ROMAN]_x000D_
[PRDID].[].[10001652]_x000D_
[KEY_FIGURES].[].[ZADJUSTEDPRODUCTIONRECEIPT]_x000D_
[LOCID].[].[7K10]_x000D_
[BMIPRODHRD6].[].[GB-50 DOUBLE ROMAN]_x000D_
[PRDID].[].[10001652]_x000D_
[KEY_FIGURES].[].[MAXPRODUCTION]_x000D_
[LOCID].[].[7K10]_x000D_
[BMIPRODHRD6].[].[GB-50 DOUBLE ROMAN]_x000D_
[PRDID].[].[10001653]_x000D_
[KEY_FIGURES].[].[PRODUCTION]_x000D_
[LOCID].[].[7K10]_x000D_
[BMIPRODHRD6].[].[GB-50 DOUBLE ROMAN]_x000D_
[PRDID].[].[10001653]_x000D_
[KEY_FIGURES].[].[ZOPENPRODUCTION]_x000D_
[LOCID].[].[7K10]_x000D_
[BMIPRODHRD6].[].[GB-50 DOUBLE ROMAN]_x000D_
[PRDID].[].[10001653]_x000D_
[KEY_FIGURES].[].[ZADJUSTEDPRODUCTIONRECEIPT]_x000D_
[LOCID].[].[7K10]_x000D_
[BMIPRODHRD6].[].[GB-50 DOUBLE ROMAN]_x000D_
[PRDID].[].[10001653]_x000D_
[KEY_FIGURES].[].[MAXPRODUCTION]_x000D_
[LOCID].[].[7K10]_x000D_
[BMIPRODHRD6].[].[GB-50 DOUBLE ROMAN]_x000D_
[PRDID].[].[10001654]_x000D_
[KEY_FIGURES].[].[PRODUCTION]_x000D_
[LOCID].[].[7K10]_x000D_
[BMIPRODHRD6].[].[GB-50 DOUBLE ROMAN]_x000D_
[PRDID].[].[10001654]_x000D_
[KEY_FIGURES].[].[ZOPENPRODUCTION]_x000D_
[LOCID].[].[7K10]_x000D_
[BMIPRODHRD6].[].[GB-50 DOUBLE ROMAN]_x000D_
[PRDID].[].[10001654]_x000D_
[KEY_FIGURES].[].[ZADJUSTEDPRODUCTIONRECEIPT]_x000D_
[LOCID].[].[7K10]_x000D_
[BMIPRODHRD6].[].[GB-50 DOUBLE ROMAN]_x000D_
[PRDID].[].[10001654]_x000D_
[KEY_FIGURES].[].[MAXPRODUCTION]_x000D_
[LOCID].[].[7K10]_x000D_
[BMIPRODHRD6].[].[GB-50 DOUBLE ROMAN]_x000D_
[PRDID].[].[10001655]_x000D_
[KEY_FIGURES].[].[PRODUCTION]_x000D_
[LOCID].[].[7K10]_x000D_
[BMIPRODHRD6].[].[GB-50 DOUBLE ROMAN]_x000D_
[PRDID].[].[10001655]_x000D_
[KEY_FIGURES].[].[ZOPENPRODUCTION]_x000D_
[LOCID].[].[7K10]_x000D_
[BMIPRODHRD6].[].[GB-50 DOUBLE ROMAN]_x000D_
[PRDID].[].[10001655]_x000D_
[KEY_FIGURES].[].[ZADJUSTEDPRODUCTIONRECEIPT]_x000D_
[LOCID].[].[7K10]_x000D_
[BMIPRODHRD6].[].[GB-50 DOUBLE ROMAN]_x000D_
[PRDID].[].[10001655]_x000D_
[KEY_FIGURES].[].[MAXPRODUCTION]_x000D_
[LOCID].[].[7K10]_x000D_
[BMIPRODHRD6].[].[GB-50 DOUBLE ROMAN]_x000D_
[PRDID].[].[10001657]_x000D_
[KEY_FIGURES].[].[PRODUCTION]_x000D_
[LOCID].[].[7K10]_x000D_
[BMIPRODHRD6].[].[GB-50 DOUBLE ROMAN]_x000D_
[PRDID].[].[10001657]_x000D_
[KEY_FIGURES].[].[ZOPENPRODUCTION]_x000D_
[LOCID].[].[7K10]_x000D_
[BMIPRODHRD6].[].[GB-50 DOUBLE ROMAN]_x000D_
[PRDID].[].[10001657]_x000D_
[KEY_FIGURES].[].[ZADJUSTEDPRODUCTIONRECEIPT]_x000D_
[LOCID].[].[7K10]_x000D_
[BMIPRODHRD6].[].[GB-50 DOUBLE ROMAN]_x000D_
[PRDID].[].[10001657]_x000D_
[KEY_FIGURES].[].[MAXPRODUCTION]_x000D_
[LOCID].[].[7K10]_x000D_
[BMIPRODHRD6].[].[GB-50 DOUBLE ROMAN]_x000D_
[PRDID].[].[10001658]_x000D_
[KEY_FIGURES].[].[PRODUCTION]_x000D_
[LOCID].[].[7K10]_x000D_
[BMIPRODHRD6].[].[GB-50 DOUBLE ROMAN]_x000D_
[PRDID].[].[10001658]_x000D_
[KEY_FIGURES].[].[ZOPENPRODUCTION]_x000D_
[LOCID].[].[7K10]_x000D_
[BMIPRODHRD6].[].[GB-50 DOUBLE ROMAN]_x000D_
[PRDID].[].[10001658]_x000D_
[KEY_FIGURES].[].[ZADJUSTEDPRODUCTIONRECEIPT]_x000D_
[LOCID].[].[7K10]_x000D_
[BMIPRODHRD6].[].[GB-50 DOUBLE ROMAN]_x000D_
[PRDID].[].[10001658]_x000D_
[KEY_FIGURES].[].[MAXPRODUCTION]_x000D_
[LOCID].[].[7K10]_x000D_
[BMIPRODHRD6].[].[GB-50 DOUBLE ROMAN]_x000D_
[PRDID].[].[10001659]_x000D_
[KEY_FIGURES].[].[PRODUCTION]_x000D_
[LOCID].[].[7K10]_x000D_
[BMIPRODHRD6].[].[GB-50 DOUBLE ROMAN]_x000D_
[PRDID].[].[10001659]_x000D_
[KEY_FIGURES].[].[ZOPENPRODUCTION]_x000D_
[LOCID].[].[7K10]_x000D_
[BMIPRODHRD6].[].[GB-50 DOUBLE ROMAN]_x000D_
[PRDID].[].[10001659]_x000D_
[KEY_FIGURES].[].[ZADJUSTEDPRODUCTIONRECEIPT]_x000D_
[LOCID].[].[7K10]_x000D_
[BMIPRODHRD6].[].[GB-50 DOUBLE ROMAN]_x000D_
[PRDID].[].[10001659]_x000D_
[KEY_FIGURES].[].[MAXPRODUCTION]_x000D_
[LOCID].[].[7K10]_x000D_
[BMIPRODHRD6].[].[GB-50 DOUBLE ROMAN]_x000D_
[PRDID].[].[10001660]_x000D_
[KEY_FIGURES].[].[PRODUCTION]_x000D_
[LOCID].[].[7K10]_x000D_
[BMIPRODHRD6].[].[GB-50 DOUBLE ROMAN]_x000D_
[PRDID].[].[10001660]_x000D_
[KEY_FIGURES].[].[ZOPENPRODUCTION]_x000D_
[LOCID].[].[7K10]_x000D_
[BMIPRODHRD6].[].[GB-50 DOUBLE ROMAN]_x000D_
[PRDID].[].[10001660]_x000D_
[KEY_FIGURES].[].[ZADJUSTEDPRODUCTIONRECEIPT]_x000D_
[LOCID].[].[7K10]_x000D_
[BMIPRODHRD6].[].[GB-50 DOUBLE ROMAN]_x000D_
[PRDID].[].[10001660]_x000D_
[KEY_FIGURES].[].[MAXPRODUCTION]_x000D_
[LOCID].[].[7K10]_x000D_
[BMIPRODHRD6].[].[GB-50 DOUBLE ROMAN]_x000D_
[PRDID].[].[10001662]_x000D_
[KEY_FIGURES].[].[PRODUCTION]_x000D_
[LOCID].[].[7K10]_x000D_
[BMIPRODHRD6].[].[GB-50 DOUBLE ROMAN]_x000D_
[PRDID].[].[10001662]_x000D_
[KEY_FIGURES].[].[ZOPENPRODUCTION]_x000D_
[LOCID].[].[7K10]_x000D_
[BMIPRODHRD6].[].[GB-50 DOUBLE ROMAN]_x000D_
[PRDID].[].[10001662]_x000D_
[KEY_FIGURES].[].[ZADJUSTEDPRODUCTIONRECEIPT]_x000D_
[LOCID].[].[7K10]_x000D_
[BMIPRODHRD6].[].[GB-50 DOUBLE ROMAN]_x000D_
[PRDID].[].[10001662]_x000D_
[KEY_FIGURES].[].[MAXPRODUCTION]_x000D_
[LOCID].[].[7K10]_x000D_
[BMIPRODHRD6].[].[GB-GROVEBURY]_x000D_
[PRDID].[].[10001751]_x000D_
[KEY_FIGURES].[].[PRODUCTION]_x000D_
[LOCID].[].[7K10]_x000D_
[BMIPRODHRD6].[].[GB-GROVEBURY]_x000D_
[PRDID].[].[10001751]_x000D_
[KEY_FIGURES].[].[ZOPENPRODUCTION]_x000D_
[LOCID].[].[7K10]_x000D_
[BMIPRODHRD6].[].[GB-GROVEBURY]_x000D_
[PRDID].[].[10001751]_x000D_
[KEY_FIGURES].[].[ZADJUSTEDPRODUCTIONRECEIPT]_x000D_
[LOCID].[].[7K10]_x000D_
[BMIPRODHRD6].[].[GB-GROVEBURY]_x000D_
[PRDID].[].[10001751]_x000D_
[KEY_FIGURES].[].[MAXPRODUCTION]_x000D_
[LOCID].[].[7K10]_x000D_
[BMIPRODHRD6].[].[GB-GROVEBURY]_x000D_
[PRDID].[].[10001752]_x000D_
[KEY_FIGURES].[].[PRODUCTION]_x000D_
[LOCID].[].[7K10]_x000D_
[BMIPRODHRD6].[].[GB-GROVEBURY]_x000D_
[PRDID].[].[10001752]_x000D_
[KEY_FIGURES].[].[ZOPENPRODUCTION]_x000D_
[LOCID].[].[7K10]_x000D_
[BMIPRODHRD6].[].[GB-GROVEBURY]_x000D_
[PRDID].[].[10001752]_x000D_
[KEY_FIGURES].[].[ZADJUSTEDPRODUCTIONRECEIPT]_x000D_
[LOCID].[].[7K10]_x000D_
[BMIPRODHRD6].[].[GB-GROVEBURY]_x000D_
[PRDID].[].[10001752]_x000D_
[KEY_FIGURES].[].[MAXPRODUCTION]_x000D_
[LOCID].[].[7K10]_x000D_
[BMIPRODHRD6].[].[GB-GROVEBURY]_x000D_
[PRDID].[].[10001753]_x000D_
[KEY_FIGURES].[].[PRODUCTION]_x000D_
[LOCID].[].[7K10]_x000D_
[BMIPRODHRD6].[].[GB-GROVEBURY]_x000D_
[PRDID].[].[10001753]_x000D_
[KEY_FIGURES].[].[ZOPENPRODUCTION]_x000D_
[LOCID].[].[7K10]_x000D_
[BMIPRODHRD6].[].[GB-GROVEBURY]_x000D_
[PRDID].[].[10001753]_x000D_
[KEY_FIGURES].[].[ZADJUSTEDPRODUCTIONRECEIPT]_x000D_
[LOCID].[].[7K10]_x000D_
[BMIPRODHRD6].[].[GB-GROVEBURY]_x000D_
[PRDID].[].[10001753]_x000D_
[KEY_FIGURES].[].[MAXPRODUCTION]_x000D_
[LOCID].[].[7K10]_x000D_
[BMIPRODHRD6].[].[GB-GROVEBURY]_x000D_
[PRDID].[].[10001755]_x000D_
[KEY_FIGURES].[].[PRODUCTION]_x000D_
[LOCID].[].[7K10]_x000D_
[BMIPRODHRD6].[].[GB-GROVEBURY]_x000D_
[PRDID].[].[10001755]_x000D_
[KEY_FIGURES].[].[ZOPENPRODUCTION]</t>
  </si>
  <si>
    <t>[LOCID].[].[7K10]_x000D_
[BMIPRODHRD6].[].[GB-GROVEBURY]_x000D_
[PRDID].[].[10001755]_x000D_
[KEY_FIGURES].[].[ZADJUSTEDPRODUCTIONRECEIPT]_x000D_
[LOCID].[].[7K10]_x000D_
[BMIPRODHRD6].[].[GB-GROVEBURY]_x000D_
[PRDID].[].[10001755]_x000D_
[KEY_FIGURES].[].[MAXPRODUCTION]_x000D_
[LOCID].[].[7K10]_x000D_
[BMIPRODHRD6].[].[GB-GROVEBURY]_x000D_
[PRDID].[].[10001756]_x000D_
[KEY_FIGURES].[].[PRODUCTION]_x000D_
[LOCID].[].[7K10]_x000D_
[BMIPRODHRD6].[].[GB-GROVEBURY]_x000D_
[PRDID].[].[10001756]_x000D_
[KEY_FIGURES].[].[ZOPENPRODUCTION]_x000D_
[LOCID].[].[7K10]_x000D_
[BMIPRODHRD6].[].[GB-GROVEBURY]_x000D_
[PRDID].[].[10001756]_x000D_
[KEY_FIGURES].[].[ZADJUSTEDPRODUCTIONRECEIPT]_x000D_
[LOCID].[].[7K10]_x000D_
[BMIPRODHRD6].[].[GB-GROVEBURY]_x000D_
[PRDID].[].[10001756]_x000D_
[KEY_FIGURES].[].[MAXPRODUCTION]_x000D_
[LOCID].[].[7K10]_x000D_
[BMIPRODHRD6].[].[GB-GROVEBURY]_x000D_
[PRDID].[].[10001757]_x000D_
[KEY_FIGURES].[].[PRODUCTION]_x000D_
[LOCID].[].[7K10]_x000D_
[BMIPRODHRD6].[].[GB-GROVEBURY]_x000D_
[PRDID].[].[10001757]_x000D_
[KEY_FIGURES].[].[ZOPENPRODUCTION]_x000D_
[LOCID].[].[7K10]_x000D_
[BMIPRODHRD6].[].[GB-GROVEBURY]_x000D_
[PRDID].[].[10001757]_x000D_
[KEY_FIGURES].[].[ZADJUSTEDPRODUCTIONRECEIPT]_x000D_
[LOCID].[].[7K10]_x000D_
[BMIPRODHRD6].[].[GB-GROVEBURY]_x000D_
[PRDID].[].[10001757]_x000D_
[KEY_FIGURES].[].[MAXPRODUCTION]_x000D_
[LOCID].[].[7K10]_x000D_
[BMIPRODHRD6].[].[GB-GROVEBURY]_x000D_
[PRDID].[].[10001758]_x000D_
[KEY_FIGURES].[].[PRODUCTION]_x000D_
[LOCID].[].[7K10]_x000D_
[BMIPRODHRD6].[].[GB-GROVEBURY]_x000D_
[PRDID].[].[10001758]_x000D_
[KEY_FIGURES].[].[ZOPENPRODUCTION]_x000D_
[LOCID].[].[7K10]_x000D_
[BMIPRODHRD6].[].[GB-GROVEBURY]_x000D_
[PRDID].[].[10001758]_x000D_
[KEY_FIGURES].[].[ZADJUSTEDPRODUCTIONRECEIPT]_x000D_
[LOCID].[].[7K10]_x000D_
[BMIPRODHRD6].[].[GB-GROVEBURY]_x000D_
[PRDID].[].[10001758]_x000D_
[KEY_FIGURES].[].[MAXPRODUCTION]_x000D_
[LOCID].[].[7K10]_x000D_
[BMIPRODHRD6].[].[GB-GROVEBURY]_x000D_
[PRDID].[].[10001761]_x000D_
[KEY_FIGURES].[].[PRODUCTION]_x000D_
[LOCID].[].[7K10]_x000D_
[BMIPRODHRD6].[].[GB-GROVEBURY]_x000D_
[PRDID].[].[10001761]_x000D_
[KEY_FIGURES].[].[ZOPENPRODUCTION]_x000D_
[LOCID].[].[7K10]_x000D_
[BMIPRODHRD6].[].[GB-GROVEBURY]_x000D_
[PRDID].[].[10001761]_x000D_
[KEY_FIGURES].[].[ZADJUSTEDPRODUCTIONRECEIPT]_x000D_
[LOCID].[].[7K10]_x000D_
[BMIPRODHRD6].[].[GB-GROVEBURY]_x000D_
[PRDID].[].[10001761]_x000D_
[KEY_FIGURES].[].[MAXPRODUCTION]_x000D_
[LOCID].[].[7K10]_x000D_
[BMIPRODHRD6].[].[GB-MINI STONEWOLD]_x000D_
[PRDID].[].[10001674]_x000D_
[KEY_FIGURES].[].[PRODUCTION]_x000D_
[LOCID].[].[7K10]_x000D_
[BMIPRODHRD6].[].[GB-MINI STONEWOLD]_x000D_
[PRDID].[].[10001674]_x000D_
[KEY_FIGURES].[].[ZOPENPRODUCTION]_x000D_
[LOCID].[].[7K10]_x000D_
[BMIPRODHRD6].[].[GB-MINI STONEWOLD]_x000D_
[PRDID].[].[10001674]_x000D_
[KEY_FIGURES].[].[ZADJUSTEDPRODUCTIONRECEIPT]_x000D_
[LOCID].[].[7K10]_x000D_
[BMIPRODHRD6].[].[GB-MINI STONEWOLD]_x000D_
[PRDID].[].[10001674]_x000D_
[KEY_FIGURES].[].[MAXPRODUCTION]_x000D_
[LOCID].[].[7K10]_x000D_
[BMIPRODHRD6].[].[GB-MINI STONEWOLD]_x000D_
[PRDID].[].[10001677]_x000D_
[KEY_FIGURES].[].[PRODUCTION]_x000D_
[LOCID].[].[7K10]_x000D_
[BMIPRODHRD6].[].[GB-MINI STONEWOLD]_x000D_
[PRDID].[].[10001677]_x000D_
[KEY_FIGURES].[].[ZOPENPRODUCTION]_x000D_
[LOCID].[].[7K10]_x000D_
[BMIPRODHRD6].[].[GB-MINI STONEWOLD]_x000D_
[PRDID].[].[10001677]_x000D_
[KEY_FIGURES].[].[ZADJUSTEDPRODUCTIONRECEIPT]_x000D_
[LOCID].[].[7K10]_x000D_
[BMIPRODHRD6].[].[GB-MINI STONEWOLD]_x000D_
[PRDID].[].[10001677]_x000D_
[KEY_FIGURES].[].[MAXPRODUCTION]_x000D_
[LOCID].[].[7K10]_x000D_
[BMIPRODHRD6].[].[GB-MINI STONEWOLD]_x000D_
[PRDID].[].[10001678]_x000D_
[KEY_FIGURES].[].[PRODUCTION]_x000D_
[LOCID].[].[7K10]_x000D_
[BMIPRODHRD6].[].[GB-MINI STONEWOLD]_x000D_
[PRDID].[].[10001678]_x000D_
[KEY_FIGURES].[].[ZOPENPRODUCTION]_x000D_
[LOCID].[].[7K10]_x000D_
[BMIPRODHRD6].[].[GB-MINI STONEWOLD]_x000D_
[PRDID].[].[10001678]_x000D_
[KEY_FIGURES].[].[ZADJUSTEDPRODUCTIONRECEIPT]_x000D_
[LOCID].[].[7K10]_x000D_
[BMIPRODHRD6].[].[GB-MINI STONEWOLD]_x000D_
[PRDID].[].[10001678]_x000D_
[KEY_FIGURES].[].[MAXPRODUCTION]_x000D_
[LOCID].[].[7K10]_x000D_
[BMIPRODHRD6].[].[GB-MINI STONEWOLD]_x000D_
[PRDID].[].[10001679]_x000D_
[KEY_FIGURES].[].[PRODUCTION]_x000D_
[LOCID].[].[7K10]_x000D_
[BMIPRODHRD6].[].[GB-MINI STONEWOLD]_x000D_
[PRDID].[].[10001679]_x000D_
[KEY_FIGURES].[].[ZOPENPRODUCTION]_x000D_
[LOCID].[].[7K10]_x000D_
[BMIPRODHRD6].[].[GB-MINI STONEWOLD]_x000D_
[PRDID].[].[10001679]_x000D_
[KEY_FIGURES].[].[ZADJUSTEDPRODUCTIONRECEIPT]_x000D_
[LOCID].[].[7K10]_x000D_
[BMIPRODHRD6].[].[GB-MINI STONEWOLD]_x000D_
[PRDID].[].[10001679]_x000D_
[KEY_FIGURES].[].[MAXPRODUCTION]_x000D_
[LOCID].[].[7K10]_x000D_
[BMIPRODHRD6].[].[GB-MINI STONEWOLD]_x000D_
[PRDID].[].[10001680]_x000D_
[KEY_FIGURES].[].[PRODUCTION]_x000D_
[LOCID].[].[7K10]_x000D_
[BMIPRODHRD6].[].[GB-MINI STONEWOLD]_x000D_
[PRDID].[].[10001680]_x000D_
[KEY_FIGURES].[].[ZOPENPRODUCTION]_x000D_
[LOCID].[].[7K10]_x000D_
[BMIPRODHRD6].[].[GB-MINI STONEWOLD]_x000D_
[PRDID].[].[10001680]_x000D_
[KEY_FIGURES].[].[ZADJUSTEDPRODUCTIONRECEIPT]_x000D_
[LOCID].[].[7K10]_x000D_
[BMIPRODHRD6].[].[GB-MINI STONEWOLD]_x000D_
[PRDID].[].[10001680]_x000D_
[KEY_FIGURES].[].[MAXPRODUCTION]_x000D_
[LOCID].[].[7K10]_x000D_
[BMIPRODHRD6].[].[GB-MINI STONEWOLD]_x000D_
[PRDID].[].[10001685]_x000D_
[KEY_FIGURES].[].[PRODUCTION]_x000D_
[LOCID].[].[7K10]_x000D_
[BMIPRODHRD6].[].[GB-MINI STONEWOLD]_x000D_
[PRDID].[].[10001685]_x000D_
[KEY_FIGURES].[].[ZOPENPRODUCTION]_x000D_
[LOCID].[].[7K10]_x000D_
[BMIPRODHRD6].[].[GB-MINI STONEWOLD]_x000D_
[PRDID].[].[10001685]_x000D_
[KEY_FIGURES].[].[ZADJUSTEDPRODUCTIONRECEIPT]_x000D_
[LOCID].[].[7K10]_x000D_
[BMIPRODHRD6].[].[GB-MINI STONEWOLD]_x000D_
[PRDID].[].[10001685]_x000D_
[KEY_FIGURES].[].[MAXPRODUCTION]_x000D_
[LOCID].[].[7K10]_x000D_
[BMIPRODHRD6].[].[GB-MOCKBOND MINI STONEWOLD]_x000D_
[PRDID].[].[10001691]_x000D_
[KEY_FIGURES].[].[PRODUCTION]_x000D_
[LOCID].[].[7K10]_x000D_
[BMIPRODHRD6].[].[GB-MOCKBOND MINI STONEWOLD]_x000D_
[PRDID].[].[10001691]_x000D_
[KEY_FIGURES].[].[ZOPENPRODUCTION]_x000D_
[LOCID].[].[7K10]_x000D_
[BMIPRODHRD6].[].[GB-MOCKBOND MINI STONEWOLD]_x000D_
[PRDID].[].[10001691]_x000D_
[KEY_FIGURES].[].[ZADJUSTEDPRODUCTIONRECEIPT]_x000D_
[LOCID].[].[7K10]_x000D_
[BMIPRODHRD6].[].[GB-MOCKBOND MINI STONEWOLD]_x000D_
[PRDID].[].[10001691]_x000D_
[KEY_FIGURES].[].[MAXPRODUCTION]_x000D_
[LOCID].[].[7K10]_x000D_
[BMIPRODHRD6].[].[GB-REGENT]_x000D_
[PRDID].[].[10001664]_x000D_
[KEY_FIGURES].[].[PRODUCTION]_x000D_
[LOCID].[].[7K10]_x000D_
[BMIPRODHRD6].[].[GB-REGENT]_x000D_
[PRDID].[].[10001664]_x000D_
[KEY_FIGURES].[].[ZOPENPRODUCTION]_x000D_
[LOCID].[].[7K10]_x000D_
[BMIPRODHRD6].[].[GB-REGENT]_x000D_
[PRDID].[].[10001664]_x000D_
[KEY_FIGURES].[].[ZADJUSTEDPRODUCTIONRECEIPT]_x000D_
[LOCID].[].[7K10]_x000D_
[BMIPRODHRD6].[].[GB-REGENT]_x000D_
[PRDID].[].[10001664]_x000D_
[KEY_FIGURES].[].[MAXPRODUCTION]</t>
  </si>
  <si>
    <t>[LOCID].[].[7K10]_x000D_
[BMIPRODHRD6].[].[GB-REGENT]_x000D_
[PRDID].[].[10001665]_x000D_
[KEY_FIGURES].[].[PRODUCTION]_x000D_
[LOCID].[].[7K10]_x000D_
[BMIPRODHRD6].[].[GB-REGENT]_x000D_
[PRDID].[].[10001665]_x000D_
[KEY_FIGURES].[].[ZOPENPRODUCTION]_x000D_
[LOCID].[].[7K10]_x000D_
[BMIPRODHRD6].[].[GB-REGENT]_x000D_
[PRDID].[].[10001665]_x000D_
[KEY_FIGURES].[].[ZADJUSTEDPRODUCTIONRECEIPT]_x000D_
[LOCID].[].[7K10]_x000D_
[BMIPRODHRD6].[].[GB-REGENT]_x000D_
[PRDID].[].[10001665]_x000D_
[KEY_FIGURES].[].[MAXPRODUCTION]_x000D_
[LOCID].[].[7K10]_x000D_
[BMIPRODHRD6].[].[GB-REGENT]_x000D_
[PRDID].[].[10001666]_x000D_
[KEY_FIGURES].[].[PRODUCTION]_x000D_
[LOCID].[].[7K10]_x000D_
[BMIPRODHRD6].[].[GB-REGENT]_x000D_
[PRDID].[].[10001666]_x000D_
[KEY_FIGURES].[].[ZOPENPRODUCTION]_x000D_
[LOCID].[].[7K10]_x000D_
[BMIPRODHRD6].[].[GB-REGENT]_x000D_
[PRDID].[].[10001666]_x000D_
[KEY_FIGURES].[].[ZADJUSTEDPRODUCTIONRECEIPT]_x000D_
[LOCID].[].[7K10]_x000D_
[BMIPRODHRD6].[].[GB-REGENT]_x000D_
[PRDID].[].[10001666]_x000D_
[KEY_FIGURES].[].[MAXPRODUCTION]_x000D_
[LOCID].[].[7K10]_x000D_
[BMIPRODHRD6].[].[GB-REGENT]_x000D_
[PRDID].[].[10001667]_x000D_
[KEY_FIGURES].[].[PRODUCTION]_x000D_
[LOCID].[].[7K10]_x000D_
[BMIPRODHRD6].[].[GB-REGENT]_x000D_
[PRDID].[].[10001667]_x000D_
[KEY_FIGURES].[].[ZOPENPRODUCTION]_x000D_
[LOCID].[].[7K10]_x000D_
[BMIPRODHRD6].[].[GB-REGENT]_x000D_
[PRDID].[].[10001667]_x000D_
[KEY_FIGURES].[].[ZADJUSTEDPRODUCTIONRECEIPT]_x000D_
[LOCID].[].[7K10]_x000D_
[BMIPRODHRD6].[].[GB-REGENT]_x000D_
[PRDID].[].[10001667]_x000D_
[KEY_FIGURES].[].[MAXPRODUCTION]_x000D_
[LOCID].[].[7K10]_x000D_
[BMIPRODHRD6].[].[GB-REGENT]_x000D_
[PRDID].[].[10001668]_x000D_
[KEY_FIGURES].[].[PRODUCTION]_x000D_
[LOCID].[].[7K10]_x000D_
[BMIPRODHRD6].[].[GB-REGENT]_x000D_
[PRDID].[].[10001668]_x000D_
[KEY_FIGURES].[].[ZOPENPRODUCTION]_x000D_
[LOCID].[].[7K10]_x000D_
[BMIPRODHRD6].[].[GB-REGENT]_x000D_
[PRDID].[].[10001668]_x000D_
[KEY_FIGURES].[].[ZADJUSTEDPRODUCTIONRECEIPT]_x000D_
[LOCID].[].[7K10]_x000D_
[BMIPRODHRD6].[].[GB-REGENT]_x000D_
[PRDID].[].[10001668]_x000D_
[KEY_FIGURES].[].[MAXPRODUCTION]_x000D_
[LOCID].[].[7K10]_x000D_
[BMIPRODHRD6].[].[GB-REGENT]_x000D_
[PRDID].[].[10001670]_x000D_
[KEY_FIGURES].[].[PRODUCTION]_x000D_
[LOCID].[].[7K10]_x000D_
[BMIPRODHRD6].[].[GB-REGENT]_x000D_
[PRDID].[].[10001670]_x000D_
[KEY_FIGURES].[].[ZOPENPRODUCTION]_x000D_
[LOCID].[].[7K10]_x000D_
[BMIPRODHRD6].[].[GB-REGENT]_x000D_
[PRDID].[].[10001670]_x000D_
[KEY_FIGURES].[].[ZADJUSTEDPRODUCTIONRECEIPT]_x000D_
[LOCID].[].[7K10]_x000D_
[BMIPRODHRD6].[].[GB-REGENT]_x000D_
[PRDID].[].[10001670]_x000D_
[KEY_FIGURES].[].[MAXPRODUCTION]_x000D_
[LOCID].[].[7K10]_x000D_
[BMIPRODHRD6].[].[GB-RENOWN]_x000D_
[PRDID].[].[10001643]_x000D_
[KEY_FIGURES].[].[PRODUCTION]_x000D_
[LOCID].[].[7K10]_x000D_
[BMIPRODHRD6].[].[GB-RENOWN]_x000D_
[PRDID].[].[10001643]_x000D_
[KEY_FIGURES].[].[ZOPENPRODUCTION]_x000D_
[LOCID].[].[7K10]_x000D_
[BMIPRODHRD6].[].[GB-RENOWN]_x000D_
[PRDID].[].[10001643]_x000D_
[KEY_FIGURES].[].[ZADJUSTEDPRODUCTIONRECEIPT]_x000D_
[LOCID].[].[7K10]_x000D_
[BMIPRODHRD6].[].[GB-RENOWN]_x000D_
[PRDID].[].[10001643]_x000D_
[KEY_FIGURES].[].[MAXPRODUCTION]_x000D_
[LOCID].[].[7K10]_x000D_
[BMIPRODHRD6].[].[GB-RENOWN]_x000D_
[PRDID].[].[10001644]_x000D_
[KEY_FIGURES].[].[PRODUCTION]_x000D_
[LOCID].[].[7K10]_x000D_
[BMIPRODHRD6].[].[GB-RENOWN]_x000D_
[PRDID].[].[10001644]_x000D_
[KEY_FIGURES].[].[ZOPENPRODUCTION]_x000D_
[LOCID].[].[7K10]_x000D_
[BMIPRODHRD6].[].[GB-RENOWN]_x000D_
[PRDID].[].[10001644]_x000D_
[KEY_FIGURES].[].[ZADJUSTEDPRODUCTIONRECEIPT]_x000D_
[LOCID].[].[7K10]_x000D_
[BMIPRODHRD6].[].[GB-RENOWN]_x000D_
[PRDID].[].[10001644]_x000D_
[KEY_FIGURES].[].[MAXPRODUCTION]_x000D_
[LOCID].[].[7K10]_x000D_
[BMIPRODHRD6].[].[GB-RENOWN]_x000D_
[PRDID].[].[10001645]_x000D_
[KEY_FIGURES].[].[PRODUCTION]_x000D_
[LOCID].[].[7K10]_x000D_
[BMIPRODHRD6].[].[GB-RENOWN]_x000D_
[PRDID].[].[10001645]_x000D_
[KEY_FIGURES].[].[ZOPENPRODUCTION]_x000D_
[LOCID].[].[7K10]_x000D_
[BMIPRODHRD6].[].[GB-RENOWN]_x000D_
[PRDID].[].[10001645]_x000D_
[KEY_FIGURES].[].[ZADJUSTEDPRODUCTIONRECEIPT]_x000D_
[LOCID].[].[7K10]_x000D_
[BMIPRODHRD6].[].[GB-RENOWN]_x000D_
[PRDID].[].[10001645]_x000D_
[KEY_FIGURES].[].[MAXPRODUCTION]_x000D_
[LOCID].[].[7K10]_x000D_
[BMIPRODHRD6].[].[GB-RENOWN]_x000D_
[PRDID].[].[10001647]_x000D_
[KEY_FIGURES].[].[PRODUCTION]_x000D_
[LOCID].[].[7K10]_x000D_
[BMIPRODHRD6].[].[GB-RENOWN]_x000D_
[PRDID].[].[10001647]_x000D_
[KEY_FIGURES].[].[ZOPENPRODUCTION]_x000D_
[LOCID].[].[7K10]_x000D_
[BMIPRODHRD6].[].[GB-RENOWN]_x000D_
[PRDID].[].[10001647]_x000D_
[KEY_FIGURES].[].[ZADJUSTEDPRODUCTIONRECEIPT]_x000D_
[LOCID].[].[7K10]_x000D_
[BMIPRODHRD6].[].[GB-RENOWN]_x000D_
[PRDID].[].[10001647]_x000D_
[KEY_FIGURES].[].[MAXPRODUCTION]_x000D_
[LOCID].[].[7K10]_x000D_
[BMIPRODHRD6].[].[GB-RENOWN]_x000D_
[PRDID].[].[10001648]_x000D_
[KEY_FIGURES].[].[PRODUCTION]_x000D_
[LOCID].[].[7K10]_x000D_
[BMIPRODHRD6].[].[GB-RENOWN]_x000D_
[PRDID].[].[10001648]_x000D_
[KEY_FIGURES].[].[ZOPENPRODUCTION]_x000D_
[LOCID].[].[7K10]_x000D_
[BMIPRODHRD6].[].[GB-RENOWN]_x000D_
[PRDID].[].[10001648]_x000D_
[KEY_FIGURES].[].[ZADJUSTEDPRODUCTIONRECEIPT]_x000D_
[LOCID].[].[7K10]_x000D_
[BMIPRODHRD6].[].[GB-RENOWN]_x000D_
[PRDID].[].[10001648]_x000D_
[KEY_FIGURES].[].[MAXPRODUCTION]_x000D_
[LOCID].[].[7K10]_x000D_
[BMIPRODHRD6].[].[GB-RENOWN]_x000D_
[PRDID].[].[10001649]_x000D_
[KEY_FIGURES].[].[PRODUCTION]_x000D_
[LOCID].[].[7K10]_x000D_
[BMIPRODHRD6].[].[GB-RENOWN]_x000D_
[PRDID].[].[10001649]_x000D_
[KEY_FIGURES].[].[ZOPENPRODUCTION]_x000D_
[LOCID].[].[7K10]_x000D_
[BMIPRODHRD6].[].[GB-RENOWN]_x000D_
[PRDID].[].[10001649]_x000D_
[KEY_FIGURES].[].[ZADJUSTEDPRODUCTIONRECEIPT]_x000D_
[LOCID].[].[7K10]_x000D_
[BMIPRODHRD6].[].[GB-RENOWN]_x000D_
[PRDID].[].[10001649]_x000D_
[KEY_FIGURES].[].[MAXPRODUCTION]_x000D_
[LOCID].[].[7K10]_x000D_
[BMIPRODHRD6].[].[GB-RENOWN]_x000D_
[PRDID].[].[10001650]_x000D_
[KEY_FIGURES].[].[PRODUCTION]_x000D_
[LOCID].[].[7K10]_x000D_
[BMIPRODHRD6].[].[GB-RENOWN]_x000D_
[PRDID].[].[10001650]_x000D_
[KEY_FIGURES].[].[ZOPENPRODUCTION]_x000D_
[LOCID].[].[7K10]_x000D_
[BMIPRODHRD6].[].[GB-RENOWN]_x000D_
[PRDID].[].[10001650]_x000D_
[KEY_FIGURES].[].[ZADJUSTEDPRODUCTIONRECEIPT]_x000D_
[LOCID].[].[7K10]_x000D_
[BMIPRODHRD6].[].[GB-RENOWN]_x000D_
[PRDID].[].[10001650]_x000D_
[KEY_FIGURES].[].[MAXPRODUCTION]</t>
  </si>
  <si>
    <t>42</t>
  </si>
  <si>
    <t>[PERIODID4].[].[62675]_x000D_
[PERIODID4].[].[62676]_x000D_
[PERIODID4].[].[62677]_x000D_
[PERIODID4].[].[62678]_x000D_
[PERIODID4].[].[62679]_x000D_
[PERIODID4].[].[62680]_x000D_
[PERIODID4].[].[62681]_x000D_
[PERIODID4].[].[62682]_x000D_
[PERIODID4].[].[62683]_x000D_
[PERIODID4].[].[62684]_x000D_
[PERIODID4].[].[62685]_x000D_
[PERIODID4].[].[62686]_x000D_
[PERIODID4].[].[62687]_x000D_
[PERIODID4].[].[62688]_x000D_
[PERIODID4].[].[62689]_x000D_
[PERIODID4].[].[62690]_x000D_
[PERIODID4].[].[62691]_x000D_
[PERIODID4].[].[62692]_x000D_
[PERIODID4].[].[62693]_x000D_
[PERIODID4].[].[62694]_x000D_
[PERIODID4].[].[62695]_x000D_
[PERIODID4].[].[62696]_x000D_
[PERIODID4].[].[62697]_x000D_
[PERIODID4].[].[62698]_x000D_
[PERIODID4].[].[62699]_x000D_
[PERIODID4].[].[62700]_x000D_
[PERIODID4].[].[62701]_x000D_
[PERIODID4].[].[62702]_x000D_
[PERIODID4].[].[62703]_x000D_
[PERIODID4].[].[62704]_x000D_
[PERIODID4].[].[62705]_x000D_
[PERIODID4].[].[62706]_x000D_
[PERIODID4].[].[62707]_x000D_
[PERIODID4].[].[62708]_x000D_
[PERIODID4].[].[62709]_x000D_
[PERIODID4].[].[62710]_x000D_
[PERIODID4].[].[62711]_x000D_
[PERIODID4].[].[62712]_x000D_
[PERIODID4].[].[62713]_x000D_
[PERIODID4].[].[62714]_x000D_
[PERIODID4].[].[62715]_x000D_
[PERIODID4].[].[62716]_x000D_
[PERIODID4].[].[62717]_x000D_
[PERIODID4].[].[62718]_x000D_
[PERIODID4].[].[62719]_x000D_
[PERIODID4].[].[62720]_x000D_
[PERIODID4].[].[62721]_x000D_
[PERIODID4].[].[62722]_x000D_
[PERIODID4].[].[62723]_x000D_
[PERIODID4].[].[62724]_x000D_
[PERIODID4].[].[62725]_x000D_
[PERIODID4].[].[62726]_x000D_
[PERIODID4].[].[62727]_x000D_
[PERIODID4].[].[62728]_x000D_
[PERIODID4].[].[62729]_x000D_
[PERIODID4].[].[62730]_x000D_
[PERIODID4].[].[62731]_x000D_
[PERIODID4].[].[62732]_x000D_
[PERIODID4].[].[62733]_x000D_
[PERIODID4].[].[62734]_x000D_
[PERIODID4].[].[62735]_x000D_
[PERIODID4].[].[62736]_x000D_
[PERIODID4].[].[62737]_x000D_
[PERIODID4].[].[62738]_x000D_
[PERIODID4].[].[62739]_x000D_
[PERIODID4].[].[62740]_x000D_
[PERIODID4].[].[62741]_x000D_
[PERIODID4].[].[62742]_x000D_
[PERIODID4].[].[62743]_x000D_
[PERIODID4].[].[62744]_x000D_
[PERIODID4].[].[62745]_x000D_
[PERIODID4].[].[62746]_x000D_
[PERIODID4].[].[62747]_x000D_
[PERIODID4].[].[62748]_x000D_
[PERIODID4].[].[62749]_x000D_
[PERIODID4].[].[62750]_x000D_
[PERIODID4].[].[62751]_x000D_
[PERIODID4].[].[62752]_x000D_
[PERIODID4].[].[62753]_x000D_
[PERIODID4].[].[62754]</t>
  </si>
  <si>
    <t>[LOCID].[].[7K13]_x000D_
[BMIPRODHRD6].[].[__NULL]_x000D_
[PRDID].[].[__NULL]_x000D_
[KEY_FIGURES].[].[ZWORKDAYSLOC]_x000D_
[LOCID].[].[7K13]_x000D_
[BMIPRODHRD6].[].[__NULL]_x000D_
[PRDID].[].[__NULL]_x000D_
[KEY_FIGURES].[].[ZCAPASUPPLYWKHRS]_x000D_
[LOCID].[].[7K13]_x000D_
[BMIPRODHRD6].[].[__NULL]_x000D_
[PRDID].[].[__NULL]_x000D_
[KEY_FIGURES].[].[ZCAPASUPPLYADJ]_x000D_
[LOCID].[].[7K13]_x000D_
[BMIPRODHRD6].[].[__NULL]_x000D_
[PRDID].[].[__NULL]_x000D_
[KEY_FIGURES].[].[BMIMINCAPARATE]_x000D_
[LOCID].[].[7K13]_x000D_
[BMIPRODHRD6].[].[__NULL]_x000D_
[PRDID].[].[__NULL]_x000D_
[KEY_FIGURES].[].[CAPASUPPLY]_x000D_
[LOCID].[].[7K13]_x000D_
[BMIPRODHRD6].[].[__NULL]_x000D_
[PRDID].[].[__NULL]_x000D_
[KEY_FIGURES].[].[UTILIZATIONPCT]_x000D_
[LOCID].[].[7K13]_x000D_
[BMIPRODHRD6].[].[__NULL]_x000D_
[PRDID].[].[10001689]_x000D_
[KEY_FIGURES].[].[PCAPAUSAGE]_x000D_
[LOCID].[].[7K13]_x000D_
[BMIPRODHRD6].[].[__NULL]_x000D_
[PRDID].[].[10001690]_x000D_
[KEY_FIGURES].[].[PCAPAUSAGE]_x000D_
[LOCID].[].[7K13]_x000D_
[BMIPRODHRD6].[].[__NULL]_x000D_
[PRDID].[].[10001695]_x000D_
[KEY_FIGURES].[].[PCAPAUSAGE]_x000D_
[LOCID].[].[7K13]_x000D_
[BMIPRODHRD6].[].[__NULL]_x000D_
[PRDID].[].[10002938]_x000D_
[KEY_FIGURES].[].[PCAPAUSAGE]_x000D_
[LOCID].[].[7K13]_x000D_
[BMIPRODHRD6].[].[__NULL]_x000D_
[PRDID].[].[10002940]_x000D_
[KEY_FIGURES].[].[PCAPAUSAGE]_x000D_
[LOCID].[].[7K13]_x000D_
[BMIPRODHRD6].[].[__NULL]_x000D_
[PRDID].[].[10002941]_x000D_
[KEY_FIGURES].[].[PCAPAUSAGE]_x000D_
[LOCID].[].[7K13]_x000D_
[BMIPRODHRD6].[].[__NULL]_x000D_
[PRDID].[].[10002942]_x000D_
[KEY_FIGURES].[].[PCAPAUSAGE]_x000D_
[LOCID].[].[7K13]_x000D_
[BMIPRODHRD6].[].[__NULL]_x000D_
[PRDID].[].[10002944]_x000D_
[KEY_FIGURES].[].[PCAPAUSAGE]_x000D_
[LOCID].[].[7K13]_x000D_
[BMIPRODHRD6].[].[GB-50 DOUBLE ROMAN]_x000D_
[PRDID].[].[10002928]_x000D_
[KEY_FIGURES].[].[PCAPAUSAGE]_x000D_
[LOCID].[].[7K13]_x000D_
[BMIPRODHRD6].[].[GB-50 DOUBLE ROMAN]_x000D_
[PRDID].[].[10002929]_x000D_
[KEY_FIGURES].[].[PCAPAUSAGE]_x000D_
[LOCID].[].[7K13]_x000D_
[BMIPRODHRD6].[].[GB-50 DOUBLE ROMAN]_x000D_
[PRDID].[].[10002930]_x000D_
[KEY_FIGURES].[].[PCAPAUSAGE]_x000D_
[LOCID].[].[7K13]_x000D_
[BMIPRODHRD6].[].[GB-50 DOUBLE ROMAN]_x000D_
[PRDID].[].[10002931]_x000D_
[KEY_FIGURES].[].[PCAPAUSAGE]_x000D_
[LOCID].[].[7K13]_x000D_
[BMIPRODHRD6].[].[GB-GROVEBURY]_x000D_
[PRDID].[].[10001760]_x000D_
[KEY_FIGURES].[].[PCAPAUSAGE]_x000D_
[LOCID].[].[7K13]_x000D_
[BMIPRODHRD6].[].[GB-GROVEBURY]_x000D_
[PRDID].[].[10002946]_x000D_
[KEY_FIGURES].[].[PCAPAUSAGE]_x000D_
[LOCID].[].[7K13]_x000D_
[BMIPRODHRD6].[].[GB-GROVEBURY]_x000D_
[PRDID].[].[10002947]_x000D_
[KEY_FIGURES].[].[PCAPAUSAGE]_x000D_
[LOCID].[].[7K13]_x000D_
[BMIPRODHRD6].[].[GB-GROVEBURY]_x000D_
[PRDID].[].[10002948]_x000D_
[KEY_FIGURES].[].[PCAPAUSAGE]_x000D_
[LOCID].[].[7K13]_x000D_
[BMIPRODHRD6].[].[GB-GROVEBURY]_x000D_
[PRDID].[].[10002949]_x000D_
[KEY_FIGURES].[].[PCAPAUSAGE]_x000D_
[LOCID].[].[7K13]_x000D_
[BMIPRODHRD6].[].[GB-GROVEBURY]_x000D_
[PRDID].[].[10002950]_x000D_
[KEY_FIGURES].[].[PCAPAUSAGE]_x000D_
[LOCID].[].[7K13]_x000D_
[BMIPRODHRD6].[].[GB-LANDMARK DOUBLE PANTILE]_x000D_
[PRDID].[].[10001762]_x000D_
[KEY_FIGURES].[].[PCAPAUSAGE]_x000D_
[LOCID].[].[7K13]_x000D_
[BMIPRODHRD6].[].[GB-LANDMARK DOUBLE PANTILE]_x000D_
[PRDID].[].[10001763]_x000D_
[KEY_FIGURES].[].[PCAPAUSAGE]_x000D_
[LOCID].[].[7K13]_x000D_
[BMIPRODHRD6].[].[GB-LANDMARK DOUBLE ROMAN]_x000D_
[PRDID].[].[10001748]_x000D_
[KEY_FIGURES].[].[PCAPAUSAGE]_x000D_
[LOCID].[].[7K13]_x000D_
[BMIPRODHRD6].[].[GB-MINI STONEWOLD]_x000D_
[PRDID].[].[10001675]_x000D_
[KEY_FIGURES].[].[PCAPAUSAGE]_x000D_
[LOCID].[].[7K13]_x000D_
[BMIPRODHRD6].[].[GB-MINI STONEWOLD]_x000D_
[PRDID].[].[10001681]_x000D_
[KEY_FIGURES].[].[PCAPAUSAGE]_x000D_
[LOCID].[].[7K13]_x000D_
[BMIPRODHRD6].[].[GB-MINI STONEWOLD]_x000D_
[PRDID].[].[10001683]_x000D_
[KEY_FIGURES].[].[PCAPAUSAGE]_x000D_
[LOCID].[].[7K13]_x000D_
[BMIPRODHRD6].[].[GB-MINI STONEWOLD]_x000D_
[PRDID].[].[10002934]_x000D_
[KEY_FIGURES].[].[PCAPAUSAGE]_x000D_
[LOCID].[].[7K13]_x000D_
[BMIPRODHRD6].[].[GB-MINI STONEWOLD]_x000D_
[PRDID].[].[10002935]_x000D_
[KEY_FIGURES].[].[PCAPAUSAGE]_x000D_
[LOCID].[].[7K13]_x000D_
[BMIPRODHRD6].[].[GB-MINI STONEWOLD]_x000D_
[PRDID].[].[10002936]_x000D_
[KEY_FIGURES].[].[PCAPAUSAGE]_x000D_
[LOCID].[].[7K13]_x000D_
[BMIPRODHRD6].[].[GB-MINI STONEWOLD]_x000D_
[PRDID].[].[10002937]_x000D_
[KEY_FIGURES].[].[PCAPAUSAGE]_x000D_
[LOCID].[].[7K13]_x000D_
[BMIPRODHRD6].[].[GB-MOCKBOND MINI STONEWOLD]_x000D_
[PRDID].[].[10002943]_x000D_
[KEY_FIGURES].[].[PCAPAUSAGE]_x000D_
[LOCID].[].[7K13]_x000D_
[BMIPRODHRD6].[].[GB-RENOWN]_x000D_
[PRDID].[].[10002923]_x000D_
[KEY_FIGURES].[].[PCAPAUSAGE]_x000D_
[LOCID].[].[7K13]_x000D_
[BMIPRODHRD6].[].[GB-RENOWN]_x000D_
[PRDID].[].[10002924]_x000D_
[KEY_FIGURES].[].[PCAPAUSAGE]_x000D_
[LOCID].[].[7K13]_x000D_
[BMIPRODHRD6].[].[GB-RENOWN]_x000D_
[PRDID].[].[10002925]_x000D_
[KEY_FIGURES].[].[PCAPAUSAGE]_x000D_
[LOCID].[].[7K13]_x000D_
[BMIPRODHRD6].[].[GB-RENOWN]_x000D_
[PRDID].[].[10002926]_x000D_
[KEY_FIGURES].[].[PCAPAUSAGE]_x000D_
[LOCID].[].[7K13]_x000D_
[BMIPRODHRD6].[].[GB-RENOWN]_x000D_
[PRDID].[].[10002927]_x000D_
[KEY_FIGURES].[].[PCAPAUSAGE]_x000D_
[LOCID].[].[7K13]_x000D_
[BMIPRODHRD6].[].[GB-RICHMOND 10]_x000D_
[PRDID].[].[10002945]_x000D_
[KEY_FIGURES].[].[PCAPAUSAGE]</t>
  </si>
  <si>
    <t>W39 2022</t>
  </si>
  <si>
    <t>W40 2022</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</si>
  <si>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</si>
  <si>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</si>
  <si>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</si>
  <si>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</si>
  <si>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</si>
  <si>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Projected Period of Coverage (Month Level)</t>
  </si>
  <si>
    <t>Capacity Usage of Production Resource (Hrs)</t>
  </si>
  <si>
    <t>Production Receipts Manual Adj</t>
  </si>
  <si>
    <t>Frozen Horizon Period Identifier</t>
  </si>
  <si>
    <t>(KEY_FIGURES.Editable Indicator = FUTURE ) AND (PERIODID0.Past Current Future Indicator = C )</t>
  </si>
  <si>
    <t>(KEY_FIGURES.Editable Indicator = FUTURE ) AND (PERIODID.Past Current Future Indicator = C )</t>
  </si>
  <si>
    <t>(KEY_FIGURES.Editable Indicator = FUTURE ) AND (PERIODID1.Past Current Future Indicator = CF )</t>
  </si>
  <si>
    <t>(KEY_FIGURES.Editable Indicator = FUTURE ) AND (PERIODID2.Past Current Future Indicator = CF )</t>
  </si>
  <si>
    <t>(KEY_FIGURES.Editable Indicator = FUTURE ) AND (PERIODID3.Past Current Future Indicator = CF )</t>
  </si>
  <si>
    <t>(KEY_FIGURES.Editable Indicator = FUTURE ) AND (PERIODID4.Past Current Future Indicator = CF )</t>
  </si>
  <si>
    <t>(KEY_FIGURES.Editable Indicator = FUTURE ) AND (PERIODID5.Past Current Future Indicator = CF )</t>
  </si>
  <si>
    <t>(KEY_FIGURES.Editable Indicator = FUTURE ) AND (PERIODID.Past Current Future Indicator = CF )</t>
  </si>
  <si>
    <t>(KEY_FIGURES.Editable Indicator = FUTURE ) AND (PERIODID0.Past Current Future Indicator = F )</t>
  </si>
  <si>
    <t>(KEY_FIGURES.Editable Indicator = FUTURE ) AND (PERIODID1.Past Current Future Indicator = F )</t>
  </si>
  <si>
    <t>(KEY_FIGURES.Editable Indicator = FUTURE ) AND (PERIODID2.Past Current Future Indicator = F )</t>
  </si>
  <si>
    <t>(KEY_FIGURES.Editable Indicator = FUTURE ) AND (PERIODID3.Past Current Future Indicator = F )</t>
  </si>
  <si>
    <t>(KEY_FIGURES.Editable Indicator = FUTURE ) AND (PERIODID4.Past Current Future Indicator = F )</t>
  </si>
  <si>
    <t>(KEY_FIGURES.Editable Indicator = FUTURE ) AND (PERIODID5.Past Current Future Indicator = F )</t>
  </si>
  <si>
    <t>(KEY_FIGURES.Editable Indicator = FUTURE ) AND (PERIODID.Past Current Future Indicator = F )</t>
  </si>
  <si>
    <t>(KEY_FIGURES.Editable Indicator = PAST ) AND (PERIODID0.Past Current Future Indicator = P )</t>
  </si>
  <si>
    <t>(KEY_FIGURES.Editable Indicator = PAST ) AND (PERIODID1.Past Current Future Indicator = P )</t>
  </si>
  <si>
    <t>(KEY_FIGURES.Editable Indicator = PAST ) AND (PERIODID2.Past Current Future Indicator = P )</t>
  </si>
  <si>
    <t>(KEY_FIGURES.Editable Indicator = PAST ) AND (PERIODID3.Past Current Future Indicator = P )</t>
  </si>
  <si>
    <t>(KEY_FIGURES.Editable Indicator = PAST ) AND (PERIODID4.Past Current Future Indicator = P )</t>
  </si>
  <si>
    <t>(KEY_FIGURES.Editable Indicator = PAST ) AND (PERIODID5.Past Current Future Indicator = P )</t>
  </si>
  <si>
    <t>(KEY_FIGURES.Editable Indicator = PAST ) AND (PERIODID.Past Current Future Indicator = P )</t>
  </si>
  <si>
    <t>(KEY_FIGURES.Edit Offset Equals 0 ) AND (PERIODID3.RELATIVE Equals 0 )</t>
  </si>
  <si>
    <t>(KEY_FIGURES.Edit Offset Equals 0 ) AND (PERIODID4.RELATIVE Equals 0 )</t>
  </si>
  <si>
    <t>(KEY_FIGURES.Edit Offset Equals 0 ) AND (PERIODID5.RELATIVE Equals 0 )</t>
  </si>
  <si>
    <t>(Capacity Supply) AND (Maximum Aggregate Production Receipts) AND (Location workdays per week)</t>
  </si>
  <si>
    <t>(Production Receipts) AND (Transport Receipts OR Net Demand)</t>
  </si>
  <si>
    <t>Key Figures = Final Forecast Delta Current Vs Last OR Forecast Delta Current Vs Last OR Intercompany Net Requirement Delta Current Vs Last</t>
  </si>
  <si>
    <t>Key Figures = Adjusted Anaplan Uncons Forecast</t>
  </si>
  <si>
    <t>NumberFormat | Pattern | FontBold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</si>
</sst>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_(* #,##0_);_(* \(#,##0\);_(* &quot;-&quot;??_);_(@_)"/>
    <numFmt numFmtId="166" formatCode="_(* #,##0.000000_);_(* \(#,##0.000000\);_(* &quot;-&quot;??_);_(@_)"/>
    <numFmt numFmtId="167" formatCode="0.0%"/>
    <numFmt numFmtId="168" formatCode="#,##0%;[Red]\-#,##0%"/>
    <numFmt numFmtId="169" formatCode="#,##0_ ;[Red]\-#,##0\ "/>
  </numFmts>
  <fonts count="31"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
      <sz val="11"/>
      <color theme="1"/>
      <name val="Calibri"/>
      <family val="2"/>
      <scheme val="minor"/>
    </font>
    <font>
      <b/>
      <sz val="14"/>
      <color theme="0" tint="-4.9989318521683403E-2"/>
      <name val="Calibri"/>
      <family val="2"/>
      <scheme val="minor"/>
    </font>
    <font>
      <sz val="12"/>
      <color theme="0" tint="-4.9989318521683403E-2"/>
      <name val="Calibri"/>
      <family val="2"/>
      <scheme val="minor"/>
    </font>
    <font>
      <sz val="13"/>
      <color theme="0" tint="-4.9989318521683403E-2"/>
      <name val="Calibri"/>
      <family val="2"/>
      <scheme val="minor"/>
    </font>
    <font>
      <sz val="11"/>
      <color rgb="FFF3F2E9"/>
      <name val="Calibri"/>
      <family val="2"/>
      <scheme val="minor"/>
    </font>
    <font>
      <b/>
      <sz val="9"/>
      <color indexed="81"/>
      <name val="Tahoma"/>
      <family val="2"/>
    </font>
    <font>
      <sz val="9"/>
      <color indexed="81"/>
      <name val="Tahoma"/>
      <family val="2"/>
    </font>
    <font>
      <b/>
      <sz val="11"/>
      <color rgb="FFFFFFFF"/>
      <name val="Calibri"/>
      <family val="2"/>
      <scheme val="minor"/>
    </font>
  </fonts>
  <fills count="27">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EBF1DE"/>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rgb="FF92D050"/>
        <bgColor indexed="64"/>
      </patternFill>
    </fill>
    <fill>
      <patternFill patternType="solid">
        <fgColor theme="0"/>
        <bgColor indexed="64"/>
      </patternFill>
    </fill>
    <fill>
      <patternFill patternType="solid">
        <fgColor rgb="FF16365C"/>
        <bgColor indexed="64"/>
      </patternFill>
    </fill>
    <fill>
      <patternFill patternType="solid">
        <fgColor theme="4" tint="0.79998168889431442"/>
        <bgColor indexed="64"/>
      </patternFill>
    </fill>
  </fills>
  <borders count="4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style="thin">
        <color theme="1"/>
      </top>
      <bottom/>
      <diagonal/>
    </border>
    <border>
      <left style="dashed">
        <color theme="6" tint="-0.249977111117893"/>
      </left>
      <right style="dashed">
        <color theme="6" tint="-0.249977111117893"/>
      </right>
      <top/>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14996795556505021"/>
      </bottom>
      <diagonal/>
    </border>
    <border>
      <left/>
      <right/>
      <top style="thin">
        <color theme="0" tint="-0.249977111117893"/>
      </top>
      <bottom style="thin">
        <color theme="0" tint="-0.249977111117893"/>
      </bottom>
      <diagonal/>
    </border>
    <border>
      <left style="dashed">
        <color indexed="19"/>
      </left>
      <right style="dashed">
        <color indexed="19"/>
      </right>
      <top style="thin">
        <color theme="0" tint="-0.249977111117893"/>
      </top>
      <bottom style="thin">
        <color theme="0" tint="-0.249977111117893"/>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thin">
        <color indexed="64"/>
      </left>
      <right style="thin">
        <color indexed="64"/>
      </right>
      <top style="thin">
        <color indexed="64"/>
      </top>
      <bottom style="mediumDashed">
        <color indexed="64"/>
      </bottom>
      <diagonal/>
    </border>
    <border>
      <left/>
      <right/>
      <top style="medium">
        <color theme="1"/>
      </top>
      <bottom/>
      <diagonal/>
    </border>
  </borders>
  <cellStyleXfs count="4">
    <xf numFmtId="0" fontId="0" fillId="0" borderId="0"/>
    <xf numFmtId="0" fontId="11" fillId="7" borderId="0" applyNumberFormat="0" applyBorder="0" applyAlignment="0" applyProtection="0"/>
    <xf numFmtId="164" fontId="23" fillId="0" borderId="0" applyFont="0" applyFill="0" applyBorder="0" applyAlignment="0" applyProtection="0"/>
    <xf numFmtId="9" fontId="23" fillId="0" borderId="0" applyFont="0" applyFill="0" applyBorder="0" applyAlignment="0" applyProtection="0"/>
  </cellStyleXfs>
  <cellXfs count="14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Alignment="1">
      <alignment horizontal="center"/>
    </xf>
    <xf numFmtId="0" fontId="1" fillId="0" borderId="20" xfId="0" applyFont="1" applyBorder="1" applyAlignment="1" applyProtection="1">
      <alignment horizontal="left" vertical="center"/>
      <protection locked="0"/>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7" fillId="0" borderId="12" xfId="0" applyFont="1" applyBorder="1" applyAlignment="1">
      <alignment horizontal="left" vertical="center"/>
    </xf>
    <xf numFmtId="0" fontId="8" fillId="0" borderId="13" xfId="0" applyFont="1" applyBorder="1"/>
    <xf numFmtId="0" fontId="7" fillId="0" borderId="13" xfId="0" applyFont="1" applyBorder="1" applyAlignment="1">
      <alignment horizontal="left" vertical="center"/>
    </xf>
    <xf numFmtId="0" fontId="8" fillId="0" borderId="9" xfId="0" applyFont="1" applyBorder="1"/>
    <xf numFmtId="0" fontId="10" fillId="0" borderId="0" xfId="0" applyFont="1" applyAlignment="1" applyProtection="1">
      <alignment horizontal="left" vertical="center"/>
      <protection locked="0"/>
    </xf>
    <xf numFmtId="0" fontId="0" fillId="6" borderId="0" xfId="0" applyFill="1"/>
    <xf numFmtId="0" fontId="0" fillId="8" borderId="0" xfId="0" applyFill="1"/>
    <xf numFmtId="0" fontId="4" fillId="0" borderId="10" xfId="0" applyFont="1" applyBorder="1" applyAlignment="1">
      <alignment horizontal="left" vertical="center"/>
    </xf>
    <xf numFmtId="0" fontId="12" fillId="0" borderId="0" xfId="0" quotePrefix="1" applyFont="1" applyAlignment="1">
      <alignment horizontal="left" vertical="center"/>
    </xf>
    <xf numFmtId="0" fontId="13" fillId="0" borderId="0" xfId="0" applyFont="1" applyAlignment="1">
      <alignment horizontal="center"/>
    </xf>
    <xf numFmtId="0" fontId="0" fillId="0" borderId="0" xfId="0" applyAlignment="1">
      <alignment horizontal="center"/>
    </xf>
    <xf numFmtId="0" fontId="0" fillId="0" borderId="28" xfId="0" applyBorder="1" applyAlignment="1">
      <alignment horizontal="center"/>
    </xf>
    <xf numFmtId="0" fontId="0" fillId="1" borderId="0" xfId="0" applyFill="1" applyAlignment="1">
      <alignment horizontal="center"/>
    </xf>
    <xf numFmtId="0" fontId="0" fillId="1" borderId="1" xfId="0" applyFill="1" applyBorder="1" applyAlignment="1">
      <alignment horizontal="center"/>
    </xf>
    <xf numFmtId="0" fontId="0" fillId="0" borderId="0" xfId="0" applyAlignment="1" applyProtection="1">
      <alignment horizontal="right" vertical="center"/>
      <protection locked="0"/>
    </xf>
    <xf numFmtId="0" fontId="0" fillId="0" borderId="26" xfId="0" applyBorder="1" applyAlignment="1">
      <alignment horizontal="center"/>
    </xf>
    <xf numFmtId="0" fontId="0" fillId="1" borderId="26" xfId="0" applyFill="1" applyBorder="1" applyAlignment="1">
      <alignment horizontal="center"/>
    </xf>
    <xf numFmtId="0" fontId="0" fillId="0" borderId="0" xfId="0" applyAlignment="1" applyProtection="1">
      <alignment horizontal="left" vertical="center"/>
      <protection locked="0"/>
    </xf>
    <xf numFmtId="0" fontId="19" fillId="0" borderId="0" xfId="0" applyFont="1" applyAlignment="1" applyProtection="1">
      <alignment horizontal="left" vertical="center"/>
      <protection locked="0"/>
    </xf>
    <xf numFmtId="0" fontId="18" fillId="0" borderId="0" xfId="0" applyFont="1" applyAlignment="1" applyProtection="1">
      <alignment horizontal="left" vertical="center"/>
      <protection locked="0"/>
    </xf>
    <xf numFmtId="0" fontId="0" fillId="9" borderId="0" xfId="0" applyFill="1" applyAlignment="1" applyProtection="1">
      <alignment horizontal="left" vertical="center"/>
      <protection locked="0"/>
    </xf>
    <xf numFmtId="0" fontId="0" fillId="10" borderId="0" xfId="0" applyFill="1" applyAlignment="1" applyProtection="1">
      <alignment horizontal="lef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20" fillId="0" borderId="0" xfId="0" quotePrefix="1" applyFont="1" applyAlignment="1">
      <alignment horizontal="left" vertical="center"/>
    </xf>
    <xf numFmtId="0" fontId="1" fillId="0" borderId="13"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Alignment="1">
      <alignment horizontal="left" vertical="center"/>
    </xf>
    <xf numFmtId="0" fontId="0" fillId="0" borderId="0" xfId="0" quotePrefix="1" applyAlignment="1">
      <alignment wrapText="1"/>
    </xf>
    <xf numFmtId="0" fontId="0" fillId="0" borderId="0" xfId="0" quotePrefix="1"/>
    <xf numFmtId="0" fontId="0" fillId="15" borderId="35" xfId="0" applyFill="1" applyBorder="1" applyAlignment="1" applyProtection="1">
      <alignment horizontal="left" vertical="center"/>
      <protection locked="0"/>
    </xf>
    <xf numFmtId="0" fontId="9" fillId="8" borderId="0" xfId="0" applyFont="1" applyFill="1" applyAlignment="1" applyProtection="1">
      <alignment horizontal="center" vertical="center"/>
      <protection locked="0"/>
    </xf>
    <xf numFmtId="165" fontId="0" fillId="0" borderId="37" xfId="2" applyNumberFormat="1" applyFont="1" applyFill="1" applyBorder="1" applyAlignment="1" applyProtection="1">
      <alignment horizontal="right" vertical="center"/>
      <protection locked="0"/>
    </xf>
    <xf numFmtId="165" fontId="0" fillId="18" borderId="38" xfId="2" applyNumberFormat="1" applyFont="1" applyFill="1" applyBorder="1" applyAlignment="1" applyProtection="1">
      <alignment horizontal="right" vertical="center"/>
      <protection locked="0"/>
    </xf>
    <xf numFmtId="165" fontId="20" fillId="15" borderId="35" xfId="0" quotePrefix="1" applyNumberFormat="1" applyFont="1" applyFill="1" applyBorder="1" applyAlignment="1" applyProtection="1">
      <alignment horizontal="right" vertical="center"/>
      <protection locked="0"/>
    </xf>
    <xf numFmtId="165" fontId="0" fillId="16" borderId="36" xfId="2" applyNumberFormat="1" applyFont="1" applyFill="1" applyBorder="1" applyAlignment="1" applyProtection="1">
      <alignment horizontal="center" vertical="center"/>
      <protection locked="0"/>
    </xf>
    <xf numFmtId="165" fontId="18" fillId="6" borderId="38" xfId="2" applyNumberFormat="1" applyFont="1" applyFill="1" applyBorder="1" applyAlignment="1" applyProtection="1">
      <alignment horizontal="right" vertical="center"/>
      <protection locked="0"/>
    </xf>
    <xf numFmtId="165" fontId="0" fillId="19" borderId="37" xfId="2" applyNumberFormat="1" applyFont="1" applyFill="1" applyBorder="1" applyAlignment="1" applyProtection="1">
      <alignment horizontal="right" vertical="center"/>
      <protection locked="0"/>
    </xf>
    <xf numFmtId="0" fontId="9" fillId="20" borderId="0" xfId="0" applyFont="1" applyFill="1" applyAlignment="1" applyProtection="1">
      <alignment horizontal="center" vertical="center"/>
      <protection locked="0"/>
    </xf>
    <xf numFmtId="0" fontId="11" fillId="21" borderId="0" xfId="0" applyFont="1" applyFill="1"/>
    <xf numFmtId="165" fontId="18" fillId="15" borderId="0" xfId="0" quotePrefix="1" applyNumberFormat="1" applyFont="1" applyFill="1" applyAlignment="1" applyProtection="1">
      <alignment horizontal="right" vertical="center"/>
      <protection locked="0"/>
    </xf>
    <xf numFmtId="165" fontId="20" fillId="22" borderId="35" xfId="0" quotePrefix="1" applyNumberFormat="1" applyFont="1" applyFill="1" applyBorder="1" applyAlignment="1" applyProtection="1">
      <alignment horizontal="right" vertical="center"/>
      <protection locked="0"/>
    </xf>
    <xf numFmtId="0" fontId="0" fillId="22" borderId="35" xfId="0" applyFill="1" applyBorder="1" applyAlignment="1" applyProtection="1">
      <alignment horizontal="left" vertical="center"/>
      <protection locked="0"/>
    </xf>
    <xf numFmtId="0" fontId="18" fillId="15" borderId="0" xfId="0" applyFont="1" applyFill="1" applyAlignment="1" applyProtection="1">
      <alignment horizontal="left" vertical="center"/>
      <protection locked="0"/>
    </xf>
    <xf numFmtId="0" fontId="0" fillId="0" borderId="35" xfId="0" applyBorder="1" applyAlignment="1" applyProtection="1">
      <alignment horizontal="left" vertical="center"/>
      <protection locked="0"/>
    </xf>
    <xf numFmtId="165" fontId="20" fillId="0" borderId="35" xfId="0" quotePrefix="1" applyNumberFormat="1" applyFont="1" applyBorder="1" applyAlignment="1" applyProtection="1">
      <alignment horizontal="right" vertical="center"/>
      <protection locked="0"/>
    </xf>
    <xf numFmtId="166" fontId="0" fillId="0" borderId="0" xfId="0" applyNumberFormat="1" applyAlignment="1" applyProtection="1">
      <alignment horizontal="right" vertical="center"/>
      <protection locked="0"/>
    </xf>
    <xf numFmtId="0" fontId="0" fillId="23" borderId="1" xfId="0" applyFill="1" applyBorder="1" applyAlignment="1" applyProtection="1">
      <alignment horizontal="center" vertical="center"/>
      <protection locked="0"/>
    </xf>
    <xf numFmtId="0" fontId="0" fillId="0" borderId="1" xfId="0" applyBorder="1" applyAlignment="1" applyProtection="1">
      <alignment horizontal="left" vertical="center"/>
      <protection locked="0"/>
    </xf>
    <xf numFmtId="164" fontId="0" fillId="0" borderId="37" xfId="2" applyFont="1" applyFill="1" applyBorder="1" applyAlignment="1" applyProtection="1">
      <alignment horizontal="right" vertical="center"/>
      <protection locked="0"/>
    </xf>
    <xf numFmtId="0" fontId="11" fillId="21" borderId="0" xfId="1" applyFill="1" applyBorder="1" applyAlignment="1" applyProtection="1"/>
    <xf numFmtId="165" fontId="0" fillId="0" borderId="36" xfId="2" applyNumberFormat="1" applyFont="1" applyFill="1" applyBorder="1" applyAlignment="1" applyProtection="1">
      <alignment horizontal="center" vertical="center"/>
      <protection locked="0"/>
    </xf>
    <xf numFmtId="165" fontId="18" fillId="0" borderId="36" xfId="2" applyNumberFormat="1" applyFont="1" applyFill="1" applyBorder="1" applyAlignment="1" applyProtection="1">
      <alignment horizontal="center" vertical="center"/>
      <protection locked="0"/>
    </xf>
    <xf numFmtId="165" fontId="0" fillId="0" borderId="39" xfId="2" applyNumberFormat="1" applyFont="1" applyFill="1" applyBorder="1" applyAlignment="1" applyProtection="1">
      <alignment horizontal="right" vertical="center"/>
      <protection locked="0"/>
    </xf>
    <xf numFmtId="165" fontId="0" fillId="17" borderId="40" xfId="2" applyNumberFormat="1" applyFont="1" applyFill="1" applyBorder="1" applyAlignment="1" applyProtection="1">
      <alignment horizontal="right" vertical="center"/>
      <protection locked="0"/>
    </xf>
    <xf numFmtId="165" fontId="0" fillId="24" borderId="37" xfId="2" applyNumberFormat="1" applyFont="1" applyFill="1" applyBorder="1" applyAlignment="1" applyProtection="1">
      <alignment horizontal="right" vertical="center"/>
      <protection locked="0"/>
    </xf>
    <xf numFmtId="167" fontId="20" fillId="0" borderId="2" xfId="3" quotePrefix="1" applyNumberFormat="1" applyFont="1" applyFill="1" applyBorder="1" applyAlignment="1" applyProtection="1">
      <alignment horizontal="center" vertical="center"/>
      <protection locked="0"/>
    </xf>
    <xf numFmtId="0" fontId="1" fillId="0" borderId="43" xfId="0" applyFont="1" applyBorder="1" applyAlignment="1">
      <alignment horizontal="center"/>
    </xf>
    <xf numFmtId="0" fontId="1" fillId="1" borderId="43" xfId="0" applyFont="1" applyFill="1" applyBorder="1" applyAlignment="1">
      <alignment horizontal="center"/>
    </xf>
    <xf numFmtId="0" fontId="0" fillId="1" borderId="43" xfId="0" applyFill="1" applyBorder="1" applyAlignment="1">
      <alignment horizontal="center"/>
    </xf>
    <xf numFmtId="0" fontId="1" fillId="0" borderId="44" xfId="0" applyFont="1" applyBorder="1" applyAlignment="1">
      <alignment horizontal="center"/>
    </xf>
    <xf numFmtId="0" fontId="1" fillId="0" borderId="45" xfId="0" applyFont="1" applyBorder="1" applyAlignment="1">
      <alignment horizontal="center"/>
    </xf>
    <xf numFmtId="164" fontId="27" fillId="0" borderId="37" xfId="2" applyFont="1" applyFill="1" applyBorder="1" applyAlignment="1" applyProtection="1">
      <alignment horizontal="right" vertical="center"/>
      <protection locked="0"/>
    </xf>
    <xf numFmtId="165" fontId="0" fillId="6" borderId="37" xfId="2" applyNumberFormat="1" applyFont="1" applyFill="1" applyBorder="1" applyAlignment="1" applyProtection="1">
      <alignment horizontal="right" vertical="center"/>
      <protection locked="0"/>
    </xf>
    <xf numFmtId="0" fontId="1" fillId="0" borderId="13" xfId="0" applyFont="1" applyBorder="1" applyAlignment="1">
      <alignment horizontal="center"/>
    </xf>
    <xf numFmtId="0" fontId="1" fillId="0" borderId="23" xfId="0" applyFont="1" applyBorder="1" applyAlignment="1">
      <alignment horizontal="center"/>
    </xf>
    <xf numFmtId="0" fontId="4" fillId="0" borderId="0" xfId="0" applyFont="1" applyBorder="1" applyAlignment="1">
      <alignment horizontal="left" vertical="center"/>
    </xf>
    <xf numFmtId="0" fontId="1" fillId="1" borderId="0" xfId="0" applyFont="1" applyFill="1" applyBorder="1" applyAlignment="1">
      <alignment horizontal="center"/>
    </xf>
    <xf numFmtId="0" fontId="0" fillId="1" borderId="0" xfId="0" applyFill="1" applyBorder="1" applyAlignment="1">
      <alignment horizontal="center"/>
    </xf>
    <xf numFmtId="0" fontId="12" fillId="0" borderId="0" xfId="0" quotePrefix="1" applyFont="1" applyBorder="1" applyAlignment="1">
      <alignment horizontal="left" vertical="center"/>
    </xf>
    <xf numFmtId="0" fontId="0" fillId="0" borderId="0" xfId="0" applyFont="1" applyFill="1" applyBorder="1" applyAlignment="1" applyProtection="1">
      <alignment horizontal="left" vertical="center"/>
      <protection locked="0"/>
    </xf>
    <xf numFmtId="169" fontId="20" fillId="22" borderId="47" xfId="2" quotePrefix="1" applyNumberFormat="1" applyFont="1" applyFill="1" applyBorder="1" applyAlignment="1" applyProtection="1">
      <alignment horizontal="left" vertical="center"/>
      <protection locked="0"/>
    </xf>
    <xf numFmtId="168" fontId="18" fillId="26" borderId="46" xfId="3" applyNumberFormat="1" applyFont="1" applyFill="1" applyBorder="1" applyAlignment="1" applyProtection="1">
      <alignment horizontal="center" vertical="center"/>
      <protection locked="0"/>
    </xf>
    <xf numFmtId="169" fontId="20" fillId="22" borderId="47" xfId="2" quotePrefix="1" applyNumberFormat="1" applyFont="1" applyFill="1" applyBorder="1" applyAlignment="1" applyProtection="1">
      <alignment horizontal="right" vertical="center"/>
      <protection locked="0"/>
    </xf>
    <xf numFmtId="0" fontId="14" fillId="21" borderId="0" xfId="0" quotePrefix="1" applyFont="1" applyFill="1" applyAlignment="1" applyProtection="1">
      <alignment vertical="top" wrapText="1"/>
    </xf>
    <xf numFmtId="0" fontId="11" fillId="21" borderId="0" xfId="0" applyFont="1" applyFill="1" applyAlignment="1" applyProtection="1">
      <alignment horizontal="right" vertical="center"/>
    </xf>
    <xf numFmtId="0" fontId="9" fillId="21" borderId="0" xfId="0" applyFont="1" applyFill="1" applyAlignment="1" applyProtection="1">
      <alignment horizontal="left" vertical="center"/>
    </xf>
    <xf numFmtId="0" fontId="11" fillId="21" borderId="0" xfId="0" applyFont="1" applyFill="1" applyProtection="1"/>
    <xf numFmtId="0" fontId="17" fillId="21" borderId="0" xfId="0" quotePrefix="1" applyFont="1" applyFill="1" applyAlignment="1" applyProtection="1">
      <alignment vertical="top" wrapText="1"/>
    </xf>
    <xf numFmtId="0" fontId="0" fillId="6" borderId="0" xfId="0" applyFill="1" applyProtection="1"/>
    <xf numFmtId="0" fontId="9" fillId="8" borderId="0" xfId="0" applyFont="1" applyFill="1" applyProtection="1"/>
    <xf numFmtId="0" fontId="0" fillId="0" borderId="0" xfId="0" applyProtection="1"/>
    <xf numFmtId="0" fontId="15" fillId="21" borderId="0" xfId="0" applyFont="1" applyFill="1" applyAlignment="1" applyProtection="1">
      <alignment horizontal="left" vertical="center"/>
    </xf>
    <xf numFmtId="0" fontId="16" fillId="21" borderId="0" xfId="0" applyFont="1" applyFill="1" applyAlignment="1" applyProtection="1">
      <alignment horizontal="right" vertical="top" wrapText="1"/>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25" xfId="0" applyFont="1" applyBorder="1" applyAlignment="1">
      <alignment horizontal="center"/>
    </xf>
    <xf numFmtId="0" fontId="6" fillId="5" borderId="19" xfId="0" applyFont="1" applyFill="1" applyBorder="1" applyAlignment="1" applyProtection="1">
      <alignment horizontal="center" vertical="center"/>
      <protection hidden="1"/>
    </xf>
    <xf numFmtId="0" fontId="1" fillId="0" borderId="9" xfId="0" applyFont="1" applyBorder="1" applyAlignment="1">
      <alignment horizont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34" xfId="0" applyFont="1" applyFill="1" applyBorder="1" applyAlignment="1" applyProtection="1">
      <alignment horizontal="center" vertical="center"/>
      <protection hidden="1"/>
    </xf>
    <xf numFmtId="0" fontId="8" fillId="0" borderId="13" xfId="0" applyFont="1" applyBorder="1" applyAlignment="1" applyProtection="1">
      <alignment horizontal="left" vertical="top" wrapText="1"/>
      <protection locked="0"/>
    </xf>
    <xf numFmtId="0" fontId="6" fillId="5" borderId="41" xfId="0" applyFont="1" applyFill="1" applyBorder="1" applyAlignment="1" applyProtection="1">
      <alignment horizontal="center" vertical="center"/>
      <protection hidden="1"/>
    </xf>
    <xf numFmtId="0" fontId="1" fillId="0" borderId="42" xfId="0" applyFont="1" applyBorder="1" applyAlignment="1">
      <alignment horizontal="center"/>
    </xf>
    <xf numFmtId="0" fontId="0" fillId="6" borderId="0" xfId="0" applyFill="1" applyAlignment="1" applyProtection="1">
      <alignment horizontal="left" vertical="top" wrapText="1"/>
    </xf>
    <xf numFmtId="0" fontId="15" fillId="21" borderId="0" xfId="0" applyFont="1" applyFill="1" applyAlignment="1" applyProtection="1">
      <alignment horizontal="left" vertical="center"/>
    </xf>
    <xf numFmtId="0" fontId="16" fillId="21" borderId="0" xfId="0" applyFont="1" applyFill="1" applyAlignment="1" applyProtection="1">
      <alignment horizontal="right" vertical="top" wrapText="1"/>
    </xf>
    <xf numFmtId="0" fontId="16" fillId="21" borderId="0" xfId="0" applyFont="1" applyFill="1" applyAlignment="1" applyProtection="1">
      <alignment horizontal="left" vertical="top"/>
    </xf>
    <xf numFmtId="0" fontId="24" fillId="21" borderId="0" xfId="0" quotePrefix="1" applyFont="1" applyFill="1" applyAlignment="1" applyProtection="1">
      <alignment horizontal="left" vertical="center" wrapText="1"/>
    </xf>
    <xf numFmtId="0" fontId="26" fillId="21" borderId="0" xfId="0" quotePrefix="1" applyFont="1" applyFill="1" applyAlignment="1" applyProtection="1">
      <alignment horizontal="left" vertical="center" wrapText="1"/>
    </xf>
    <xf numFmtId="0" fontId="25" fillId="21" borderId="0" xfId="0" quotePrefix="1" applyFont="1" applyFill="1" applyAlignment="1" applyProtection="1">
      <alignment horizontal="left" vertical="center" wrapText="1"/>
    </xf>
    <xf numFmtId="0" fontId="30" fillId="25" borderId="0" xfId="0" applyFont="1" applyFill="1" applyAlignment="1" applyProtection="1">
      <alignment horizontal="center" vertical="center"/>
    </xf>
    <xf numFmtId="0" fontId="9" fillId="8" borderId="0" xfId="0" applyFont="1" applyFill="1" applyAlignment="1" applyProtection="1">
      <alignment horizontal="center" vertical="center"/>
    </xf>
    <xf numFmtId="0" fontId="10" fillId="0" borderId="0" xfId="0" applyFont="1" applyAlignment="1" applyProtection="1">
      <alignment horizontal="left" vertical="center"/>
    </xf>
    <xf numFmtId="0" fontId="0" fillId="8" borderId="0" xfId="0" applyFill="1" applyProtection="1"/>
  </cellXfs>
  <cellStyles count="4">
    <cellStyle name="Accent6" xfId="1" builtinId="49"/>
    <cellStyle name="Comma" xfId="2" builtinId="3"/>
    <cellStyle name="Normal" xfId="0" builtinId="0"/>
    <cellStyle name="Percent" xfId="3" builtinId="5"/>
  </cellStyles>
  <dxfs count="10">
    <dxf>
      <fill>
        <patternFill>
          <bgColor theme="0" tint="-0.34998626667073579"/>
        </patternFill>
      </fill>
    </dxf>
    <dxf>
      <fill>
        <patternFill>
          <bgColor rgb="FFCCFF99"/>
        </patternFill>
      </fill>
    </dxf>
    <dxf>
      <fill>
        <patternFill>
          <bgColor rgb="FFFFC000"/>
        </patternFill>
      </fill>
    </dxf>
    <dxf>
      <font>
        <color theme="0"/>
      </font>
      <fill>
        <patternFill>
          <bgColor rgb="FFFF0000"/>
        </patternFill>
      </fill>
    </dxf>
    <dxf>
      <fill>
        <patternFill>
          <bgColor rgb="FFFF0000"/>
        </patternFill>
      </fill>
    </dxf>
    <dxf>
      <fill>
        <patternFill>
          <bgColor rgb="FF92D050"/>
        </patternFill>
      </fill>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s>
  <tableStyles count="0" defaultTableStyle="TableStyleMedium2" defaultPivotStyle="PivotStyleLight16"/>
  <colors>
    <mruColors>
      <color rgb="FFF3F2E9"/>
      <color rgb="FFF6F5EE"/>
      <color rgb="FFC7CEAE"/>
      <color rgb="FFEAEAEA"/>
      <color rgb="FF21A3F1"/>
      <color rgb="FFC5D9F1"/>
      <color rgb="FF96BAE6"/>
      <color rgb="FF2965AD"/>
      <color rgb="FF3178CD"/>
      <color rgb="FF4F8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20-EC42-11CE-9E0D-00AA006002F3}" ax:persistence="persistStreamInit" r:id="rId1"/>
</file>

<file path=xl/activeX/activeX43.xml><?xml version="1.0" encoding="utf-8"?>
<ax:ocx xmlns:ax="http://schemas.microsoft.com/office/2006/activeX" xmlns:r="http://schemas.openxmlformats.org/officeDocument/2006/relationships" ax:classid="{8BD21D2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20-EC42-11CE-9E0D-00AA006002F3}" ax:persistence="persistStreamInit" r:id="rId1"/>
</file>

<file path=xl/activeX/activeX67.xml><?xml version="1.0" encoding="utf-8"?>
<ax:ocx xmlns:ax="http://schemas.microsoft.com/office/2006/activeX" xmlns:r="http://schemas.openxmlformats.org/officeDocument/2006/relationships" ax:classid="{8BD21D2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2-20CA-4D89-AFF7-6C16B6042B6E}"/>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6.6724210610037374E-2"/>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A282-460F-B16B-A0E2ADD27D3F}"/>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A282-460F-B16B-A0E2ADD27D3F}"/>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6.6724210610037374E-2"/>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05F9-4959-8805-0B7364472C3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05F9-4959-8805-0B7364472C3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6.6724210610037374E-2"/>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6.jpg"/><Relationship Id="rId2" Type="http://schemas.openxmlformats.org/officeDocument/2006/relationships/image" Target="../media/image25.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6.jpg"/><Relationship Id="rId2" Type="http://schemas.openxmlformats.org/officeDocument/2006/relationships/image" Target="../media/image25.png"/><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26.jpg"/><Relationship Id="rId2" Type="http://schemas.openxmlformats.org/officeDocument/2006/relationships/image" Target="../media/image25.png"/><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3.emf"/><Relationship Id="rId18" Type="http://schemas.openxmlformats.org/officeDocument/2006/relationships/image" Target="../media/image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11.emf"/><Relationship Id="rId17" Type="http://schemas.openxmlformats.org/officeDocument/2006/relationships/image" Target="../media/image8.emf"/><Relationship Id="rId2" Type="http://schemas.openxmlformats.org/officeDocument/2006/relationships/image" Target="../media/image16.emf"/><Relationship Id="rId16" Type="http://schemas.openxmlformats.org/officeDocument/2006/relationships/image" Target="../media/image24.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2.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6.emf"/><Relationship Id="rId4" Type="http://schemas.openxmlformats.org/officeDocument/2006/relationships/image" Target="../media/image18.emf"/><Relationship Id="rId9" Type="http://schemas.openxmlformats.org/officeDocument/2006/relationships/image" Target="../media/image13.emf"/><Relationship Id="rId14"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23.emf"/><Relationship Id="rId1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21.emf"/><Relationship Id="rId12" Type="http://schemas.openxmlformats.org/officeDocument/2006/relationships/image" Target="../media/image32.emf"/><Relationship Id="rId17" Type="http://schemas.openxmlformats.org/officeDocument/2006/relationships/image" Target="../media/image29.emf"/><Relationship Id="rId2" Type="http://schemas.openxmlformats.org/officeDocument/2006/relationships/image" Target="../media/image16.emf"/><Relationship Id="rId16" Type="http://schemas.openxmlformats.org/officeDocument/2006/relationships/image" Target="../media/image31.emf"/><Relationship Id="rId1" Type="http://schemas.openxmlformats.org/officeDocument/2006/relationships/image" Target="../media/image36.emf"/><Relationship Id="rId6" Type="http://schemas.openxmlformats.org/officeDocument/2006/relationships/image" Target="../media/image20.emf"/><Relationship Id="rId11" Type="http://schemas.openxmlformats.org/officeDocument/2006/relationships/image" Target="../media/image3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28.emf"/><Relationship Id="rId4" Type="http://schemas.openxmlformats.org/officeDocument/2006/relationships/image" Target="../media/image18.emf"/><Relationship Id="rId9" Type="http://schemas.openxmlformats.org/officeDocument/2006/relationships/image" Target="../media/image13.emf"/><Relationship Id="rId1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47.emf"/><Relationship Id="rId18" Type="http://schemas.openxmlformats.org/officeDocument/2006/relationships/image" Target="../media/image51.emf"/><Relationship Id="rId3" Type="http://schemas.openxmlformats.org/officeDocument/2006/relationships/image" Target="../media/image38.emf"/><Relationship Id="rId7" Type="http://schemas.openxmlformats.org/officeDocument/2006/relationships/image" Target="../media/image42.emf"/><Relationship Id="rId12" Type="http://schemas.openxmlformats.org/officeDocument/2006/relationships/image" Target="../media/image46.emf"/><Relationship Id="rId17" Type="http://schemas.openxmlformats.org/officeDocument/2006/relationships/image" Target="../media/image50.emf"/><Relationship Id="rId2" Type="http://schemas.openxmlformats.org/officeDocument/2006/relationships/image" Target="../media/image37.emf"/><Relationship Id="rId16" Type="http://schemas.openxmlformats.org/officeDocument/2006/relationships/image" Target="../media/image31.emf"/><Relationship Id="rId1" Type="http://schemas.openxmlformats.org/officeDocument/2006/relationships/image" Target="../media/image36.emf"/><Relationship Id="rId6" Type="http://schemas.openxmlformats.org/officeDocument/2006/relationships/image" Target="../media/image41.emf"/><Relationship Id="rId11" Type="http://schemas.openxmlformats.org/officeDocument/2006/relationships/image" Target="../media/image14.emf"/><Relationship Id="rId5" Type="http://schemas.openxmlformats.org/officeDocument/2006/relationships/image" Target="../media/image40.emf"/><Relationship Id="rId15" Type="http://schemas.openxmlformats.org/officeDocument/2006/relationships/image" Target="../media/image49.emf"/><Relationship Id="rId10" Type="http://schemas.openxmlformats.org/officeDocument/2006/relationships/image" Target="../media/image45.emf"/><Relationship Id="rId19" Type="http://schemas.openxmlformats.org/officeDocument/2006/relationships/image" Target="../media/image52.emf"/><Relationship Id="rId4" Type="http://schemas.openxmlformats.org/officeDocument/2006/relationships/image" Target="../media/image39.emf"/><Relationship Id="rId9" Type="http://schemas.openxmlformats.org/officeDocument/2006/relationships/image" Target="../media/image44.emf"/><Relationship Id="rId14" Type="http://schemas.openxmlformats.org/officeDocument/2006/relationships/image" Target="../media/image4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1647825</xdr:colOff>
          <xdr:row>5</xdr:row>
          <xdr:rowOff>66675</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2809875</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66675</xdr:rowOff>
        </xdr:from>
        <xdr:to>
          <xdr:col>3</xdr:col>
          <xdr:colOff>2619375</xdr:colOff>
          <xdr:row>5</xdr:row>
          <xdr:rowOff>295275</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447675</xdr:colOff>
          <xdr:row>5</xdr:row>
          <xdr:rowOff>295275</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0</xdr:rowOff>
        </xdr:from>
        <xdr:to>
          <xdr:col>8</xdr:col>
          <xdr:colOff>180975</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12</xdr:row>
          <xdr:rowOff>0</xdr:rowOff>
        </xdr:from>
        <xdr:to>
          <xdr:col>12</xdr:col>
          <xdr:colOff>0</xdr:colOff>
          <xdr:row>14</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14</xdr:row>
          <xdr:rowOff>219075</xdr:rowOff>
        </xdr:from>
        <xdr:to>
          <xdr:col>2</xdr:col>
          <xdr:colOff>1019175</xdr:colOff>
          <xdr:row>17</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9</xdr:row>
          <xdr:rowOff>0</xdr:rowOff>
        </xdr:from>
        <xdr:to>
          <xdr:col>2</xdr:col>
          <xdr:colOff>1019175</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485775</xdr:colOff>
          <xdr:row>21</xdr:row>
          <xdr:rowOff>66675</xdr:rowOff>
        </xdr:from>
        <xdr:to>
          <xdr:col>9</xdr:col>
          <xdr:colOff>647700</xdr:colOff>
          <xdr:row>22</xdr:row>
          <xdr:rowOff>66675</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1285875</xdr:colOff>
          <xdr:row>23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66675</xdr:rowOff>
        </xdr:from>
        <xdr:to>
          <xdr:col>3</xdr:col>
          <xdr:colOff>2619375</xdr:colOff>
          <xdr:row>22</xdr:row>
          <xdr:rowOff>295275</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22</xdr:row>
          <xdr:rowOff>66675</xdr:rowOff>
        </xdr:from>
        <xdr:to>
          <xdr:col>3</xdr:col>
          <xdr:colOff>447675</xdr:colOff>
          <xdr:row>22</xdr:row>
          <xdr:rowOff>295275</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79</xdr:row>
          <xdr:rowOff>0</xdr:rowOff>
        </xdr:from>
        <xdr:to>
          <xdr:col>2</xdr:col>
          <xdr:colOff>1019175</xdr:colOff>
          <xdr:row>82</xdr:row>
          <xdr:rowOff>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82</xdr:row>
          <xdr:rowOff>0</xdr:rowOff>
        </xdr:from>
        <xdr:to>
          <xdr:col>2</xdr:col>
          <xdr:colOff>1019175</xdr:colOff>
          <xdr:row>84</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85</xdr:row>
          <xdr:rowOff>0</xdr:rowOff>
        </xdr:from>
        <xdr:to>
          <xdr:col>2</xdr:col>
          <xdr:colOff>1019175</xdr:colOff>
          <xdr:row>87</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88</xdr:row>
          <xdr:rowOff>0</xdr:rowOff>
        </xdr:from>
        <xdr:to>
          <xdr:col>2</xdr:col>
          <xdr:colOff>1019175</xdr:colOff>
          <xdr:row>90</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91</xdr:row>
          <xdr:rowOff>66675</xdr:rowOff>
        </xdr:from>
        <xdr:to>
          <xdr:col>2</xdr:col>
          <xdr:colOff>1019175</xdr:colOff>
          <xdr:row>93</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219</xdr:row>
          <xdr:rowOff>28575</xdr:rowOff>
        </xdr:from>
        <xdr:to>
          <xdr:col>3</xdr:col>
          <xdr:colOff>4295775</xdr:colOff>
          <xdr:row>219</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25</xdr:row>
          <xdr:rowOff>0</xdr:rowOff>
        </xdr:from>
        <xdr:to>
          <xdr:col>2</xdr:col>
          <xdr:colOff>1019175</xdr:colOff>
          <xdr:row>27</xdr:row>
          <xdr:rowOff>66675</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28</xdr:row>
          <xdr:rowOff>0</xdr:rowOff>
        </xdr:from>
        <xdr:to>
          <xdr:col>2</xdr:col>
          <xdr:colOff>1019175</xdr:colOff>
          <xdr:row>30</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31</xdr:row>
          <xdr:rowOff>0</xdr:rowOff>
        </xdr:from>
        <xdr:to>
          <xdr:col>2</xdr:col>
          <xdr:colOff>1019175</xdr:colOff>
          <xdr:row>33</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34</xdr:row>
          <xdr:rowOff>0</xdr:rowOff>
        </xdr:from>
        <xdr:to>
          <xdr:col>2</xdr:col>
          <xdr:colOff>1019175</xdr:colOff>
          <xdr:row>36</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37</xdr:row>
          <xdr:rowOff>66675</xdr:rowOff>
        </xdr:from>
        <xdr:to>
          <xdr:col>2</xdr:col>
          <xdr:colOff>1019175</xdr:colOff>
          <xdr:row>39</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75</xdr:row>
          <xdr:rowOff>28575</xdr:rowOff>
        </xdr:from>
        <xdr:to>
          <xdr:col>3</xdr:col>
          <xdr:colOff>4295775</xdr:colOff>
          <xdr:row>75</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223</xdr:row>
          <xdr:rowOff>66675</xdr:rowOff>
        </xdr:from>
        <xdr:to>
          <xdr:col>7</xdr:col>
          <xdr:colOff>1838325</xdr:colOff>
          <xdr:row>224</xdr:row>
          <xdr:rowOff>66675</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224</xdr:row>
          <xdr:rowOff>0</xdr:rowOff>
        </xdr:from>
        <xdr:to>
          <xdr:col>11</xdr:col>
          <xdr:colOff>1285875</xdr:colOff>
          <xdr:row>225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224</xdr:row>
          <xdr:rowOff>66675</xdr:rowOff>
        </xdr:from>
        <xdr:to>
          <xdr:col>3</xdr:col>
          <xdr:colOff>2619375</xdr:colOff>
          <xdr:row>224</xdr:row>
          <xdr:rowOff>295275</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224</xdr:row>
          <xdr:rowOff>66675</xdr:rowOff>
        </xdr:from>
        <xdr:to>
          <xdr:col>3</xdr:col>
          <xdr:colOff>447675</xdr:colOff>
          <xdr:row>224</xdr:row>
          <xdr:rowOff>295275</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227</xdr:row>
          <xdr:rowOff>0</xdr:rowOff>
        </xdr:from>
        <xdr:to>
          <xdr:col>2</xdr:col>
          <xdr:colOff>1019175</xdr:colOff>
          <xdr:row>229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230</xdr:row>
          <xdr:rowOff>0</xdr:rowOff>
        </xdr:from>
        <xdr:to>
          <xdr:col>2</xdr:col>
          <xdr:colOff>1019175</xdr:colOff>
          <xdr:row>232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235</xdr:row>
          <xdr:rowOff>0</xdr:rowOff>
        </xdr:from>
        <xdr:to>
          <xdr:col>2</xdr:col>
          <xdr:colOff>1019175</xdr:colOff>
          <xdr:row>237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237</xdr:row>
          <xdr:rowOff>66675</xdr:rowOff>
        </xdr:from>
        <xdr:to>
          <xdr:col>2</xdr:col>
          <xdr:colOff>1019175</xdr:colOff>
          <xdr:row>240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93</xdr:row>
          <xdr:rowOff>66675</xdr:rowOff>
        </xdr:from>
        <xdr:to>
          <xdr:col>12</xdr:col>
          <xdr:colOff>676275</xdr:colOff>
          <xdr:row>94</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93</xdr:row>
          <xdr:rowOff>66675</xdr:rowOff>
        </xdr:from>
        <xdr:to>
          <xdr:col>13</xdr:col>
          <xdr:colOff>685800</xdr:colOff>
          <xdr:row>94</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93</xdr:row>
          <xdr:rowOff>66675</xdr:rowOff>
        </xdr:from>
        <xdr:to>
          <xdr:col>14</xdr:col>
          <xdr:colOff>685800</xdr:colOff>
          <xdr:row>94</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93</xdr:row>
          <xdr:rowOff>66675</xdr:rowOff>
        </xdr:from>
        <xdr:to>
          <xdr:col>15</xdr:col>
          <xdr:colOff>676275</xdr:colOff>
          <xdr:row>94</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66675</xdr:rowOff>
        </xdr:from>
        <xdr:to>
          <xdr:col>12</xdr:col>
          <xdr:colOff>676275</xdr:colOff>
          <xdr:row>98</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66675</xdr:rowOff>
        </xdr:from>
        <xdr:to>
          <xdr:col>13</xdr:col>
          <xdr:colOff>685800</xdr:colOff>
          <xdr:row>98</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66675</xdr:rowOff>
        </xdr:from>
        <xdr:to>
          <xdr:col>14</xdr:col>
          <xdr:colOff>685800</xdr:colOff>
          <xdr:row>98</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96</xdr:row>
          <xdr:rowOff>66675</xdr:rowOff>
        </xdr:from>
        <xdr:to>
          <xdr:col>15</xdr:col>
          <xdr:colOff>676275</xdr:colOff>
          <xdr:row>98</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100</xdr:row>
          <xdr:rowOff>0</xdr:rowOff>
        </xdr:from>
        <xdr:to>
          <xdr:col>12</xdr:col>
          <xdr:colOff>676275</xdr:colOff>
          <xdr:row>101</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100</xdr:row>
          <xdr:rowOff>0</xdr:rowOff>
        </xdr:from>
        <xdr:to>
          <xdr:col>13</xdr:col>
          <xdr:colOff>685800</xdr:colOff>
          <xdr:row>101</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100</xdr:row>
          <xdr:rowOff>0</xdr:rowOff>
        </xdr:from>
        <xdr:to>
          <xdr:col>14</xdr:col>
          <xdr:colOff>685800</xdr:colOff>
          <xdr:row>101</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100</xdr:row>
          <xdr:rowOff>0</xdr:rowOff>
        </xdr:from>
        <xdr:to>
          <xdr:col>15</xdr:col>
          <xdr:colOff>676275</xdr:colOff>
          <xdr:row>101</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676275</xdr:colOff>
          <xdr:row>104</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103</xdr:row>
          <xdr:rowOff>0</xdr:rowOff>
        </xdr:from>
        <xdr:to>
          <xdr:col>15</xdr:col>
          <xdr:colOff>676275</xdr:colOff>
          <xdr:row>104</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676275</xdr:colOff>
          <xdr:row>107</xdr:row>
          <xdr:rowOff>28575</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28575</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28575</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106</xdr:row>
          <xdr:rowOff>0</xdr:rowOff>
        </xdr:from>
        <xdr:to>
          <xdr:col>15</xdr:col>
          <xdr:colOff>676275</xdr:colOff>
          <xdr:row>107</xdr:row>
          <xdr:rowOff>28575</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108</xdr:row>
          <xdr:rowOff>66675</xdr:rowOff>
        </xdr:from>
        <xdr:to>
          <xdr:col>12</xdr:col>
          <xdr:colOff>676275</xdr:colOff>
          <xdr:row>110</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108</xdr:row>
          <xdr:rowOff>66675</xdr:rowOff>
        </xdr:from>
        <xdr:to>
          <xdr:col>13</xdr:col>
          <xdr:colOff>685800</xdr:colOff>
          <xdr:row>110</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108</xdr:row>
          <xdr:rowOff>66675</xdr:rowOff>
        </xdr:from>
        <xdr:to>
          <xdr:col>14</xdr:col>
          <xdr:colOff>685800</xdr:colOff>
          <xdr:row>110</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108</xdr:row>
          <xdr:rowOff>66675</xdr:rowOff>
        </xdr:from>
        <xdr:to>
          <xdr:col>15</xdr:col>
          <xdr:colOff>676275</xdr:colOff>
          <xdr:row>110</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112</xdr:row>
          <xdr:rowOff>0</xdr:rowOff>
        </xdr:from>
        <xdr:to>
          <xdr:col>12</xdr:col>
          <xdr:colOff>676275</xdr:colOff>
          <xdr:row>113</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112</xdr:row>
          <xdr:rowOff>0</xdr:rowOff>
        </xdr:from>
        <xdr:to>
          <xdr:col>13</xdr:col>
          <xdr:colOff>685800</xdr:colOff>
          <xdr:row>113</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112</xdr:row>
          <xdr:rowOff>0</xdr:rowOff>
        </xdr:from>
        <xdr:to>
          <xdr:col>14</xdr:col>
          <xdr:colOff>685800</xdr:colOff>
          <xdr:row>113</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112</xdr:row>
          <xdr:rowOff>0</xdr:rowOff>
        </xdr:from>
        <xdr:to>
          <xdr:col>15</xdr:col>
          <xdr:colOff>676275</xdr:colOff>
          <xdr:row>113</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115</xdr:row>
          <xdr:rowOff>0</xdr:rowOff>
        </xdr:from>
        <xdr:to>
          <xdr:col>12</xdr:col>
          <xdr:colOff>676275</xdr:colOff>
          <xdr:row>116</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115</xdr:row>
          <xdr:rowOff>0</xdr:rowOff>
        </xdr:from>
        <xdr:to>
          <xdr:col>13</xdr:col>
          <xdr:colOff>685800</xdr:colOff>
          <xdr:row>116</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115</xdr:row>
          <xdr:rowOff>0</xdr:rowOff>
        </xdr:from>
        <xdr:to>
          <xdr:col>14</xdr:col>
          <xdr:colOff>685800</xdr:colOff>
          <xdr:row>116</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115</xdr:row>
          <xdr:rowOff>0</xdr:rowOff>
        </xdr:from>
        <xdr:to>
          <xdr:col>15</xdr:col>
          <xdr:colOff>676275</xdr:colOff>
          <xdr:row>116</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117</xdr:row>
          <xdr:rowOff>66675</xdr:rowOff>
        </xdr:from>
        <xdr:to>
          <xdr:col>12</xdr:col>
          <xdr:colOff>676275</xdr:colOff>
          <xdr:row>118</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117</xdr:row>
          <xdr:rowOff>66675</xdr:rowOff>
        </xdr:from>
        <xdr:to>
          <xdr:col>13</xdr:col>
          <xdr:colOff>685800</xdr:colOff>
          <xdr:row>118</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117</xdr:row>
          <xdr:rowOff>66675</xdr:rowOff>
        </xdr:from>
        <xdr:to>
          <xdr:col>14</xdr:col>
          <xdr:colOff>685800</xdr:colOff>
          <xdr:row>118</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117</xdr:row>
          <xdr:rowOff>66675</xdr:rowOff>
        </xdr:from>
        <xdr:to>
          <xdr:col>15</xdr:col>
          <xdr:colOff>676275</xdr:colOff>
          <xdr:row>118</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120</xdr:row>
          <xdr:rowOff>66675</xdr:rowOff>
        </xdr:from>
        <xdr:to>
          <xdr:col>12</xdr:col>
          <xdr:colOff>676275</xdr:colOff>
          <xdr:row>122</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120</xdr:row>
          <xdr:rowOff>66675</xdr:rowOff>
        </xdr:from>
        <xdr:to>
          <xdr:col>13</xdr:col>
          <xdr:colOff>685800</xdr:colOff>
          <xdr:row>122</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120</xdr:row>
          <xdr:rowOff>66675</xdr:rowOff>
        </xdr:from>
        <xdr:to>
          <xdr:col>14</xdr:col>
          <xdr:colOff>685800</xdr:colOff>
          <xdr:row>122</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120</xdr:row>
          <xdr:rowOff>66675</xdr:rowOff>
        </xdr:from>
        <xdr:to>
          <xdr:col>15</xdr:col>
          <xdr:colOff>676275</xdr:colOff>
          <xdr:row>122</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124</xdr:row>
          <xdr:rowOff>0</xdr:rowOff>
        </xdr:from>
        <xdr:to>
          <xdr:col>12</xdr:col>
          <xdr:colOff>676275</xdr:colOff>
          <xdr:row>125</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124</xdr:row>
          <xdr:rowOff>0</xdr:rowOff>
        </xdr:from>
        <xdr:to>
          <xdr:col>13</xdr:col>
          <xdr:colOff>685800</xdr:colOff>
          <xdr:row>125</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124</xdr:row>
          <xdr:rowOff>0</xdr:rowOff>
        </xdr:from>
        <xdr:to>
          <xdr:col>14</xdr:col>
          <xdr:colOff>685800</xdr:colOff>
          <xdr:row>125</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124</xdr:row>
          <xdr:rowOff>0</xdr:rowOff>
        </xdr:from>
        <xdr:to>
          <xdr:col>15</xdr:col>
          <xdr:colOff>676275</xdr:colOff>
          <xdr:row>125</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127</xdr:row>
          <xdr:rowOff>0</xdr:rowOff>
        </xdr:from>
        <xdr:to>
          <xdr:col>12</xdr:col>
          <xdr:colOff>676275</xdr:colOff>
          <xdr:row>128</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127</xdr:row>
          <xdr:rowOff>0</xdr:rowOff>
        </xdr:from>
        <xdr:to>
          <xdr:col>13</xdr:col>
          <xdr:colOff>685800</xdr:colOff>
          <xdr:row>128</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127</xdr:row>
          <xdr:rowOff>0</xdr:rowOff>
        </xdr:from>
        <xdr:to>
          <xdr:col>14</xdr:col>
          <xdr:colOff>685800</xdr:colOff>
          <xdr:row>128</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127</xdr:row>
          <xdr:rowOff>0</xdr:rowOff>
        </xdr:from>
        <xdr:to>
          <xdr:col>15</xdr:col>
          <xdr:colOff>676275</xdr:colOff>
          <xdr:row>128</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130</xdr:row>
          <xdr:rowOff>0</xdr:rowOff>
        </xdr:from>
        <xdr:to>
          <xdr:col>12</xdr:col>
          <xdr:colOff>676275</xdr:colOff>
          <xdr:row>131</xdr:row>
          <xdr:rowOff>28575</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130</xdr:row>
          <xdr:rowOff>0</xdr:rowOff>
        </xdr:from>
        <xdr:to>
          <xdr:col>13</xdr:col>
          <xdr:colOff>685800</xdr:colOff>
          <xdr:row>131</xdr:row>
          <xdr:rowOff>28575</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130</xdr:row>
          <xdr:rowOff>0</xdr:rowOff>
        </xdr:from>
        <xdr:to>
          <xdr:col>14</xdr:col>
          <xdr:colOff>685800</xdr:colOff>
          <xdr:row>131</xdr:row>
          <xdr:rowOff>28575</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130</xdr:row>
          <xdr:rowOff>0</xdr:rowOff>
        </xdr:from>
        <xdr:to>
          <xdr:col>15</xdr:col>
          <xdr:colOff>676275</xdr:colOff>
          <xdr:row>131</xdr:row>
          <xdr:rowOff>28575</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714375</xdr:colOff>
          <xdr:row>134</xdr:row>
          <xdr:rowOff>28575</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714375</xdr:colOff>
          <xdr:row>134</xdr:row>
          <xdr:rowOff>28575</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714375</xdr:colOff>
          <xdr:row>134</xdr:row>
          <xdr:rowOff>28575</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16</xdr:col>
          <xdr:colOff>0</xdr:colOff>
          <xdr:row>134</xdr:row>
          <xdr:rowOff>28575</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714375</xdr:colOff>
          <xdr:row>137</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714375</xdr:colOff>
          <xdr:row>137</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714375</xdr:colOff>
          <xdr:row>137</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16</xdr:col>
          <xdr:colOff>0</xdr:colOff>
          <xdr:row>137</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66675</xdr:rowOff>
        </xdr:from>
        <xdr:to>
          <xdr:col>12</xdr:col>
          <xdr:colOff>714375</xdr:colOff>
          <xdr:row>140</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66675</xdr:rowOff>
        </xdr:from>
        <xdr:to>
          <xdr:col>13</xdr:col>
          <xdr:colOff>714375</xdr:colOff>
          <xdr:row>140</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66675</xdr:rowOff>
        </xdr:from>
        <xdr:to>
          <xdr:col>14</xdr:col>
          <xdr:colOff>714375</xdr:colOff>
          <xdr:row>140</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66675</xdr:rowOff>
        </xdr:from>
        <xdr:to>
          <xdr:col>16</xdr:col>
          <xdr:colOff>0</xdr:colOff>
          <xdr:row>140</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66675</xdr:rowOff>
        </xdr:from>
        <xdr:to>
          <xdr:col>12</xdr:col>
          <xdr:colOff>714375</xdr:colOff>
          <xdr:row>143</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66675</xdr:rowOff>
        </xdr:from>
        <xdr:to>
          <xdr:col>13</xdr:col>
          <xdr:colOff>714375</xdr:colOff>
          <xdr:row>143</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66675</xdr:rowOff>
        </xdr:from>
        <xdr:to>
          <xdr:col>14</xdr:col>
          <xdr:colOff>714375</xdr:colOff>
          <xdr:row>143</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66675</xdr:rowOff>
        </xdr:from>
        <xdr:to>
          <xdr:col>16</xdr:col>
          <xdr:colOff>0</xdr:colOff>
          <xdr:row>143</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714375</xdr:colOff>
          <xdr:row>146</xdr:row>
          <xdr:rowOff>28575</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714375</xdr:colOff>
          <xdr:row>146</xdr:row>
          <xdr:rowOff>28575</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714375</xdr:colOff>
          <xdr:row>146</xdr:row>
          <xdr:rowOff>28575</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16</xdr:col>
          <xdr:colOff>0</xdr:colOff>
          <xdr:row>146</xdr:row>
          <xdr:rowOff>28575</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39</xdr:row>
          <xdr:rowOff>66675</xdr:rowOff>
        </xdr:from>
        <xdr:to>
          <xdr:col>12</xdr:col>
          <xdr:colOff>676275</xdr:colOff>
          <xdr:row>40</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66675</xdr:rowOff>
        </xdr:from>
        <xdr:to>
          <xdr:col>13</xdr:col>
          <xdr:colOff>714375</xdr:colOff>
          <xdr:row>40</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66675</xdr:rowOff>
        </xdr:from>
        <xdr:to>
          <xdr:col>14</xdr:col>
          <xdr:colOff>714375</xdr:colOff>
          <xdr:row>40</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39</xdr:row>
          <xdr:rowOff>66675</xdr:rowOff>
        </xdr:from>
        <xdr:to>
          <xdr:col>15</xdr:col>
          <xdr:colOff>676275</xdr:colOff>
          <xdr:row>40</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714375</xdr:colOff>
          <xdr:row>44</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714375</xdr:colOff>
          <xdr:row>44</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714375</xdr:colOff>
          <xdr:row>44</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45</xdr:row>
          <xdr:rowOff>66675</xdr:rowOff>
        </xdr:from>
        <xdr:to>
          <xdr:col>12</xdr:col>
          <xdr:colOff>714375</xdr:colOff>
          <xdr:row>47</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45</xdr:row>
          <xdr:rowOff>66675</xdr:rowOff>
        </xdr:from>
        <xdr:to>
          <xdr:col>13</xdr:col>
          <xdr:colOff>714375</xdr:colOff>
          <xdr:row>47</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45</xdr:row>
          <xdr:rowOff>66675</xdr:rowOff>
        </xdr:from>
        <xdr:to>
          <xdr:col>14</xdr:col>
          <xdr:colOff>714375</xdr:colOff>
          <xdr:row>47</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45</xdr:row>
          <xdr:rowOff>66675</xdr:rowOff>
        </xdr:from>
        <xdr:to>
          <xdr:col>16</xdr:col>
          <xdr:colOff>0</xdr:colOff>
          <xdr:row>47</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48</xdr:row>
          <xdr:rowOff>66675</xdr:rowOff>
        </xdr:from>
        <xdr:to>
          <xdr:col>12</xdr:col>
          <xdr:colOff>714375</xdr:colOff>
          <xdr:row>50</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48</xdr:row>
          <xdr:rowOff>66675</xdr:rowOff>
        </xdr:from>
        <xdr:to>
          <xdr:col>13</xdr:col>
          <xdr:colOff>714375</xdr:colOff>
          <xdr:row>50</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48</xdr:row>
          <xdr:rowOff>66675</xdr:rowOff>
        </xdr:from>
        <xdr:to>
          <xdr:col>14</xdr:col>
          <xdr:colOff>714375</xdr:colOff>
          <xdr:row>50</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48</xdr:row>
          <xdr:rowOff>66675</xdr:rowOff>
        </xdr:from>
        <xdr:to>
          <xdr:col>16</xdr:col>
          <xdr:colOff>0</xdr:colOff>
          <xdr:row>50</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52</xdr:row>
          <xdr:rowOff>0</xdr:rowOff>
        </xdr:from>
        <xdr:to>
          <xdr:col>12</xdr:col>
          <xdr:colOff>714375</xdr:colOff>
          <xdr:row>53</xdr:row>
          <xdr:rowOff>28575</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52</xdr:row>
          <xdr:rowOff>0</xdr:rowOff>
        </xdr:from>
        <xdr:to>
          <xdr:col>13</xdr:col>
          <xdr:colOff>714375</xdr:colOff>
          <xdr:row>53</xdr:row>
          <xdr:rowOff>28575</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0</xdr:rowOff>
        </xdr:from>
        <xdr:to>
          <xdr:col>14</xdr:col>
          <xdr:colOff>714375</xdr:colOff>
          <xdr:row>53</xdr:row>
          <xdr:rowOff>28575</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52</xdr:row>
          <xdr:rowOff>0</xdr:rowOff>
        </xdr:from>
        <xdr:to>
          <xdr:col>16</xdr:col>
          <xdr:colOff>0</xdr:colOff>
          <xdr:row>53</xdr:row>
          <xdr:rowOff>28575</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55</xdr:row>
          <xdr:rowOff>0</xdr:rowOff>
        </xdr:from>
        <xdr:to>
          <xdr:col>12</xdr:col>
          <xdr:colOff>714375</xdr:colOff>
          <xdr:row>56</xdr:row>
          <xdr:rowOff>28575</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55</xdr:row>
          <xdr:rowOff>0</xdr:rowOff>
        </xdr:from>
        <xdr:to>
          <xdr:col>13</xdr:col>
          <xdr:colOff>714375</xdr:colOff>
          <xdr:row>56</xdr:row>
          <xdr:rowOff>28575</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55</xdr:row>
          <xdr:rowOff>0</xdr:rowOff>
        </xdr:from>
        <xdr:to>
          <xdr:col>14</xdr:col>
          <xdr:colOff>714375</xdr:colOff>
          <xdr:row>56</xdr:row>
          <xdr:rowOff>28575</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55</xdr:row>
          <xdr:rowOff>0</xdr:rowOff>
        </xdr:from>
        <xdr:to>
          <xdr:col>16</xdr:col>
          <xdr:colOff>0</xdr:colOff>
          <xdr:row>56</xdr:row>
          <xdr:rowOff>28575</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58</xdr:row>
          <xdr:rowOff>0</xdr:rowOff>
        </xdr:from>
        <xdr:to>
          <xdr:col>12</xdr:col>
          <xdr:colOff>714375</xdr:colOff>
          <xdr:row>59</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58</xdr:row>
          <xdr:rowOff>0</xdr:rowOff>
        </xdr:from>
        <xdr:to>
          <xdr:col>13</xdr:col>
          <xdr:colOff>714375</xdr:colOff>
          <xdr:row>59</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0</xdr:rowOff>
        </xdr:from>
        <xdr:to>
          <xdr:col>14</xdr:col>
          <xdr:colOff>714375</xdr:colOff>
          <xdr:row>59</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58</xdr:row>
          <xdr:rowOff>0</xdr:rowOff>
        </xdr:from>
        <xdr:to>
          <xdr:col>16</xdr:col>
          <xdr:colOff>0</xdr:colOff>
          <xdr:row>59</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xdr:row>
          <xdr:rowOff>66675</xdr:rowOff>
        </xdr:from>
        <xdr:to>
          <xdr:col>12</xdr:col>
          <xdr:colOff>714375</xdr:colOff>
          <xdr:row>149</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147</xdr:row>
          <xdr:rowOff>66675</xdr:rowOff>
        </xdr:from>
        <xdr:to>
          <xdr:col>13</xdr:col>
          <xdr:colOff>714375</xdr:colOff>
          <xdr:row>149</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147</xdr:row>
          <xdr:rowOff>66675</xdr:rowOff>
        </xdr:from>
        <xdr:to>
          <xdr:col>14</xdr:col>
          <xdr:colOff>714375</xdr:colOff>
          <xdr:row>149</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147</xdr:row>
          <xdr:rowOff>66675</xdr:rowOff>
        </xdr:from>
        <xdr:to>
          <xdr:col>16</xdr:col>
          <xdr:colOff>0</xdr:colOff>
          <xdr:row>149</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151</xdr:row>
          <xdr:rowOff>0</xdr:rowOff>
        </xdr:from>
        <xdr:to>
          <xdr:col>12</xdr:col>
          <xdr:colOff>714375</xdr:colOff>
          <xdr:row>152</xdr:row>
          <xdr:rowOff>28575</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151</xdr:row>
          <xdr:rowOff>0</xdr:rowOff>
        </xdr:from>
        <xdr:to>
          <xdr:col>13</xdr:col>
          <xdr:colOff>714375</xdr:colOff>
          <xdr:row>152</xdr:row>
          <xdr:rowOff>28575</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151</xdr:row>
          <xdr:rowOff>0</xdr:rowOff>
        </xdr:from>
        <xdr:to>
          <xdr:col>14</xdr:col>
          <xdr:colOff>714375</xdr:colOff>
          <xdr:row>152</xdr:row>
          <xdr:rowOff>28575</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151</xdr:row>
          <xdr:rowOff>0</xdr:rowOff>
        </xdr:from>
        <xdr:to>
          <xdr:col>16</xdr:col>
          <xdr:colOff>0</xdr:colOff>
          <xdr:row>152</xdr:row>
          <xdr:rowOff>28575</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154</xdr:row>
          <xdr:rowOff>0</xdr:rowOff>
        </xdr:from>
        <xdr:to>
          <xdr:col>12</xdr:col>
          <xdr:colOff>714375</xdr:colOff>
          <xdr:row>155</xdr:row>
          <xdr:rowOff>28575</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154</xdr:row>
          <xdr:rowOff>0</xdr:rowOff>
        </xdr:from>
        <xdr:to>
          <xdr:col>13</xdr:col>
          <xdr:colOff>714375</xdr:colOff>
          <xdr:row>155</xdr:row>
          <xdr:rowOff>28575</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154</xdr:row>
          <xdr:rowOff>0</xdr:rowOff>
        </xdr:from>
        <xdr:to>
          <xdr:col>14</xdr:col>
          <xdr:colOff>714375</xdr:colOff>
          <xdr:row>155</xdr:row>
          <xdr:rowOff>28575</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154</xdr:row>
          <xdr:rowOff>0</xdr:rowOff>
        </xdr:from>
        <xdr:to>
          <xdr:col>16</xdr:col>
          <xdr:colOff>0</xdr:colOff>
          <xdr:row>155</xdr:row>
          <xdr:rowOff>28575</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xdr:row>
          <xdr:rowOff>0</xdr:rowOff>
        </xdr:from>
        <xdr:to>
          <xdr:col>12</xdr:col>
          <xdr:colOff>714375</xdr:colOff>
          <xdr:row>158</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157</xdr:row>
          <xdr:rowOff>0</xdr:rowOff>
        </xdr:from>
        <xdr:to>
          <xdr:col>13</xdr:col>
          <xdr:colOff>714375</xdr:colOff>
          <xdr:row>158</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157</xdr:row>
          <xdr:rowOff>0</xdr:rowOff>
        </xdr:from>
        <xdr:to>
          <xdr:col>14</xdr:col>
          <xdr:colOff>714375</xdr:colOff>
          <xdr:row>158</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157</xdr:row>
          <xdr:rowOff>0</xdr:rowOff>
        </xdr:from>
        <xdr:to>
          <xdr:col>16</xdr:col>
          <xdr:colOff>0</xdr:colOff>
          <xdr:row>158</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159</xdr:row>
          <xdr:rowOff>66675</xdr:rowOff>
        </xdr:from>
        <xdr:to>
          <xdr:col>12</xdr:col>
          <xdr:colOff>714375</xdr:colOff>
          <xdr:row>161</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159</xdr:row>
          <xdr:rowOff>66675</xdr:rowOff>
        </xdr:from>
        <xdr:to>
          <xdr:col>13</xdr:col>
          <xdr:colOff>714375</xdr:colOff>
          <xdr:row>161</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159</xdr:row>
          <xdr:rowOff>66675</xdr:rowOff>
        </xdr:from>
        <xdr:to>
          <xdr:col>14</xdr:col>
          <xdr:colOff>714375</xdr:colOff>
          <xdr:row>161</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159</xdr:row>
          <xdr:rowOff>66675</xdr:rowOff>
        </xdr:from>
        <xdr:to>
          <xdr:col>16</xdr:col>
          <xdr:colOff>0</xdr:colOff>
          <xdr:row>161</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162</xdr:row>
          <xdr:rowOff>66675</xdr:rowOff>
        </xdr:from>
        <xdr:to>
          <xdr:col>12</xdr:col>
          <xdr:colOff>714375</xdr:colOff>
          <xdr:row>164</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162</xdr:row>
          <xdr:rowOff>66675</xdr:rowOff>
        </xdr:from>
        <xdr:to>
          <xdr:col>13</xdr:col>
          <xdr:colOff>714375</xdr:colOff>
          <xdr:row>164</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162</xdr:row>
          <xdr:rowOff>66675</xdr:rowOff>
        </xdr:from>
        <xdr:to>
          <xdr:col>14</xdr:col>
          <xdr:colOff>714375</xdr:colOff>
          <xdr:row>164</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162</xdr:row>
          <xdr:rowOff>66675</xdr:rowOff>
        </xdr:from>
        <xdr:to>
          <xdr:col>16</xdr:col>
          <xdr:colOff>0</xdr:colOff>
          <xdr:row>164</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166</xdr:row>
          <xdr:rowOff>0</xdr:rowOff>
        </xdr:from>
        <xdr:to>
          <xdr:col>12</xdr:col>
          <xdr:colOff>714375</xdr:colOff>
          <xdr:row>167</xdr:row>
          <xdr:rowOff>28575</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166</xdr:row>
          <xdr:rowOff>0</xdr:rowOff>
        </xdr:from>
        <xdr:to>
          <xdr:col>13</xdr:col>
          <xdr:colOff>714375</xdr:colOff>
          <xdr:row>167</xdr:row>
          <xdr:rowOff>28575</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166</xdr:row>
          <xdr:rowOff>0</xdr:rowOff>
        </xdr:from>
        <xdr:to>
          <xdr:col>14</xdr:col>
          <xdr:colOff>714375</xdr:colOff>
          <xdr:row>167</xdr:row>
          <xdr:rowOff>28575</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166</xdr:row>
          <xdr:rowOff>0</xdr:rowOff>
        </xdr:from>
        <xdr:to>
          <xdr:col>16</xdr:col>
          <xdr:colOff>0</xdr:colOff>
          <xdr:row>167</xdr:row>
          <xdr:rowOff>28575</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169</xdr:row>
          <xdr:rowOff>0</xdr:rowOff>
        </xdr:from>
        <xdr:to>
          <xdr:col>12</xdr:col>
          <xdr:colOff>676275</xdr:colOff>
          <xdr:row>170</xdr:row>
          <xdr:rowOff>0</xdr:rowOff>
        </xdr:to>
        <xdr:sp macro="" textlink="">
          <xdr:nvSpPr>
            <xdr:cNvPr id="13535" name="AddedMember1_26" hidden="1">
              <a:extLst>
                <a:ext uri="{63B3BB69-23CF-44E3-9099-C40C66FF867C}">
                  <a14:compatExt spid="_x0000_s13535"/>
                </a:ext>
                <a:ext uri="{FF2B5EF4-FFF2-40B4-BE49-F238E27FC236}">
                  <a16:creationId xmlns:a16="http://schemas.microsoft.com/office/drawing/2014/main" id="{00000000-0008-0000-0100-0000D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169</xdr:row>
          <xdr:rowOff>0</xdr:rowOff>
        </xdr:from>
        <xdr:to>
          <xdr:col>13</xdr:col>
          <xdr:colOff>685800</xdr:colOff>
          <xdr:row>170</xdr:row>
          <xdr:rowOff>0</xdr:rowOff>
        </xdr:to>
        <xdr:sp macro="" textlink="">
          <xdr:nvSpPr>
            <xdr:cNvPr id="13536" name="ChangeMember1_26" hidden="1">
              <a:extLst>
                <a:ext uri="{63B3BB69-23CF-44E3-9099-C40C66FF867C}">
                  <a14:compatExt spid="_x0000_s13536"/>
                </a:ext>
                <a:ext uri="{FF2B5EF4-FFF2-40B4-BE49-F238E27FC236}">
                  <a16:creationId xmlns:a16="http://schemas.microsoft.com/office/drawing/2014/main" id="{00000000-0008-0000-0100-0000E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169</xdr:row>
          <xdr:rowOff>0</xdr:rowOff>
        </xdr:from>
        <xdr:to>
          <xdr:col>14</xdr:col>
          <xdr:colOff>685800</xdr:colOff>
          <xdr:row>170</xdr:row>
          <xdr:rowOff>0</xdr:rowOff>
        </xdr:to>
        <xdr:sp macro="" textlink="">
          <xdr:nvSpPr>
            <xdr:cNvPr id="13537" name="UpMember1_26" hidden="1">
              <a:extLst>
                <a:ext uri="{63B3BB69-23CF-44E3-9099-C40C66FF867C}">
                  <a14:compatExt spid="_x0000_s13537"/>
                </a:ext>
                <a:ext uri="{FF2B5EF4-FFF2-40B4-BE49-F238E27FC236}">
                  <a16:creationId xmlns:a16="http://schemas.microsoft.com/office/drawing/2014/main" id="{00000000-0008-0000-0100-0000E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169</xdr:row>
          <xdr:rowOff>0</xdr:rowOff>
        </xdr:from>
        <xdr:to>
          <xdr:col>15</xdr:col>
          <xdr:colOff>676275</xdr:colOff>
          <xdr:row>170</xdr:row>
          <xdr:rowOff>0</xdr:rowOff>
        </xdr:to>
        <xdr:sp macro="" textlink="">
          <xdr:nvSpPr>
            <xdr:cNvPr id="13538" name="DownMember1_26" hidden="1">
              <a:extLst>
                <a:ext uri="{63B3BB69-23CF-44E3-9099-C40C66FF867C}">
                  <a14:compatExt spid="_x0000_s13538"/>
                </a:ext>
                <a:ext uri="{FF2B5EF4-FFF2-40B4-BE49-F238E27FC236}">
                  <a16:creationId xmlns:a16="http://schemas.microsoft.com/office/drawing/2014/main" id="{00000000-0008-0000-0100-0000E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171</xdr:row>
          <xdr:rowOff>66675</xdr:rowOff>
        </xdr:from>
        <xdr:to>
          <xdr:col>12</xdr:col>
          <xdr:colOff>676275</xdr:colOff>
          <xdr:row>172</xdr:row>
          <xdr:rowOff>190500</xdr:rowOff>
        </xdr:to>
        <xdr:sp macro="" textlink="">
          <xdr:nvSpPr>
            <xdr:cNvPr id="13540" name="AddedMember1_27" hidden="1">
              <a:extLst>
                <a:ext uri="{63B3BB69-23CF-44E3-9099-C40C66FF867C}">
                  <a14:compatExt spid="_x0000_s13540"/>
                </a:ext>
                <a:ext uri="{FF2B5EF4-FFF2-40B4-BE49-F238E27FC236}">
                  <a16:creationId xmlns:a16="http://schemas.microsoft.com/office/drawing/2014/main" id="{00000000-0008-0000-0100-0000E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171</xdr:row>
          <xdr:rowOff>66675</xdr:rowOff>
        </xdr:from>
        <xdr:to>
          <xdr:col>13</xdr:col>
          <xdr:colOff>685800</xdr:colOff>
          <xdr:row>172</xdr:row>
          <xdr:rowOff>190500</xdr:rowOff>
        </xdr:to>
        <xdr:sp macro="" textlink="">
          <xdr:nvSpPr>
            <xdr:cNvPr id="13541" name="ChangeMember1_27" hidden="1">
              <a:extLst>
                <a:ext uri="{63B3BB69-23CF-44E3-9099-C40C66FF867C}">
                  <a14:compatExt spid="_x0000_s13541"/>
                </a:ext>
                <a:ext uri="{FF2B5EF4-FFF2-40B4-BE49-F238E27FC236}">
                  <a16:creationId xmlns:a16="http://schemas.microsoft.com/office/drawing/2014/main" id="{00000000-0008-0000-0100-0000E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171</xdr:row>
          <xdr:rowOff>66675</xdr:rowOff>
        </xdr:from>
        <xdr:to>
          <xdr:col>14</xdr:col>
          <xdr:colOff>685800</xdr:colOff>
          <xdr:row>172</xdr:row>
          <xdr:rowOff>190500</xdr:rowOff>
        </xdr:to>
        <xdr:sp macro="" textlink="">
          <xdr:nvSpPr>
            <xdr:cNvPr id="13542" name="UpMember1_27" hidden="1">
              <a:extLst>
                <a:ext uri="{63B3BB69-23CF-44E3-9099-C40C66FF867C}">
                  <a14:compatExt spid="_x0000_s13542"/>
                </a:ext>
                <a:ext uri="{FF2B5EF4-FFF2-40B4-BE49-F238E27FC236}">
                  <a16:creationId xmlns:a16="http://schemas.microsoft.com/office/drawing/2014/main" id="{00000000-0008-0000-0100-0000E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171</xdr:row>
          <xdr:rowOff>66675</xdr:rowOff>
        </xdr:from>
        <xdr:to>
          <xdr:col>15</xdr:col>
          <xdr:colOff>676275</xdr:colOff>
          <xdr:row>172</xdr:row>
          <xdr:rowOff>190500</xdr:rowOff>
        </xdr:to>
        <xdr:sp macro="" textlink="">
          <xdr:nvSpPr>
            <xdr:cNvPr id="13543" name="DownMember1_27" hidden="1">
              <a:extLst>
                <a:ext uri="{63B3BB69-23CF-44E3-9099-C40C66FF867C}">
                  <a14:compatExt spid="_x0000_s13543"/>
                </a:ext>
                <a:ext uri="{FF2B5EF4-FFF2-40B4-BE49-F238E27FC236}">
                  <a16:creationId xmlns:a16="http://schemas.microsoft.com/office/drawing/2014/main" id="{00000000-0008-0000-0100-0000E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60</xdr:row>
          <xdr:rowOff>66675</xdr:rowOff>
        </xdr:from>
        <xdr:to>
          <xdr:col>12</xdr:col>
          <xdr:colOff>676275</xdr:colOff>
          <xdr:row>61</xdr:row>
          <xdr:rowOff>190500</xdr:rowOff>
        </xdr:to>
        <xdr:sp macro="" textlink="">
          <xdr:nvSpPr>
            <xdr:cNvPr id="13545" name="AddedMember2_8" hidden="1">
              <a:extLst>
                <a:ext uri="{63B3BB69-23CF-44E3-9099-C40C66FF867C}">
                  <a14:compatExt spid="_x0000_s13545"/>
                </a:ext>
                <a:ext uri="{FF2B5EF4-FFF2-40B4-BE49-F238E27FC236}">
                  <a16:creationId xmlns:a16="http://schemas.microsoft.com/office/drawing/2014/main" id="{00000000-0008-0000-0100-0000E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66675</xdr:rowOff>
        </xdr:from>
        <xdr:to>
          <xdr:col>13</xdr:col>
          <xdr:colOff>685800</xdr:colOff>
          <xdr:row>61</xdr:row>
          <xdr:rowOff>190500</xdr:rowOff>
        </xdr:to>
        <xdr:sp macro="" textlink="">
          <xdr:nvSpPr>
            <xdr:cNvPr id="13546" name="ChangeMember2_8" hidden="1">
              <a:extLst>
                <a:ext uri="{63B3BB69-23CF-44E3-9099-C40C66FF867C}">
                  <a14:compatExt spid="_x0000_s13546"/>
                </a:ext>
                <a:ext uri="{FF2B5EF4-FFF2-40B4-BE49-F238E27FC236}">
                  <a16:creationId xmlns:a16="http://schemas.microsoft.com/office/drawing/2014/main" id="{00000000-0008-0000-0100-0000E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60</xdr:row>
          <xdr:rowOff>66675</xdr:rowOff>
        </xdr:from>
        <xdr:to>
          <xdr:col>14</xdr:col>
          <xdr:colOff>685800</xdr:colOff>
          <xdr:row>61</xdr:row>
          <xdr:rowOff>190500</xdr:rowOff>
        </xdr:to>
        <xdr:sp macro="" textlink="">
          <xdr:nvSpPr>
            <xdr:cNvPr id="13547" name="UpMember2_8" hidden="1">
              <a:extLst>
                <a:ext uri="{63B3BB69-23CF-44E3-9099-C40C66FF867C}">
                  <a14:compatExt spid="_x0000_s13547"/>
                </a:ext>
                <a:ext uri="{FF2B5EF4-FFF2-40B4-BE49-F238E27FC236}">
                  <a16:creationId xmlns:a16="http://schemas.microsoft.com/office/drawing/2014/main" id="{00000000-0008-0000-0100-0000EB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60</xdr:row>
          <xdr:rowOff>66675</xdr:rowOff>
        </xdr:from>
        <xdr:to>
          <xdr:col>15</xdr:col>
          <xdr:colOff>676275</xdr:colOff>
          <xdr:row>61</xdr:row>
          <xdr:rowOff>190500</xdr:rowOff>
        </xdr:to>
        <xdr:sp macro="" textlink="">
          <xdr:nvSpPr>
            <xdr:cNvPr id="13548" name="DownMember2_8" hidden="1">
              <a:extLst>
                <a:ext uri="{63B3BB69-23CF-44E3-9099-C40C66FF867C}">
                  <a14:compatExt spid="_x0000_s13548"/>
                </a:ext>
                <a:ext uri="{FF2B5EF4-FFF2-40B4-BE49-F238E27FC236}">
                  <a16:creationId xmlns:a16="http://schemas.microsoft.com/office/drawing/2014/main" id="{00000000-0008-0000-0100-0000E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66675</xdr:rowOff>
        </xdr:from>
        <xdr:to>
          <xdr:col>12</xdr:col>
          <xdr:colOff>676275</xdr:colOff>
          <xdr:row>65</xdr:row>
          <xdr:rowOff>0</xdr:rowOff>
        </xdr:to>
        <xdr:sp macro="" textlink="">
          <xdr:nvSpPr>
            <xdr:cNvPr id="13550" name="AddedMember2_9" hidden="1">
              <a:extLst>
                <a:ext uri="{63B3BB69-23CF-44E3-9099-C40C66FF867C}">
                  <a14:compatExt spid="_x0000_s13550"/>
                </a:ext>
                <a:ext uri="{FF2B5EF4-FFF2-40B4-BE49-F238E27FC236}">
                  <a16:creationId xmlns:a16="http://schemas.microsoft.com/office/drawing/2014/main" id="{00000000-0008-0000-0100-0000E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66675</xdr:rowOff>
        </xdr:from>
        <xdr:to>
          <xdr:col>13</xdr:col>
          <xdr:colOff>685800</xdr:colOff>
          <xdr:row>65</xdr:row>
          <xdr:rowOff>0</xdr:rowOff>
        </xdr:to>
        <xdr:sp macro="" textlink="">
          <xdr:nvSpPr>
            <xdr:cNvPr id="13551" name="ChangeMember2_9" hidden="1">
              <a:extLst>
                <a:ext uri="{63B3BB69-23CF-44E3-9099-C40C66FF867C}">
                  <a14:compatExt spid="_x0000_s13551"/>
                </a:ext>
                <a:ext uri="{FF2B5EF4-FFF2-40B4-BE49-F238E27FC236}">
                  <a16:creationId xmlns:a16="http://schemas.microsoft.com/office/drawing/2014/main" id="{00000000-0008-0000-0100-0000E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66675</xdr:rowOff>
        </xdr:from>
        <xdr:to>
          <xdr:col>14</xdr:col>
          <xdr:colOff>685800</xdr:colOff>
          <xdr:row>65</xdr:row>
          <xdr:rowOff>0</xdr:rowOff>
        </xdr:to>
        <xdr:sp macro="" textlink="">
          <xdr:nvSpPr>
            <xdr:cNvPr id="13552" name="UpMember2_9" hidden="1">
              <a:extLst>
                <a:ext uri="{63B3BB69-23CF-44E3-9099-C40C66FF867C}">
                  <a14:compatExt spid="_x0000_s13552"/>
                </a:ext>
                <a:ext uri="{FF2B5EF4-FFF2-40B4-BE49-F238E27FC236}">
                  <a16:creationId xmlns:a16="http://schemas.microsoft.com/office/drawing/2014/main" id="{00000000-0008-0000-0100-0000F0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63</xdr:row>
          <xdr:rowOff>66675</xdr:rowOff>
        </xdr:from>
        <xdr:to>
          <xdr:col>15</xdr:col>
          <xdr:colOff>676275</xdr:colOff>
          <xdr:row>65</xdr:row>
          <xdr:rowOff>0</xdr:rowOff>
        </xdr:to>
        <xdr:sp macro="" textlink="">
          <xdr:nvSpPr>
            <xdr:cNvPr id="13553" name="DownMember2_9" hidden="1">
              <a:extLst>
                <a:ext uri="{63B3BB69-23CF-44E3-9099-C40C66FF867C}">
                  <a14:compatExt spid="_x0000_s13553"/>
                </a:ext>
                <a:ext uri="{FF2B5EF4-FFF2-40B4-BE49-F238E27FC236}">
                  <a16:creationId xmlns:a16="http://schemas.microsoft.com/office/drawing/2014/main" id="{00000000-0008-0000-0100-0000F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175</xdr:row>
          <xdr:rowOff>0</xdr:rowOff>
        </xdr:from>
        <xdr:to>
          <xdr:col>12</xdr:col>
          <xdr:colOff>676275</xdr:colOff>
          <xdr:row>176</xdr:row>
          <xdr:rowOff>0</xdr:rowOff>
        </xdr:to>
        <xdr:sp macro="" textlink="">
          <xdr:nvSpPr>
            <xdr:cNvPr id="13564" name="AddedMember1_28" hidden="1">
              <a:extLst>
                <a:ext uri="{63B3BB69-23CF-44E3-9099-C40C66FF867C}">
                  <a14:compatExt spid="_x0000_s13564"/>
                </a:ext>
                <a:ext uri="{FF2B5EF4-FFF2-40B4-BE49-F238E27FC236}">
                  <a16:creationId xmlns:a16="http://schemas.microsoft.com/office/drawing/2014/main" id="{00000000-0008-0000-0100-0000F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175</xdr:row>
          <xdr:rowOff>0</xdr:rowOff>
        </xdr:from>
        <xdr:to>
          <xdr:col>13</xdr:col>
          <xdr:colOff>685800</xdr:colOff>
          <xdr:row>176</xdr:row>
          <xdr:rowOff>0</xdr:rowOff>
        </xdr:to>
        <xdr:sp macro="" textlink="">
          <xdr:nvSpPr>
            <xdr:cNvPr id="13565" name="ChangeMember1_28" hidden="1">
              <a:extLst>
                <a:ext uri="{63B3BB69-23CF-44E3-9099-C40C66FF867C}">
                  <a14:compatExt spid="_x0000_s13565"/>
                </a:ext>
                <a:ext uri="{FF2B5EF4-FFF2-40B4-BE49-F238E27FC236}">
                  <a16:creationId xmlns:a16="http://schemas.microsoft.com/office/drawing/2014/main" id="{00000000-0008-0000-0100-0000FD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175</xdr:row>
          <xdr:rowOff>0</xdr:rowOff>
        </xdr:from>
        <xdr:to>
          <xdr:col>14</xdr:col>
          <xdr:colOff>685800</xdr:colOff>
          <xdr:row>176</xdr:row>
          <xdr:rowOff>0</xdr:rowOff>
        </xdr:to>
        <xdr:sp macro="" textlink="">
          <xdr:nvSpPr>
            <xdr:cNvPr id="13566" name="UpMember1_28" hidden="1">
              <a:extLst>
                <a:ext uri="{63B3BB69-23CF-44E3-9099-C40C66FF867C}">
                  <a14:compatExt spid="_x0000_s13566"/>
                </a:ext>
                <a:ext uri="{FF2B5EF4-FFF2-40B4-BE49-F238E27FC236}">
                  <a16:creationId xmlns:a16="http://schemas.microsoft.com/office/drawing/2014/main" id="{00000000-0008-0000-0100-0000FE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175</xdr:row>
          <xdr:rowOff>0</xdr:rowOff>
        </xdr:from>
        <xdr:to>
          <xdr:col>15</xdr:col>
          <xdr:colOff>676275</xdr:colOff>
          <xdr:row>176</xdr:row>
          <xdr:rowOff>0</xdr:rowOff>
        </xdr:to>
        <xdr:sp macro="" textlink="">
          <xdr:nvSpPr>
            <xdr:cNvPr id="13567" name="DownMember1_28" hidden="1">
              <a:extLst>
                <a:ext uri="{63B3BB69-23CF-44E3-9099-C40C66FF867C}">
                  <a14:compatExt spid="_x0000_s13567"/>
                </a:ext>
                <a:ext uri="{FF2B5EF4-FFF2-40B4-BE49-F238E27FC236}">
                  <a16:creationId xmlns:a16="http://schemas.microsoft.com/office/drawing/2014/main" id="{00000000-0008-0000-0100-0000FF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67</xdr:row>
          <xdr:rowOff>0</xdr:rowOff>
        </xdr:from>
        <xdr:to>
          <xdr:col>12</xdr:col>
          <xdr:colOff>676275</xdr:colOff>
          <xdr:row>68</xdr:row>
          <xdr:rowOff>28575</xdr:rowOff>
        </xdr:to>
        <xdr:sp macro="" textlink="">
          <xdr:nvSpPr>
            <xdr:cNvPr id="13569" name="AddedMember2_10" hidden="1">
              <a:extLst>
                <a:ext uri="{63B3BB69-23CF-44E3-9099-C40C66FF867C}">
                  <a14:compatExt spid="_x0000_s13569"/>
                </a:ext>
                <a:ext uri="{FF2B5EF4-FFF2-40B4-BE49-F238E27FC236}">
                  <a16:creationId xmlns:a16="http://schemas.microsoft.com/office/drawing/2014/main" id="{00000000-0008-0000-0100-00000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xdr:row>
          <xdr:rowOff>0</xdr:rowOff>
        </xdr:from>
        <xdr:to>
          <xdr:col>13</xdr:col>
          <xdr:colOff>685800</xdr:colOff>
          <xdr:row>68</xdr:row>
          <xdr:rowOff>28575</xdr:rowOff>
        </xdr:to>
        <xdr:sp macro="" textlink="">
          <xdr:nvSpPr>
            <xdr:cNvPr id="13570" name="ChangeMember2_10" hidden="1">
              <a:extLst>
                <a:ext uri="{63B3BB69-23CF-44E3-9099-C40C66FF867C}">
                  <a14:compatExt spid="_x0000_s13570"/>
                </a:ext>
                <a:ext uri="{FF2B5EF4-FFF2-40B4-BE49-F238E27FC236}">
                  <a16:creationId xmlns:a16="http://schemas.microsoft.com/office/drawing/2014/main" id="{00000000-0008-0000-0100-000002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685800</xdr:colOff>
          <xdr:row>68</xdr:row>
          <xdr:rowOff>28575</xdr:rowOff>
        </xdr:to>
        <xdr:sp macro="" textlink="">
          <xdr:nvSpPr>
            <xdr:cNvPr id="13571" name="UpMember2_10" hidden="1">
              <a:extLst>
                <a:ext uri="{63B3BB69-23CF-44E3-9099-C40C66FF867C}">
                  <a14:compatExt spid="_x0000_s13571"/>
                </a:ext>
                <a:ext uri="{FF2B5EF4-FFF2-40B4-BE49-F238E27FC236}">
                  <a16:creationId xmlns:a16="http://schemas.microsoft.com/office/drawing/2014/main" id="{00000000-0008-0000-0100-000003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67</xdr:row>
          <xdr:rowOff>0</xdr:rowOff>
        </xdr:from>
        <xdr:to>
          <xdr:col>15</xdr:col>
          <xdr:colOff>676275</xdr:colOff>
          <xdr:row>68</xdr:row>
          <xdr:rowOff>28575</xdr:rowOff>
        </xdr:to>
        <xdr:sp macro="" textlink="">
          <xdr:nvSpPr>
            <xdr:cNvPr id="13572" name="DownMember2_10" hidden="1">
              <a:extLst>
                <a:ext uri="{63B3BB69-23CF-44E3-9099-C40C66FF867C}">
                  <a14:compatExt spid="_x0000_s13572"/>
                </a:ext>
                <a:ext uri="{FF2B5EF4-FFF2-40B4-BE49-F238E27FC236}">
                  <a16:creationId xmlns:a16="http://schemas.microsoft.com/office/drawing/2014/main" id="{00000000-0008-0000-0100-000004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69</xdr:row>
          <xdr:rowOff>66675</xdr:rowOff>
        </xdr:from>
        <xdr:to>
          <xdr:col>12</xdr:col>
          <xdr:colOff>676275</xdr:colOff>
          <xdr:row>71</xdr:row>
          <xdr:rowOff>0</xdr:rowOff>
        </xdr:to>
        <xdr:sp macro="" textlink="">
          <xdr:nvSpPr>
            <xdr:cNvPr id="13574" name="AddedMember2_11" hidden="1">
              <a:extLst>
                <a:ext uri="{63B3BB69-23CF-44E3-9099-C40C66FF867C}">
                  <a14:compatExt spid="_x0000_s13574"/>
                </a:ext>
                <a:ext uri="{FF2B5EF4-FFF2-40B4-BE49-F238E27FC236}">
                  <a16:creationId xmlns:a16="http://schemas.microsoft.com/office/drawing/2014/main" id="{00000000-0008-0000-0100-000006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69</xdr:row>
          <xdr:rowOff>66675</xdr:rowOff>
        </xdr:from>
        <xdr:to>
          <xdr:col>13</xdr:col>
          <xdr:colOff>685800</xdr:colOff>
          <xdr:row>71</xdr:row>
          <xdr:rowOff>0</xdr:rowOff>
        </xdr:to>
        <xdr:sp macro="" textlink="">
          <xdr:nvSpPr>
            <xdr:cNvPr id="13575" name="ChangeMember2_11" hidden="1">
              <a:extLst>
                <a:ext uri="{63B3BB69-23CF-44E3-9099-C40C66FF867C}">
                  <a14:compatExt spid="_x0000_s13575"/>
                </a:ext>
                <a:ext uri="{FF2B5EF4-FFF2-40B4-BE49-F238E27FC236}">
                  <a16:creationId xmlns:a16="http://schemas.microsoft.com/office/drawing/2014/main" id="{00000000-0008-0000-0100-000007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66675</xdr:rowOff>
        </xdr:from>
        <xdr:to>
          <xdr:col>14</xdr:col>
          <xdr:colOff>685800</xdr:colOff>
          <xdr:row>71</xdr:row>
          <xdr:rowOff>0</xdr:rowOff>
        </xdr:to>
        <xdr:sp macro="" textlink="">
          <xdr:nvSpPr>
            <xdr:cNvPr id="13576" name="UpMember2_11" hidden="1">
              <a:extLst>
                <a:ext uri="{63B3BB69-23CF-44E3-9099-C40C66FF867C}">
                  <a14:compatExt spid="_x0000_s13576"/>
                </a:ext>
                <a:ext uri="{FF2B5EF4-FFF2-40B4-BE49-F238E27FC236}">
                  <a16:creationId xmlns:a16="http://schemas.microsoft.com/office/drawing/2014/main" id="{00000000-0008-0000-0100-000008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69</xdr:row>
          <xdr:rowOff>66675</xdr:rowOff>
        </xdr:from>
        <xdr:to>
          <xdr:col>15</xdr:col>
          <xdr:colOff>676275</xdr:colOff>
          <xdr:row>71</xdr:row>
          <xdr:rowOff>0</xdr:rowOff>
        </xdr:to>
        <xdr:sp macro="" textlink="">
          <xdr:nvSpPr>
            <xdr:cNvPr id="13577" name="DownMember2_11" hidden="1">
              <a:extLst>
                <a:ext uri="{63B3BB69-23CF-44E3-9099-C40C66FF867C}">
                  <a14:compatExt spid="_x0000_s13577"/>
                </a:ext>
                <a:ext uri="{FF2B5EF4-FFF2-40B4-BE49-F238E27FC236}">
                  <a16:creationId xmlns:a16="http://schemas.microsoft.com/office/drawing/2014/main" id="{00000000-0008-0000-0100-000009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178</xdr:row>
          <xdr:rowOff>0</xdr:rowOff>
        </xdr:from>
        <xdr:to>
          <xdr:col>12</xdr:col>
          <xdr:colOff>676275</xdr:colOff>
          <xdr:row>179</xdr:row>
          <xdr:rowOff>0</xdr:rowOff>
        </xdr:to>
        <xdr:sp macro="" textlink="">
          <xdr:nvSpPr>
            <xdr:cNvPr id="13579" name="AddedMember1_29" hidden="1">
              <a:extLst>
                <a:ext uri="{63B3BB69-23CF-44E3-9099-C40C66FF867C}">
                  <a14:compatExt spid="_x0000_s13579"/>
                </a:ext>
                <a:ext uri="{FF2B5EF4-FFF2-40B4-BE49-F238E27FC236}">
                  <a16:creationId xmlns:a16="http://schemas.microsoft.com/office/drawing/2014/main" id="{00000000-0008-0000-0100-00000B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178</xdr:row>
          <xdr:rowOff>0</xdr:rowOff>
        </xdr:from>
        <xdr:to>
          <xdr:col>13</xdr:col>
          <xdr:colOff>685800</xdr:colOff>
          <xdr:row>179</xdr:row>
          <xdr:rowOff>0</xdr:rowOff>
        </xdr:to>
        <xdr:sp macro="" textlink="">
          <xdr:nvSpPr>
            <xdr:cNvPr id="13580" name="ChangeMember1_29" hidden="1">
              <a:extLst>
                <a:ext uri="{63B3BB69-23CF-44E3-9099-C40C66FF867C}">
                  <a14:compatExt spid="_x0000_s13580"/>
                </a:ext>
                <a:ext uri="{FF2B5EF4-FFF2-40B4-BE49-F238E27FC236}">
                  <a16:creationId xmlns:a16="http://schemas.microsoft.com/office/drawing/2014/main" id="{00000000-0008-0000-0100-00000C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178</xdr:row>
          <xdr:rowOff>0</xdr:rowOff>
        </xdr:from>
        <xdr:to>
          <xdr:col>14</xdr:col>
          <xdr:colOff>685800</xdr:colOff>
          <xdr:row>179</xdr:row>
          <xdr:rowOff>0</xdr:rowOff>
        </xdr:to>
        <xdr:sp macro="" textlink="">
          <xdr:nvSpPr>
            <xdr:cNvPr id="13581" name="UpMember1_29" hidden="1">
              <a:extLst>
                <a:ext uri="{63B3BB69-23CF-44E3-9099-C40C66FF867C}">
                  <a14:compatExt spid="_x0000_s13581"/>
                </a:ext>
                <a:ext uri="{FF2B5EF4-FFF2-40B4-BE49-F238E27FC236}">
                  <a16:creationId xmlns:a16="http://schemas.microsoft.com/office/drawing/2014/main" id="{00000000-0008-0000-0100-00000D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178</xdr:row>
          <xdr:rowOff>0</xdr:rowOff>
        </xdr:from>
        <xdr:to>
          <xdr:col>15</xdr:col>
          <xdr:colOff>676275</xdr:colOff>
          <xdr:row>179</xdr:row>
          <xdr:rowOff>0</xdr:rowOff>
        </xdr:to>
        <xdr:sp macro="" textlink="">
          <xdr:nvSpPr>
            <xdr:cNvPr id="13582" name="DownMember1_29" hidden="1">
              <a:extLst>
                <a:ext uri="{63B3BB69-23CF-44E3-9099-C40C66FF867C}">
                  <a14:compatExt spid="_x0000_s13582"/>
                </a:ext>
                <a:ext uri="{FF2B5EF4-FFF2-40B4-BE49-F238E27FC236}">
                  <a16:creationId xmlns:a16="http://schemas.microsoft.com/office/drawing/2014/main" id="{00000000-0008-0000-0100-00000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73</xdr:row>
          <xdr:rowOff>0</xdr:rowOff>
        </xdr:from>
        <xdr:to>
          <xdr:col>12</xdr:col>
          <xdr:colOff>676275</xdr:colOff>
          <xdr:row>74</xdr:row>
          <xdr:rowOff>0</xdr:rowOff>
        </xdr:to>
        <xdr:sp macro="" textlink="">
          <xdr:nvSpPr>
            <xdr:cNvPr id="13584" name="AddedMember2_12" hidden="1">
              <a:extLst>
                <a:ext uri="{63B3BB69-23CF-44E3-9099-C40C66FF867C}">
                  <a14:compatExt spid="_x0000_s13584"/>
                </a:ext>
                <a:ext uri="{FF2B5EF4-FFF2-40B4-BE49-F238E27FC236}">
                  <a16:creationId xmlns:a16="http://schemas.microsoft.com/office/drawing/2014/main" id="{00000000-0008-0000-0100-00001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13</xdr:col>
          <xdr:colOff>685800</xdr:colOff>
          <xdr:row>74</xdr:row>
          <xdr:rowOff>0</xdr:rowOff>
        </xdr:to>
        <xdr:sp macro="" textlink="">
          <xdr:nvSpPr>
            <xdr:cNvPr id="13585" name="ChangeMember2_12" hidden="1">
              <a:extLst>
                <a:ext uri="{63B3BB69-23CF-44E3-9099-C40C66FF867C}">
                  <a14:compatExt spid="_x0000_s13585"/>
                </a:ext>
                <a:ext uri="{FF2B5EF4-FFF2-40B4-BE49-F238E27FC236}">
                  <a16:creationId xmlns:a16="http://schemas.microsoft.com/office/drawing/2014/main" id="{00000000-0008-0000-0100-00001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73</xdr:row>
          <xdr:rowOff>0</xdr:rowOff>
        </xdr:from>
        <xdr:to>
          <xdr:col>14</xdr:col>
          <xdr:colOff>685800</xdr:colOff>
          <xdr:row>74</xdr:row>
          <xdr:rowOff>0</xdr:rowOff>
        </xdr:to>
        <xdr:sp macro="" textlink="">
          <xdr:nvSpPr>
            <xdr:cNvPr id="13586" name="UpMember2_12" hidden="1">
              <a:extLst>
                <a:ext uri="{63B3BB69-23CF-44E3-9099-C40C66FF867C}">
                  <a14:compatExt spid="_x0000_s13586"/>
                </a:ext>
                <a:ext uri="{FF2B5EF4-FFF2-40B4-BE49-F238E27FC236}">
                  <a16:creationId xmlns:a16="http://schemas.microsoft.com/office/drawing/2014/main" id="{00000000-0008-0000-0100-000012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73</xdr:row>
          <xdr:rowOff>0</xdr:rowOff>
        </xdr:from>
        <xdr:to>
          <xdr:col>15</xdr:col>
          <xdr:colOff>676275</xdr:colOff>
          <xdr:row>74</xdr:row>
          <xdr:rowOff>0</xdr:rowOff>
        </xdr:to>
        <xdr:sp macro="" textlink="">
          <xdr:nvSpPr>
            <xdr:cNvPr id="13587" name="DownMember2_12" hidden="1">
              <a:extLst>
                <a:ext uri="{63B3BB69-23CF-44E3-9099-C40C66FF867C}">
                  <a14:compatExt spid="_x0000_s13587"/>
                </a:ext>
                <a:ext uri="{FF2B5EF4-FFF2-40B4-BE49-F238E27FC236}">
                  <a16:creationId xmlns:a16="http://schemas.microsoft.com/office/drawing/2014/main" id="{00000000-0008-0000-0100-000013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181</xdr:row>
          <xdr:rowOff>0</xdr:rowOff>
        </xdr:from>
        <xdr:to>
          <xdr:col>12</xdr:col>
          <xdr:colOff>676275</xdr:colOff>
          <xdr:row>182</xdr:row>
          <xdr:rowOff>0</xdr:rowOff>
        </xdr:to>
        <xdr:sp macro="" textlink="">
          <xdr:nvSpPr>
            <xdr:cNvPr id="13615" name="AddedMember1_30" hidden="1">
              <a:extLst>
                <a:ext uri="{63B3BB69-23CF-44E3-9099-C40C66FF867C}">
                  <a14:compatExt spid="_x0000_s13615"/>
                </a:ext>
                <a:ext uri="{FF2B5EF4-FFF2-40B4-BE49-F238E27FC236}">
                  <a16:creationId xmlns:a16="http://schemas.microsoft.com/office/drawing/2014/main" id="{00000000-0008-0000-0100-00002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181</xdr:row>
          <xdr:rowOff>0</xdr:rowOff>
        </xdr:from>
        <xdr:to>
          <xdr:col>13</xdr:col>
          <xdr:colOff>685800</xdr:colOff>
          <xdr:row>182</xdr:row>
          <xdr:rowOff>0</xdr:rowOff>
        </xdr:to>
        <xdr:sp macro="" textlink="">
          <xdr:nvSpPr>
            <xdr:cNvPr id="13616" name="ChangeMember1_30" hidden="1">
              <a:extLst>
                <a:ext uri="{63B3BB69-23CF-44E3-9099-C40C66FF867C}">
                  <a14:compatExt spid="_x0000_s13616"/>
                </a:ext>
                <a:ext uri="{FF2B5EF4-FFF2-40B4-BE49-F238E27FC236}">
                  <a16:creationId xmlns:a16="http://schemas.microsoft.com/office/drawing/2014/main" id="{00000000-0008-0000-0100-00003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685800</xdr:colOff>
          <xdr:row>182</xdr:row>
          <xdr:rowOff>0</xdr:rowOff>
        </xdr:to>
        <xdr:sp macro="" textlink="">
          <xdr:nvSpPr>
            <xdr:cNvPr id="13617" name="UpMember1_30" hidden="1">
              <a:extLst>
                <a:ext uri="{63B3BB69-23CF-44E3-9099-C40C66FF867C}">
                  <a14:compatExt spid="_x0000_s13617"/>
                </a:ext>
                <a:ext uri="{FF2B5EF4-FFF2-40B4-BE49-F238E27FC236}">
                  <a16:creationId xmlns:a16="http://schemas.microsoft.com/office/drawing/2014/main" id="{00000000-0008-0000-0100-00003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181</xdr:row>
          <xdr:rowOff>0</xdr:rowOff>
        </xdr:from>
        <xdr:to>
          <xdr:col>15</xdr:col>
          <xdr:colOff>676275</xdr:colOff>
          <xdr:row>182</xdr:row>
          <xdr:rowOff>0</xdr:rowOff>
        </xdr:to>
        <xdr:sp macro="" textlink="">
          <xdr:nvSpPr>
            <xdr:cNvPr id="13618" name="DownMember1_30" hidden="1">
              <a:extLst>
                <a:ext uri="{63B3BB69-23CF-44E3-9099-C40C66FF867C}">
                  <a14:compatExt spid="_x0000_s13618"/>
                </a:ext>
                <a:ext uri="{FF2B5EF4-FFF2-40B4-BE49-F238E27FC236}">
                  <a16:creationId xmlns:a16="http://schemas.microsoft.com/office/drawing/2014/main" id="{00000000-0008-0000-0100-000032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184</xdr:row>
          <xdr:rowOff>0</xdr:rowOff>
        </xdr:from>
        <xdr:to>
          <xdr:col>12</xdr:col>
          <xdr:colOff>676275</xdr:colOff>
          <xdr:row>185</xdr:row>
          <xdr:rowOff>28575</xdr:rowOff>
        </xdr:to>
        <xdr:sp macro="" textlink="">
          <xdr:nvSpPr>
            <xdr:cNvPr id="13620" name="AddedMember1_31" hidden="1">
              <a:extLst>
                <a:ext uri="{63B3BB69-23CF-44E3-9099-C40C66FF867C}">
                  <a14:compatExt spid="_x0000_s13620"/>
                </a:ext>
                <a:ext uri="{FF2B5EF4-FFF2-40B4-BE49-F238E27FC236}">
                  <a16:creationId xmlns:a16="http://schemas.microsoft.com/office/drawing/2014/main" id="{00000000-0008-0000-0100-000034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184</xdr:row>
          <xdr:rowOff>0</xdr:rowOff>
        </xdr:from>
        <xdr:to>
          <xdr:col>13</xdr:col>
          <xdr:colOff>685800</xdr:colOff>
          <xdr:row>185</xdr:row>
          <xdr:rowOff>28575</xdr:rowOff>
        </xdr:to>
        <xdr:sp macro="" textlink="">
          <xdr:nvSpPr>
            <xdr:cNvPr id="13621" name="ChangeMember1_31" hidden="1">
              <a:extLst>
                <a:ext uri="{63B3BB69-23CF-44E3-9099-C40C66FF867C}">
                  <a14:compatExt spid="_x0000_s13621"/>
                </a:ext>
                <a:ext uri="{FF2B5EF4-FFF2-40B4-BE49-F238E27FC236}">
                  <a16:creationId xmlns:a16="http://schemas.microsoft.com/office/drawing/2014/main" id="{00000000-0008-0000-0100-000035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685800</xdr:colOff>
          <xdr:row>185</xdr:row>
          <xdr:rowOff>28575</xdr:rowOff>
        </xdr:to>
        <xdr:sp macro="" textlink="">
          <xdr:nvSpPr>
            <xdr:cNvPr id="13622" name="UpMember1_31" hidden="1">
              <a:extLst>
                <a:ext uri="{63B3BB69-23CF-44E3-9099-C40C66FF867C}">
                  <a14:compatExt spid="_x0000_s13622"/>
                </a:ext>
                <a:ext uri="{FF2B5EF4-FFF2-40B4-BE49-F238E27FC236}">
                  <a16:creationId xmlns:a16="http://schemas.microsoft.com/office/drawing/2014/main" id="{00000000-0008-0000-0100-000036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184</xdr:row>
          <xdr:rowOff>0</xdr:rowOff>
        </xdr:from>
        <xdr:to>
          <xdr:col>15</xdr:col>
          <xdr:colOff>676275</xdr:colOff>
          <xdr:row>185</xdr:row>
          <xdr:rowOff>28575</xdr:rowOff>
        </xdr:to>
        <xdr:sp macro="" textlink="">
          <xdr:nvSpPr>
            <xdr:cNvPr id="13623" name="DownMember1_31" hidden="1">
              <a:extLst>
                <a:ext uri="{63B3BB69-23CF-44E3-9099-C40C66FF867C}">
                  <a14:compatExt spid="_x0000_s13623"/>
                </a:ext>
                <a:ext uri="{FF2B5EF4-FFF2-40B4-BE49-F238E27FC236}">
                  <a16:creationId xmlns:a16="http://schemas.microsoft.com/office/drawing/2014/main" id="{00000000-0008-0000-0100-000037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186</xdr:row>
          <xdr:rowOff>66675</xdr:rowOff>
        </xdr:from>
        <xdr:to>
          <xdr:col>12</xdr:col>
          <xdr:colOff>676275</xdr:colOff>
          <xdr:row>188</xdr:row>
          <xdr:rowOff>0</xdr:rowOff>
        </xdr:to>
        <xdr:sp macro="" textlink="">
          <xdr:nvSpPr>
            <xdr:cNvPr id="13625" name="AddedMember1_32" hidden="1">
              <a:extLst>
                <a:ext uri="{63B3BB69-23CF-44E3-9099-C40C66FF867C}">
                  <a14:compatExt spid="_x0000_s13625"/>
                </a:ext>
                <a:ext uri="{FF2B5EF4-FFF2-40B4-BE49-F238E27FC236}">
                  <a16:creationId xmlns:a16="http://schemas.microsoft.com/office/drawing/2014/main" id="{00000000-0008-0000-0100-000039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186</xdr:row>
          <xdr:rowOff>66675</xdr:rowOff>
        </xdr:from>
        <xdr:to>
          <xdr:col>13</xdr:col>
          <xdr:colOff>685800</xdr:colOff>
          <xdr:row>188</xdr:row>
          <xdr:rowOff>0</xdr:rowOff>
        </xdr:to>
        <xdr:sp macro="" textlink="">
          <xdr:nvSpPr>
            <xdr:cNvPr id="13626" name="ChangeMember1_32" hidden="1">
              <a:extLst>
                <a:ext uri="{63B3BB69-23CF-44E3-9099-C40C66FF867C}">
                  <a14:compatExt spid="_x0000_s13626"/>
                </a:ext>
                <a:ext uri="{FF2B5EF4-FFF2-40B4-BE49-F238E27FC236}">
                  <a16:creationId xmlns:a16="http://schemas.microsoft.com/office/drawing/2014/main" id="{00000000-0008-0000-0100-00003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186</xdr:row>
          <xdr:rowOff>66675</xdr:rowOff>
        </xdr:from>
        <xdr:to>
          <xdr:col>14</xdr:col>
          <xdr:colOff>685800</xdr:colOff>
          <xdr:row>188</xdr:row>
          <xdr:rowOff>0</xdr:rowOff>
        </xdr:to>
        <xdr:sp macro="" textlink="">
          <xdr:nvSpPr>
            <xdr:cNvPr id="13627" name="UpMember1_32" hidden="1">
              <a:extLst>
                <a:ext uri="{63B3BB69-23CF-44E3-9099-C40C66FF867C}">
                  <a14:compatExt spid="_x0000_s13627"/>
                </a:ext>
                <a:ext uri="{FF2B5EF4-FFF2-40B4-BE49-F238E27FC236}">
                  <a16:creationId xmlns:a16="http://schemas.microsoft.com/office/drawing/2014/main" id="{00000000-0008-0000-0100-00003B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186</xdr:row>
          <xdr:rowOff>66675</xdr:rowOff>
        </xdr:from>
        <xdr:to>
          <xdr:col>15</xdr:col>
          <xdr:colOff>676275</xdr:colOff>
          <xdr:row>188</xdr:row>
          <xdr:rowOff>0</xdr:rowOff>
        </xdr:to>
        <xdr:sp macro="" textlink="">
          <xdr:nvSpPr>
            <xdr:cNvPr id="13628" name="DownMember1_32" hidden="1">
              <a:extLst>
                <a:ext uri="{63B3BB69-23CF-44E3-9099-C40C66FF867C}">
                  <a14:compatExt spid="_x0000_s13628"/>
                </a:ext>
                <a:ext uri="{FF2B5EF4-FFF2-40B4-BE49-F238E27FC236}">
                  <a16:creationId xmlns:a16="http://schemas.microsoft.com/office/drawing/2014/main" id="{00000000-0008-0000-0100-00003C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190</xdr:row>
          <xdr:rowOff>0</xdr:rowOff>
        </xdr:from>
        <xdr:to>
          <xdr:col>12</xdr:col>
          <xdr:colOff>676275</xdr:colOff>
          <xdr:row>191</xdr:row>
          <xdr:rowOff>0</xdr:rowOff>
        </xdr:to>
        <xdr:sp macro="" textlink="">
          <xdr:nvSpPr>
            <xdr:cNvPr id="13630" name="AddedMember1_33" hidden="1">
              <a:extLst>
                <a:ext uri="{63B3BB69-23CF-44E3-9099-C40C66FF867C}">
                  <a14:compatExt spid="_x0000_s13630"/>
                </a:ext>
                <a:ext uri="{FF2B5EF4-FFF2-40B4-BE49-F238E27FC236}">
                  <a16:creationId xmlns:a16="http://schemas.microsoft.com/office/drawing/2014/main" id="{00000000-0008-0000-0100-00003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190</xdr:row>
          <xdr:rowOff>0</xdr:rowOff>
        </xdr:from>
        <xdr:to>
          <xdr:col>13</xdr:col>
          <xdr:colOff>685800</xdr:colOff>
          <xdr:row>191</xdr:row>
          <xdr:rowOff>0</xdr:rowOff>
        </xdr:to>
        <xdr:sp macro="" textlink="">
          <xdr:nvSpPr>
            <xdr:cNvPr id="13631" name="ChangeMember1_33" hidden="1">
              <a:extLst>
                <a:ext uri="{63B3BB69-23CF-44E3-9099-C40C66FF867C}">
                  <a14:compatExt spid="_x0000_s13631"/>
                </a:ext>
                <a:ext uri="{FF2B5EF4-FFF2-40B4-BE49-F238E27FC236}">
                  <a16:creationId xmlns:a16="http://schemas.microsoft.com/office/drawing/2014/main" id="{00000000-0008-0000-0100-00003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190</xdr:row>
          <xdr:rowOff>0</xdr:rowOff>
        </xdr:from>
        <xdr:to>
          <xdr:col>14</xdr:col>
          <xdr:colOff>685800</xdr:colOff>
          <xdr:row>191</xdr:row>
          <xdr:rowOff>0</xdr:rowOff>
        </xdr:to>
        <xdr:sp macro="" textlink="">
          <xdr:nvSpPr>
            <xdr:cNvPr id="13632" name="UpMember1_33" hidden="1">
              <a:extLst>
                <a:ext uri="{63B3BB69-23CF-44E3-9099-C40C66FF867C}">
                  <a14:compatExt spid="_x0000_s13632"/>
                </a:ext>
                <a:ext uri="{FF2B5EF4-FFF2-40B4-BE49-F238E27FC236}">
                  <a16:creationId xmlns:a16="http://schemas.microsoft.com/office/drawing/2014/main" id="{00000000-0008-0000-0100-00004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190</xdr:row>
          <xdr:rowOff>0</xdr:rowOff>
        </xdr:from>
        <xdr:to>
          <xdr:col>15</xdr:col>
          <xdr:colOff>676275</xdr:colOff>
          <xdr:row>191</xdr:row>
          <xdr:rowOff>0</xdr:rowOff>
        </xdr:to>
        <xdr:sp macro="" textlink="">
          <xdr:nvSpPr>
            <xdr:cNvPr id="13633" name="DownMember1_33" hidden="1">
              <a:extLst>
                <a:ext uri="{63B3BB69-23CF-44E3-9099-C40C66FF867C}">
                  <a14:compatExt spid="_x0000_s13633"/>
                </a:ext>
                <a:ext uri="{FF2B5EF4-FFF2-40B4-BE49-F238E27FC236}">
                  <a16:creationId xmlns:a16="http://schemas.microsoft.com/office/drawing/2014/main" id="{00000000-0008-0000-0100-00004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193</xdr:row>
          <xdr:rowOff>0</xdr:rowOff>
        </xdr:from>
        <xdr:to>
          <xdr:col>12</xdr:col>
          <xdr:colOff>676275</xdr:colOff>
          <xdr:row>194</xdr:row>
          <xdr:rowOff>0</xdr:rowOff>
        </xdr:to>
        <xdr:sp macro="" textlink="">
          <xdr:nvSpPr>
            <xdr:cNvPr id="13635" name="AddedMember1_34" hidden="1">
              <a:extLst>
                <a:ext uri="{63B3BB69-23CF-44E3-9099-C40C66FF867C}">
                  <a14:compatExt spid="_x0000_s13635"/>
                </a:ext>
                <a:ext uri="{FF2B5EF4-FFF2-40B4-BE49-F238E27FC236}">
                  <a16:creationId xmlns:a16="http://schemas.microsoft.com/office/drawing/2014/main" id="{00000000-0008-0000-0100-000043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193</xdr:row>
          <xdr:rowOff>0</xdr:rowOff>
        </xdr:from>
        <xdr:to>
          <xdr:col>13</xdr:col>
          <xdr:colOff>685800</xdr:colOff>
          <xdr:row>194</xdr:row>
          <xdr:rowOff>0</xdr:rowOff>
        </xdr:to>
        <xdr:sp macro="" textlink="">
          <xdr:nvSpPr>
            <xdr:cNvPr id="13636" name="ChangeMember1_34" hidden="1">
              <a:extLst>
                <a:ext uri="{63B3BB69-23CF-44E3-9099-C40C66FF867C}">
                  <a14:compatExt spid="_x0000_s13636"/>
                </a:ext>
                <a:ext uri="{FF2B5EF4-FFF2-40B4-BE49-F238E27FC236}">
                  <a16:creationId xmlns:a16="http://schemas.microsoft.com/office/drawing/2014/main" id="{00000000-0008-0000-0100-000044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193</xdr:row>
          <xdr:rowOff>0</xdr:rowOff>
        </xdr:from>
        <xdr:to>
          <xdr:col>14</xdr:col>
          <xdr:colOff>685800</xdr:colOff>
          <xdr:row>194</xdr:row>
          <xdr:rowOff>0</xdr:rowOff>
        </xdr:to>
        <xdr:sp macro="" textlink="">
          <xdr:nvSpPr>
            <xdr:cNvPr id="13637" name="UpMember1_34" hidden="1">
              <a:extLst>
                <a:ext uri="{63B3BB69-23CF-44E3-9099-C40C66FF867C}">
                  <a14:compatExt spid="_x0000_s13637"/>
                </a:ext>
                <a:ext uri="{FF2B5EF4-FFF2-40B4-BE49-F238E27FC236}">
                  <a16:creationId xmlns:a16="http://schemas.microsoft.com/office/drawing/2014/main" id="{00000000-0008-0000-0100-000045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193</xdr:row>
          <xdr:rowOff>0</xdr:rowOff>
        </xdr:from>
        <xdr:to>
          <xdr:col>15</xdr:col>
          <xdr:colOff>676275</xdr:colOff>
          <xdr:row>194</xdr:row>
          <xdr:rowOff>0</xdr:rowOff>
        </xdr:to>
        <xdr:sp macro="" textlink="">
          <xdr:nvSpPr>
            <xdr:cNvPr id="13638" name="DownMember1_34" hidden="1">
              <a:extLst>
                <a:ext uri="{63B3BB69-23CF-44E3-9099-C40C66FF867C}">
                  <a14:compatExt spid="_x0000_s13638"/>
                </a:ext>
                <a:ext uri="{FF2B5EF4-FFF2-40B4-BE49-F238E27FC236}">
                  <a16:creationId xmlns:a16="http://schemas.microsoft.com/office/drawing/2014/main" id="{00000000-0008-0000-0100-000046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195</xdr:row>
          <xdr:rowOff>66675</xdr:rowOff>
        </xdr:from>
        <xdr:to>
          <xdr:col>12</xdr:col>
          <xdr:colOff>676275</xdr:colOff>
          <xdr:row>197</xdr:row>
          <xdr:rowOff>0</xdr:rowOff>
        </xdr:to>
        <xdr:sp macro="" textlink="">
          <xdr:nvSpPr>
            <xdr:cNvPr id="13645" name="AddedMember1_35" hidden="1">
              <a:extLst>
                <a:ext uri="{63B3BB69-23CF-44E3-9099-C40C66FF867C}">
                  <a14:compatExt spid="_x0000_s13645"/>
                </a:ext>
                <a:ext uri="{FF2B5EF4-FFF2-40B4-BE49-F238E27FC236}">
                  <a16:creationId xmlns:a16="http://schemas.microsoft.com/office/drawing/2014/main" id="{00000000-0008-0000-0100-00004D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195</xdr:row>
          <xdr:rowOff>66675</xdr:rowOff>
        </xdr:from>
        <xdr:to>
          <xdr:col>13</xdr:col>
          <xdr:colOff>685800</xdr:colOff>
          <xdr:row>197</xdr:row>
          <xdr:rowOff>0</xdr:rowOff>
        </xdr:to>
        <xdr:sp macro="" textlink="">
          <xdr:nvSpPr>
            <xdr:cNvPr id="13646" name="ChangeMember1_35" hidden="1">
              <a:extLst>
                <a:ext uri="{63B3BB69-23CF-44E3-9099-C40C66FF867C}">
                  <a14:compatExt spid="_x0000_s13646"/>
                </a:ext>
                <a:ext uri="{FF2B5EF4-FFF2-40B4-BE49-F238E27FC236}">
                  <a16:creationId xmlns:a16="http://schemas.microsoft.com/office/drawing/2014/main" id="{00000000-0008-0000-0100-00004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195</xdr:row>
          <xdr:rowOff>66675</xdr:rowOff>
        </xdr:from>
        <xdr:to>
          <xdr:col>14</xdr:col>
          <xdr:colOff>685800</xdr:colOff>
          <xdr:row>197</xdr:row>
          <xdr:rowOff>0</xdr:rowOff>
        </xdr:to>
        <xdr:sp macro="" textlink="">
          <xdr:nvSpPr>
            <xdr:cNvPr id="13647" name="UpMember1_35" hidden="1">
              <a:extLst>
                <a:ext uri="{63B3BB69-23CF-44E3-9099-C40C66FF867C}">
                  <a14:compatExt spid="_x0000_s13647"/>
                </a:ext>
                <a:ext uri="{FF2B5EF4-FFF2-40B4-BE49-F238E27FC236}">
                  <a16:creationId xmlns:a16="http://schemas.microsoft.com/office/drawing/2014/main" id="{00000000-0008-0000-0100-00004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195</xdr:row>
          <xdr:rowOff>66675</xdr:rowOff>
        </xdr:from>
        <xdr:to>
          <xdr:col>15</xdr:col>
          <xdr:colOff>676275</xdr:colOff>
          <xdr:row>197</xdr:row>
          <xdr:rowOff>0</xdr:rowOff>
        </xdr:to>
        <xdr:sp macro="" textlink="">
          <xdr:nvSpPr>
            <xdr:cNvPr id="13648" name="DownMember1_35" hidden="1">
              <a:extLst>
                <a:ext uri="{63B3BB69-23CF-44E3-9099-C40C66FF867C}">
                  <a14:compatExt spid="_x0000_s13648"/>
                </a:ext>
                <a:ext uri="{FF2B5EF4-FFF2-40B4-BE49-F238E27FC236}">
                  <a16:creationId xmlns:a16="http://schemas.microsoft.com/office/drawing/2014/main" id="{00000000-0008-0000-0100-00005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198</xdr:row>
          <xdr:rowOff>66675</xdr:rowOff>
        </xdr:from>
        <xdr:to>
          <xdr:col>12</xdr:col>
          <xdr:colOff>676275</xdr:colOff>
          <xdr:row>200</xdr:row>
          <xdr:rowOff>0</xdr:rowOff>
        </xdr:to>
        <xdr:sp macro="" textlink="">
          <xdr:nvSpPr>
            <xdr:cNvPr id="13669" name="AddedMember1_36" hidden="1">
              <a:extLst>
                <a:ext uri="{63B3BB69-23CF-44E3-9099-C40C66FF867C}">
                  <a14:compatExt spid="_x0000_s13669"/>
                </a:ext>
                <a:ext uri="{FF2B5EF4-FFF2-40B4-BE49-F238E27FC236}">
                  <a16:creationId xmlns:a16="http://schemas.microsoft.com/office/drawing/2014/main" id="{00000000-0008-0000-0100-000065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198</xdr:row>
          <xdr:rowOff>66675</xdr:rowOff>
        </xdr:from>
        <xdr:to>
          <xdr:col>13</xdr:col>
          <xdr:colOff>685800</xdr:colOff>
          <xdr:row>200</xdr:row>
          <xdr:rowOff>0</xdr:rowOff>
        </xdr:to>
        <xdr:sp macro="" textlink="">
          <xdr:nvSpPr>
            <xdr:cNvPr id="13670" name="ChangeMember1_36" hidden="1">
              <a:extLst>
                <a:ext uri="{63B3BB69-23CF-44E3-9099-C40C66FF867C}">
                  <a14:compatExt spid="_x0000_s13670"/>
                </a:ext>
                <a:ext uri="{FF2B5EF4-FFF2-40B4-BE49-F238E27FC236}">
                  <a16:creationId xmlns:a16="http://schemas.microsoft.com/office/drawing/2014/main" id="{00000000-0008-0000-0100-000066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198</xdr:row>
          <xdr:rowOff>66675</xdr:rowOff>
        </xdr:from>
        <xdr:to>
          <xdr:col>14</xdr:col>
          <xdr:colOff>685800</xdr:colOff>
          <xdr:row>200</xdr:row>
          <xdr:rowOff>0</xdr:rowOff>
        </xdr:to>
        <xdr:sp macro="" textlink="">
          <xdr:nvSpPr>
            <xdr:cNvPr id="13671" name="UpMember1_36" hidden="1">
              <a:extLst>
                <a:ext uri="{63B3BB69-23CF-44E3-9099-C40C66FF867C}">
                  <a14:compatExt spid="_x0000_s13671"/>
                </a:ext>
                <a:ext uri="{FF2B5EF4-FFF2-40B4-BE49-F238E27FC236}">
                  <a16:creationId xmlns:a16="http://schemas.microsoft.com/office/drawing/2014/main" id="{00000000-0008-0000-0100-000067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198</xdr:row>
          <xdr:rowOff>66675</xdr:rowOff>
        </xdr:from>
        <xdr:to>
          <xdr:col>15</xdr:col>
          <xdr:colOff>676275</xdr:colOff>
          <xdr:row>200</xdr:row>
          <xdr:rowOff>0</xdr:rowOff>
        </xdr:to>
        <xdr:sp macro="" textlink="">
          <xdr:nvSpPr>
            <xdr:cNvPr id="13672" name="DownMember1_36" hidden="1">
              <a:extLst>
                <a:ext uri="{63B3BB69-23CF-44E3-9099-C40C66FF867C}">
                  <a14:compatExt spid="_x0000_s13672"/>
                </a:ext>
                <a:ext uri="{FF2B5EF4-FFF2-40B4-BE49-F238E27FC236}">
                  <a16:creationId xmlns:a16="http://schemas.microsoft.com/office/drawing/2014/main" id="{00000000-0008-0000-0100-000068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202</xdr:row>
          <xdr:rowOff>0</xdr:rowOff>
        </xdr:from>
        <xdr:to>
          <xdr:col>12</xdr:col>
          <xdr:colOff>676275</xdr:colOff>
          <xdr:row>203</xdr:row>
          <xdr:rowOff>0</xdr:rowOff>
        </xdr:to>
        <xdr:sp macro="" textlink="">
          <xdr:nvSpPr>
            <xdr:cNvPr id="13674" name="AddedMember1_37" hidden="1">
              <a:extLst>
                <a:ext uri="{63B3BB69-23CF-44E3-9099-C40C66FF867C}">
                  <a14:compatExt spid="_x0000_s13674"/>
                </a:ext>
                <a:ext uri="{FF2B5EF4-FFF2-40B4-BE49-F238E27FC236}">
                  <a16:creationId xmlns:a16="http://schemas.microsoft.com/office/drawing/2014/main" id="{00000000-0008-0000-0100-00006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202</xdr:row>
          <xdr:rowOff>0</xdr:rowOff>
        </xdr:from>
        <xdr:to>
          <xdr:col>13</xdr:col>
          <xdr:colOff>685800</xdr:colOff>
          <xdr:row>203</xdr:row>
          <xdr:rowOff>0</xdr:rowOff>
        </xdr:to>
        <xdr:sp macro="" textlink="">
          <xdr:nvSpPr>
            <xdr:cNvPr id="13675" name="ChangeMember1_37" hidden="1">
              <a:extLst>
                <a:ext uri="{63B3BB69-23CF-44E3-9099-C40C66FF867C}">
                  <a14:compatExt spid="_x0000_s13675"/>
                </a:ext>
                <a:ext uri="{FF2B5EF4-FFF2-40B4-BE49-F238E27FC236}">
                  <a16:creationId xmlns:a16="http://schemas.microsoft.com/office/drawing/2014/main" id="{00000000-0008-0000-0100-00006B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202</xdr:row>
          <xdr:rowOff>0</xdr:rowOff>
        </xdr:from>
        <xdr:to>
          <xdr:col>14</xdr:col>
          <xdr:colOff>685800</xdr:colOff>
          <xdr:row>203</xdr:row>
          <xdr:rowOff>0</xdr:rowOff>
        </xdr:to>
        <xdr:sp macro="" textlink="">
          <xdr:nvSpPr>
            <xdr:cNvPr id="13676" name="UpMember1_37" hidden="1">
              <a:extLst>
                <a:ext uri="{63B3BB69-23CF-44E3-9099-C40C66FF867C}">
                  <a14:compatExt spid="_x0000_s13676"/>
                </a:ext>
                <a:ext uri="{FF2B5EF4-FFF2-40B4-BE49-F238E27FC236}">
                  <a16:creationId xmlns:a16="http://schemas.microsoft.com/office/drawing/2014/main" id="{00000000-0008-0000-0100-00006C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202</xdr:row>
          <xdr:rowOff>0</xdr:rowOff>
        </xdr:from>
        <xdr:to>
          <xdr:col>15</xdr:col>
          <xdr:colOff>676275</xdr:colOff>
          <xdr:row>203</xdr:row>
          <xdr:rowOff>0</xdr:rowOff>
        </xdr:to>
        <xdr:sp macro="" textlink="">
          <xdr:nvSpPr>
            <xdr:cNvPr id="13677" name="DownMember1_37" hidden="1">
              <a:extLst>
                <a:ext uri="{63B3BB69-23CF-44E3-9099-C40C66FF867C}">
                  <a14:compatExt spid="_x0000_s13677"/>
                </a:ext>
                <a:ext uri="{FF2B5EF4-FFF2-40B4-BE49-F238E27FC236}">
                  <a16:creationId xmlns:a16="http://schemas.microsoft.com/office/drawing/2014/main" id="{00000000-0008-0000-0100-00006D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205</xdr:row>
          <xdr:rowOff>0</xdr:rowOff>
        </xdr:from>
        <xdr:to>
          <xdr:col>12</xdr:col>
          <xdr:colOff>676275</xdr:colOff>
          <xdr:row>206</xdr:row>
          <xdr:rowOff>0</xdr:rowOff>
        </xdr:to>
        <xdr:sp macro="" textlink="">
          <xdr:nvSpPr>
            <xdr:cNvPr id="13679" name="AddedMember1_38" hidden="1">
              <a:extLst>
                <a:ext uri="{63B3BB69-23CF-44E3-9099-C40C66FF867C}">
                  <a14:compatExt spid="_x0000_s13679"/>
                </a:ext>
                <a:ext uri="{FF2B5EF4-FFF2-40B4-BE49-F238E27FC236}">
                  <a16:creationId xmlns:a16="http://schemas.microsoft.com/office/drawing/2014/main" id="{00000000-0008-0000-0100-00006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205</xdr:row>
          <xdr:rowOff>0</xdr:rowOff>
        </xdr:from>
        <xdr:to>
          <xdr:col>13</xdr:col>
          <xdr:colOff>685800</xdr:colOff>
          <xdr:row>206</xdr:row>
          <xdr:rowOff>0</xdr:rowOff>
        </xdr:to>
        <xdr:sp macro="" textlink="">
          <xdr:nvSpPr>
            <xdr:cNvPr id="13680" name="ChangeMember1_38" hidden="1">
              <a:extLst>
                <a:ext uri="{63B3BB69-23CF-44E3-9099-C40C66FF867C}">
                  <a14:compatExt spid="_x0000_s13680"/>
                </a:ext>
                <a:ext uri="{FF2B5EF4-FFF2-40B4-BE49-F238E27FC236}">
                  <a16:creationId xmlns:a16="http://schemas.microsoft.com/office/drawing/2014/main" id="{00000000-0008-0000-0100-00007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205</xdr:row>
          <xdr:rowOff>0</xdr:rowOff>
        </xdr:from>
        <xdr:to>
          <xdr:col>14</xdr:col>
          <xdr:colOff>685800</xdr:colOff>
          <xdr:row>206</xdr:row>
          <xdr:rowOff>0</xdr:rowOff>
        </xdr:to>
        <xdr:sp macro="" textlink="">
          <xdr:nvSpPr>
            <xdr:cNvPr id="13681" name="UpMember1_38" hidden="1">
              <a:extLst>
                <a:ext uri="{63B3BB69-23CF-44E3-9099-C40C66FF867C}">
                  <a14:compatExt spid="_x0000_s13681"/>
                </a:ext>
                <a:ext uri="{FF2B5EF4-FFF2-40B4-BE49-F238E27FC236}">
                  <a16:creationId xmlns:a16="http://schemas.microsoft.com/office/drawing/2014/main" id="{00000000-0008-0000-0100-00007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714375</xdr:colOff>
          <xdr:row>205</xdr:row>
          <xdr:rowOff>0</xdr:rowOff>
        </xdr:from>
        <xdr:to>
          <xdr:col>15</xdr:col>
          <xdr:colOff>676275</xdr:colOff>
          <xdr:row>206</xdr:row>
          <xdr:rowOff>0</xdr:rowOff>
        </xdr:to>
        <xdr:sp macro="" textlink="">
          <xdr:nvSpPr>
            <xdr:cNvPr id="13682" name="DownMember1_38" hidden="1">
              <a:extLst>
                <a:ext uri="{63B3BB69-23CF-44E3-9099-C40C66FF867C}">
                  <a14:compatExt spid="_x0000_s13682"/>
                </a:ext>
                <a:ext uri="{FF2B5EF4-FFF2-40B4-BE49-F238E27FC236}">
                  <a16:creationId xmlns:a16="http://schemas.microsoft.com/office/drawing/2014/main" id="{00000000-0008-0000-0100-000072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207</xdr:row>
          <xdr:rowOff>66675</xdr:rowOff>
        </xdr:from>
        <xdr:to>
          <xdr:col>12</xdr:col>
          <xdr:colOff>714375</xdr:colOff>
          <xdr:row>208</xdr:row>
          <xdr:rowOff>180975</xdr:rowOff>
        </xdr:to>
        <xdr:sp macro="" textlink="">
          <xdr:nvSpPr>
            <xdr:cNvPr id="13689" name="AddedMember1_39" hidden="1">
              <a:extLst>
                <a:ext uri="{63B3BB69-23CF-44E3-9099-C40C66FF867C}">
                  <a14:compatExt spid="_x0000_s13689"/>
                </a:ext>
                <a:ext uri="{FF2B5EF4-FFF2-40B4-BE49-F238E27FC236}">
                  <a16:creationId xmlns:a16="http://schemas.microsoft.com/office/drawing/2014/main" id="{00000000-0008-0000-0100-000079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207</xdr:row>
          <xdr:rowOff>66675</xdr:rowOff>
        </xdr:from>
        <xdr:to>
          <xdr:col>13</xdr:col>
          <xdr:colOff>714375</xdr:colOff>
          <xdr:row>208</xdr:row>
          <xdr:rowOff>180975</xdr:rowOff>
        </xdr:to>
        <xdr:sp macro="" textlink="">
          <xdr:nvSpPr>
            <xdr:cNvPr id="13690" name="ChangeMember1_39" hidden="1">
              <a:extLst>
                <a:ext uri="{63B3BB69-23CF-44E3-9099-C40C66FF867C}">
                  <a14:compatExt spid="_x0000_s13690"/>
                </a:ext>
                <a:ext uri="{FF2B5EF4-FFF2-40B4-BE49-F238E27FC236}">
                  <a16:creationId xmlns:a16="http://schemas.microsoft.com/office/drawing/2014/main" id="{00000000-0008-0000-0100-00007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733425</xdr:colOff>
          <xdr:row>207</xdr:row>
          <xdr:rowOff>66675</xdr:rowOff>
        </xdr:from>
        <xdr:to>
          <xdr:col>14</xdr:col>
          <xdr:colOff>714375</xdr:colOff>
          <xdr:row>208</xdr:row>
          <xdr:rowOff>180975</xdr:rowOff>
        </xdr:to>
        <xdr:sp macro="" textlink="">
          <xdr:nvSpPr>
            <xdr:cNvPr id="13691" name="UpMember1_39" hidden="1">
              <a:extLst>
                <a:ext uri="{63B3BB69-23CF-44E3-9099-C40C66FF867C}">
                  <a14:compatExt spid="_x0000_s13691"/>
                </a:ext>
                <a:ext uri="{FF2B5EF4-FFF2-40B4-BE49-F238E27FC236}">
                  <a16:creationId xmlns:a16="http://schemas.microsoft.com/office/drawing/2014/main" id="{00000000-0008-0000-0100-00007B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207</xdr:row>
          <xdr:rowOff>66675</xdr:rowOff>
        </xdr:from>
        <xdr:to>
          <xdr:col>15</xdr:col>
          <xdr:colOff>714375</xdr:colOff>
          <xdr:row>208</xdr:row>
          <xdr:rowOff>180975</xdr:rowOff>
        </xdr:to>
        <xdr:sp macro="" textlink="">
          <xdr:nvSpPr>
            <xdr:cNvPr id="13692" name="DownMember1_39" hidden="1">
              <a:extLst>
                <a:ext uri="{63B3BB69-23CF-44E3-9099-C40C66FF867C}">
                  <a14:compatExt spid="_x0000_s13692"/>
                </a:ext>
                <a:ext uri="{FF2B5EF4-FFF2-40B4-BE49-F238E27FC236}">
                  <a16:creationId xmlns:a16="http://schemas.microsoft.com/office/drawing/2014/main" id="{00000000-0008-0000-0100-00007C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210</xdr:row>
          <xdr:rowOff>66675</xdr:rowOff>
        </xdr:from>
        <xdr:to>
          <xdr:col>12</xdr:col>
          <xdr:colOff>714375</xdr:colOff>
          <xdr:row>211</xdr:row>
          <xdr:rowOff>180975</xdr:rowOff>
        </xdr:to>
        <xdr:sp macro="" textlink="">
          <xdr:nvSpPr>
            <xdr:cNvPr id="13694" name="AddedMember1_40" hidden="1">
              <a:extLst>
                <a:ext uri="{63B3BB69-23CF-44E3-9099-C40C66FF867C}">
                  <a14:compatExt spid="_x0000_s13694"/>
                </a:ext>
                <a:ext uri="{FF2B5EF4-FFF2-40B4-BE49-F238E27FC236}">
                  <a16:creationId xmlns:a16="http://schemas.microsoft.com/office/drawing/2014/main" id="{00000000-0008-0000-0100-00007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210</xdr:row>
          <xdr:rowOff>66675</xdr:rowOff>
        </xdr:from>
        <xdr:to>
          <xdr:col>13</xdr:col>
          <xdr:colOff>714375</xdr:colOff>
          <xdr:row>211</xdr:row>
          <xdr:rowOff>180975</xdr:rowOff>
        </xdr:to>
        <xdr:sp macro="" textlink="">
          <xdr:nvSpPr>
            <xdr:cNvPr id="13695" name="ChangeMember1_40" hidden="1">
              <a:extLst>
                <a:ext uri="{63B3BB69-23CF-44E3-9099-C40C66FF867C}">
                  <a14:compatExt spid="_x0000_s13695"/>
                </a:ext>
                <a:ext uri="{FF2B5EF4-FFF2-40B4-BE49-F238E27FC236}">
                  <a16:creationId xmlns:a16="http://schemas.microsoft.com/office/drawing/2014/main" id="{00000000-0008-0000-0100-00007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733425</xdr:colOff>
          <xdr:row>210</xdr:row>
          <xdr:rowOff>66675</xdr:rowOff>
        </xdr:from>
        <xdr:to>
          <xdr:col>14</xdr:col>
          <xdr:colOff>714375</xdr:colOff>
          <xdr:row>211</xdr:row>
          <xdr:rowOff>180975</xdr:rowOff>
        </xdr:to>
        <xdr:sp macro="" textlink="">
          <xdr:nvSpPr>
            <xdr:cNvPr id="13696" name="UpMember1_40" hidden="1">
              <a:extLst>
                <a:ext uri="{63B3BB69-23CF-44E3-9099-C40C66FF867C}">
                  <a14:compatExt spid="_x0000_s13696"/>
                </a:ext>
                <a:ext uri="{FF2B5EF4-FFF2-40B4-BE49-F238E27FC236}">
                  <a16:creationId xmlns:a16="http://schemas.microsoft.com/office/drawing/2014/main" id="{00000000-0008-0000-0100-000080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210</xdr:row>
          <xdr:rowOff>66675</xdr:rowOff>
        </xdr:from>
        <xdr:to>
          <xdr:col>15</xdr:col>
          <xdr:colOff>714375</xdr:colOff>
          <xdr:row>211</xdr:row>
          <xdr:rowOff>180975</xdr:rowOff>
        </xdr:to>
        <xdr:sp macro="" textlink="">
          <xdr:nvSpPr>
            <xdr:cNvPr id="13697" name="DownMember1_40" hidden="1">
              <a:extLst>
                <a:ext uri="{63B3BB69-23CF-44E3-9099-C40C66FF867C}">
                  <a14:compatExt spid="_x0000_s13697"/>
                </a:ext>
                <a:ext uri="{FF2B5EF4-FFF2-40B4-BE49-F238E27FC236}">
                  <a16:creationId xmlns:a16="http://schemas.microsoft.com/office/drawing/2014/main" id="{00000000-0008-0000-0100-000081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214</xdr:row>
          <xdr:rowOff>0</xdr:rowOff>
        </xdr:from>
        <xdr:to>
          <xdr:col>12</xdr:col>
          <xdr:colOff>695325</xdr:colOff>
          <xdr:row>215</xdr:row>
          <xdr:rowOff>0</xdr:rowOff>
        </xdr:to>
        <xdr:sp macro="" textlink="">
          <xdr:nvSpPr>
            <xdr:cNvPr id="13751" name="AddedMember1_41" hidden="1">
              <a:extLst>
                <a:ext uri="{63B3BB69-23CF-44E3-9099-C40C66FF867C}">
                  <a14:compatExt spid="_x0000_s13751"/>
                </a:ext>
                <a:ext uri="{FF2B5EF4-FFF2-40B4-BE49-F238E27FC236}">
                  <a16:creationId xmlns:a16="http://schemas.microsoft.com/office/drawing/2014/main" id="{00000000-0008-0000-0100-0000B7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214</xdr:row>
          <xdr:rowOff>0</xdr:rowOff>
        </xdr:from>
        <xdr:to>
          <xdr:col>13</xdr:col>
          <xdr:colOff>695325</xdr:colOff>
          <xdr:row>215</xdr:row>
          <xdr:rowOff>0</xdr:rowOff>
        </xdr:to>
        <xdr:sp macro="" textlink="">
          <xdr:nvSpPr>
            <xdr:cNvPr id="13752" name="ChangeMember1_41" hidden="1">
              <a:extLst>
                <a:ext uri="{63B3BB69-23CF-44E3-9099-C40C66FF867C}">
                  <a14:compatExt spid="_x0000_s13752"/>
                </a:ext>
                <a:ext uri="{FF2B5EF4-FFF2-40B4-BE49-F238E27FC236}">
                  <a16:creationId xmlns:a16="http://schemas.microsoft.com/office/drawing/2014/main" id="{00000000-0008-0000-0100-0000B8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214</xdr:row>
          <xdr:rowOff>0</xdr:rowOff>
        </xdr:from>
        <xdr:to>
          <xdr:col>14</xdr:col>
          <xdr:colOff>695325</xdr:colOff>
          <xdr:row>215</xdr:row>
          <xdr:rowOff>0</xdr:rowOff>
        </xdr:to>
        <xdr:sp macro="" textlink="">
          <xdr:nvSpPr>
            <xdr:cNvPr id="13753" name="UpMember1_41" hidden="1">
              <a:extLst>
                <a:ext uri="{63B3BB69-23CF-44E3-9099-C40C66FF867C}">
                  <a14:compatExt spid="_x0000_s13753"/>
                </a:ext>
                <a:ext uri="{FF2B5EF4-FFF2-40B4-BE49-F238E27FC236}">
                  <a16:creationId xmlns:a16="http://schemas.microsoft.com/office/drawing/2014/main" id="{00000000-0008-0000-0100-0000B9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214</xdr:row>
          <xdr:rowOff>0</xdr:rowOff>
        </xdr:from>
        <xdr:to>
          <xdr:col>15</xdr:col>
          <xdr:colOff>695325</xdr:colOff>
          <xdr:row>215</xdr:row>
          <xdr:rowOff>0</xdr:rowOff>
        </xdr:to>
        <xdr:sp macro="" textlink="">
          <xdr:nvSpPr>
            <xdr:cNvPr id="13754" name="DownMember1_41" hidden="1">
              <a:extLst>
                <a:ext uri="{63B3BB69-23CF-44E3-9099-C40C66FF867C}">
                  <a14:compatExt spid="_x0000_s13754"/>
                </a:ext>
                <a:ext uri="{FF2B5EF4-FFF2-40B4-BE49-F238E27FC236}">
                  <a16:creationId xmlns:a16="http://schemas.microsoft.com/office/drawing/2014/main" id="{00000000-0008-0000-0100-0000B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217</xdr:row>
          <xdr:rowOff>0</xdr:rowOff>
        </xdr:from>
        <xdr:to>
          <xdr:col>12</xdr:col>
          <xdr:colOff>695325</xdr:colOff>
          <xdr:row>218</xdr:row>
          <xdr:rowOff>0</xdr:rowOff>
        </xdr:to>
        <xdr:sp macro="" textlink="">
          <xdr:nvSpPr>
            <xdr:cNvPr id="13756" name="AddedMember1_42" hidden="1">
              <a:extLst>
                <a:ext uri="{63B3BB69-23CF-44E3-9099-C40C66FF867C}">
                  <a14:compatExt spid="_x0000_s13756"/>
                </a:ext>
                <a:ext uri="{FF2B5EF4-FFF2-40B4-BE49-F238E27FC236}">
                  <a16:creationId xmlns:a16="http://schemas.microsoft.com/office/drawing/2014/main" id="{00000000-0008-0000-0100-0000BC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217</xdr:row>
          <xdr:rowOff>0</xdr:rowOff>
        </xdr:from>
        <xdr:to>
          <xdr:col>13</xdr:col>
          <xdr:colOff>695325</xdr:colOff>
          <xdr:row>218</xdr:row>
          <xdr:rowOff>0</xdr:rowOff>
        </xdr:to>
        <xdr:sp macro="" textlink="">
          <xdr:nvSpPr>
            <xdr:cNvPr id="13757" name="ChangeMember1_42" hidden="1">
              <a:extLst>
                <a:ext uri="{63B3BB69-23CF-44E3-9099-C40C66FF867C}">
                  <a14:compatExt spid="_x0000_s13757"/>
                </a:ext>
                <a:ext uri="{FF2B5EF4-FFF2-40B4-BE49-F238E27FC236}">
                  <a16:creationId xmlns:a16="http://schemas.microsoft.com/office/drawing/2014/main" id="{00000000-0008-0000-0100-0000BD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217</xdr:row>
          <xdr:rowOff>0</xdr:rowOff>
        </xdr:from>
        <xdr:to>
          <xdr:col>14</xdr:col>
          <xdr:colOff>695325</xdr:colOff>
          <xdr:row>218</xdr:row>
          <xdr:rowOff>0</xdr:rowOff>
        </xdr:to>
        <xdr:sp macro="" textlink="">
          <xdr:nvSpPr>
            <xdr:cNvPr id="13758" name="UpMember1_42" hidden="1">
              <a:extLst>
                <a:ext uri="{63B3BB69-23CF-44E3-9099-C40C66FF867C}">
                  <a14:compatExt spid="_x0000_s13758"/>
                </a:ext>
                <a:ext uri="{FF2B5EF4-FFF2-40B4-BE49-F238E27FC236}">
                  <a16:creationId xmlns:a16="http://schemas.microsoft.com/office/drawing/2014/main" id="{00000000-0008-0000-0100-0000B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217</xdr:row>
          <xdr:rowOff>0</xdr:rowOff>
        </xdr:from>
        <xdr:to>
          <xdr:col>15</xdr:col>
          <xdr:colOff>695325</xdr:colOff>
          <xdr:row>218</xdr:row>
          <xdr:rowOff>0</xdr:rowOff>
        </xdr:to>
        <xdr:sp macro="" textlink="">
          <xdr:nvSpPr>
            <xdr:cNvPr id="13759" name="DownMember1_42" hidden="1">
              <a:extLst>
                <a:ext uri="{63B3BB69-23CF-44E3-9099-C40C66FF867C}">
                  <a14:compatExt spid="_x0000_s13759"/>
                </a:ext>
                <a:ext uri="{FF2B5EF4-FFF2-40B4-BE49-F238E27FC236}">
                  <a16:creationId xmlns:a16="http://schemas.microsoft.com/office/drawing/2014/main" id="{00000000-0008-0000-0100-0000BF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4</xdr:row>
          <xdr:rowOff>76200</xdr:rowOff>
        </xdr:from>
        <xdr:to>
          <xdr:col>3</xdr:col>
          <xdr:colOff>47625</xdr:colOff>
          <xdr:row>6</xdr:row>
          <xdr:rowOff>9525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104775</xdr:rowOff>
        </xdr:from>
        <xdr:to>
          <xdr:col>6</xdr:col>
          <xdr:colOff>552450</xdr:colOff>
          <xdr:row>6</xdr:row>
          <xdr:rowOff>28575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7</xdr:row>
          <xdr:rowOff>0</xdr:rowOff>
        </xdr:from>
        <xdr:to>
          <xdr:col>3</xdr:col>
          <xdr:colOff>47625</xdr:colOff>
          <xdr:row>8</xdr:row>
          <xdr:rowOff>114300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7</xdr:row>
          <xdr:rowOff>0</xdr:rowOff>
        </xdr:from>
        <xdr:to>
          <xdr:col>6</xdr:col>
          <xdr:colOff>38100</xdr:colOff>
          <xdr:row>8</xdr:row>
          <xdr:rowOff>114300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28575</xdr:colOff>
          <xdr:row>7</xdr:row>
          <xdr:rowOff>28575</xdr:rowOff>
        </xdr:from>
        <xdr:to>
          <xdr:col>6</xdr:col>
          <xdr:colOff>838200</xdr:colOff>
          <xdr:row>8</xdr:row>
          <xdr:rowOff>47625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7</xdr:row>
          <xdr:rowOff>0</xdr:rowOff>
        </xdr:from>
        <xdr:to>
          <xdr:col>6</xdr:col>
          <xdr:colOff>1035844</xdr:colOff>
          <xdr:row>8</xdr:row>
          <xdr:rowOff>114300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1026319</xdr:colOff>
          <xdr:row>7</xdr:row>
          <xdr:rowOff>0</xdr:rowOff>
        </xdr:from>
        <xdr:to>
          <xdr:col>6</xdr:col>
          <xdr:colOff>1331119</xdr:colOff>
          <xdr:row>8</xdr:row>
          <xdr:rowOff>114300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1293019</xdr:colOff>
          <xdr:row>7</xdr:row>
          <xdr:rowOff>28575</xdr:rowOff>
        </xdr:from>
        <xdr:to>
          <xdr:col>7</xdr:col>
          <xdr:colOff>559594</xdr:colOff>
          <xdr:row>8</xdr:row>
          <xdr:rowOff>47625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104775</xdr:rowOff>
        </xdr:from>
        <xdr:to>
          <xdr:col>3</xdr:col>
          <xdr:colOff>47625</xdr:colOff>
          <xdr:row>4</xdr:row>
          <xdr:rowOff>76200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104775</xdr:rowOff>
        </xdr:from>
        <xdr:to>
          <xdr:col>3</xdr:col>
          <xdr:colOff>38100</xdr:colOff>
          <xdr:row>4</xdr:row>
          <xdr:rowOff>76200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14285</xdr:colOff>
      <xdr:row>3</xdr:row>
      <xdr:rowOff>0</xdr:rowOff>
    </xdr:from>
    <xdr:to>
      <xdr:col>90</xdr:col>
      <xdr:colOff>14285</xdr:colOff>
      <xdr:row>3</xdr:row>
      <xdr:rowOff>2400300</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8</xdr:row>
          <xdr:rowOff>76200</xdr:rowOff>
        </xdr:from>
        <xdr:to>
          <xdr:col>3</xdr:col>
          <xdr:colOff>0</xdr:colOff>
          <xdr:row>8</xdr:row>
          <xdr:rowOff>152400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8</xdr:row>
          <xdr:rowOff>76200</xdr:rowOff>
        </xdr:from>
        <xdr:to>
          <xdr:col>6</xdr:col>
          <xdr:colOff>959644</xdr:colOff>
          <xdr:row>8</xdr:row>
          <xdr:rowOff>152400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323850</xdr:colOff>
          <xdr:row>4</xdr:row>
          <xdr:rowOff>76200</xdr:rowOff>
        </xdr:from>
        <xdr:to>
          <xdr:col>7</xdr:col>
          <xdr:colOff>1188244</xdr:colOff>
          <xdr:row>6</xdr:row>
          <xdr:rowOff>57150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4</xdr:row>
          <xdr:rowOff>76200</xdr:rowOff>
        </xdr:from>
        <xdr:to>
          <xdr:col>7</xdr:col>
          <xdr:colOff>597694</xdr:colOff>
          <xdr:row>6</xdr:row>
          <xdr:rowOff>57150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5</xdr:row>
          <xdr:rowOff>76200</xdr:rowOff>
        </xdr:from>
        <xdr:to>
          <xdr:col>7</xdr:col>
          <xdr:colOff>597694</xdr:colOff>
          <xdr:row>7</xdr:row>
          <xdr:rowOff>57150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3</xdr:row>
      <xdr:rowOff>257175</xdr:rowOff>
    </xdr:from>
    <xdr:to>
      <xdr:col>8</xdr:col>
      <xdr:colOff>820069</xdr:colOff>
      <xdr:row>4</xdr:row>
      <xdr:rowOff>152400</xdr:rowOff>
    </xdr:to>
    <xdr:pic macro="[0]!Sheet2.ShowHintFilterAttributeTotal">
      <xdr:nvPicPr>
        <xdr:cNvPr id="5" name="PictureHintFilterAttributeTotal" hidden="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135" name="MultipleReportManagerInfo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136" name="ReportSubmitManagerControl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6</xdr:col>
      <xdr:colOff>92433</xdr:colOff>
      <xdr:row>2</xdr:row>
      <xdr:rowOff>15240</xdr:rowOff>
    </xdr:to>
    <xdr:pic>
      <xdr:nvPicPr>
        <xdr:cNvPr id="26" name="image1.jpg">
          <a:extLst>
            <a:ext uri="{FF2B5EF4-FFF2-40B4-BE49-F238E27FC236}">
              <a16:creationId xmlns:a16="http://schemas.microsoft.com/office/drawing/2014/main" id="{00000000-0008-0000-0200-00001A000000}"/>
            </a:ext>
          </a:extLst>
        </xdr:cNvPr>
        <xdr:cNvPicPr/>
      </xdr:nvPicPr>
      <xdr:blipFill>
        <a:blip xmlns:r="http://schemas.openxmlformats.org/officeDocument/2006/relationships" r:embed="rId3"/>
        <a:srcRect/>
        <a:stretch>
          <a:fillRect/>
        </a:stretch>
      </xdr:blipFill>
      <xdr:spPr>
        <a:xfrm>
          <a:off x="0" y="0"/>
          <a:ext cx="640416" cy="69532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39" name="ConnectionDescriptorsInfoD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0" name="MultipleReportManagerInfoH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1" name="MultipleReportManagerInfoD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2" name="ReportSubmitManagerControlH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3" name="ReportSubmitManagerControlDCtb1"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5" name="ReportSubmitControl_1DCtb1"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595313</xdr:colOff>
          <xdr:row>0</xdr:row>
          <xdr:rowOff>0</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817A3B82-81CA-4338-B267-E9B269431E22}"/>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100"/>
            <a:t>NgYAAB+LCAAAAAAAAAq9VF2P2jAQ/C9+zkmcVLUqbxwJ16iBRCZRdZxOyJCFs3BiZDvcIcR/7zpfJAdVq1bqE2R2vJ6dneREmDGKrwoDmgyfSURd3yWO/XW9+Zji3ymN4qfIIy/OhRtLw4Q90AXnUhmeby18IhofQpWCsl2Xy9HCnk95BrnmMvdTMmwbOyRnGSAwulvgA8fa3f392fmjJh2h/9alHPtmC2Tv4Djh20JVJi0mPp16bkRDNxnHfjiLghj5izDyZhcwpK5H60ocxqOgX64rF2CeRFHwZLUZ1ObChufcoMDKT4sFcABh1XrUD1HwJ2ywUTKjIJjhB6t8gJCRHeBzQxqttBS4pZb0AeCaAhMxXkOGG1wuOERJIXCh4d7KsLYEARIzmUIrouyEWZhVxhFr1lrmB1C6ld63epxQGoel2xlkK1Al6iWU2F31uUk4vaYukml5jZJvo3eu3ebE7/LrkO/e03LiPybUm1ub1zh+lt/o0drbTfcD05BOuDA2R3khhEMOTBR9/NQkqI7PoHQj7eyxP+D1+h0i96CYkWpc+fxoY1LeVIobNAGJj/tyDaC4TD0cwmjyMTpW0N8G58vX/xuc88u562j9MWmsZgKU6b8T3eXgBvVesKM19WbhQZpXa18QjjEfPUYMGTIMVDucsry98xcUHKuhbKTKCsFqOfXTHEz9HTyhOZMKpLCW20r8aI0WYzfUWvtVaIikLot+GUg8dH2upbdNI9y94uYYSyrf6jK6iFrzHBXMpIF6/loTOj0LZ/ZdWL+yfAvfMDZSNVVUXI3F9Q+pdispd9XE3vtaFGkr+PwTl2wSczYGAA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745" name="FPMExcelClientSheetOptionstb1" hidden="1">
              <a:extLst>
                <a:ext uri="{63B3BB69-23CF-44E3-9099-C40C66FF867C}">
                  <a14:compatExt spid="_x0000_s31745"/>
                </a:ext>
                <a:ext uri="{FF2B5EF4-FFF2-40B4-BE49-F238E27FC236}">
                  <a16:creationId xmlns:a16="http://schemas.microsoft.com/office/drawing/2014/main" id="{00000000-0008-0000-03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4</xdr:row>
          <xdr:rowOff>85725</xdr:rowOff>
        </xdr:from>
        <xdr:to>
          <xdr:col>3</xdr:col>
          <xdr:colOff>47625</xdr:colOff>
          <xdr:row>6</xdr:row>
          <xdr:rowOff>19050</xdr:rowOff>
        </xdr:to>
        <xdr:sp macro="" textlink="">
          <xdr:nvSpPr>
            <xdr:cNvPr id="31746" name="CommandButton1" descr="Refresh Chart" hidden="1">
              <a:extLst>
                <a:ext uri="{63B3BB69-23CF-44E3-9099-C40C66FF867C}">
                  <a14:compatExt spid="_x0000_s31746"/>
                </a:ext>
                <a:ext uri="{FF2B5EF4-FFF2-40B4-BE49-F238E27FC236}">
                  <a16:creationId xmlns:a16="http://schemas.microsoft.com/office/drawing/2014/main" id="{00000000-0008-0000-03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104775</xdr:rowOff>
        </xdr:from>
        <xdr:to>
          <xdr:col>6</xdr:col>
          <xdr:colOff>552450</xdr:colOff>
          <xdr:row>6</xdr:row>
          <xdr:rowOff>28575</xdr:rowOff>
        </xdr:to>
        <xdr:sp macro="" textlink="">
          <xdr:nvSpPr>
            <xdr:cNvPr id="31747" name="Label1" hidden="1">
              <a:extLst>
                <a:ext uri="{63B3BB69-23CF-44E3-9099-C40C66FF867C}">
                  <a14:compatExt spid="_x0000_s31747"/>
                </a:ext>
                <a:ext uri="{FF2B5EF4-FFF2-40B4-BE49-F238E27FC236}">
                  <a16:creationId xmlns:a16="http://schemas.microsoft.com/office/drawing/2014/main" id="{00000000-0008-0000-03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7</xdr:row>
          <xdr:rowOff>0</xdr:rowOff>
        </xdr:from>
        <xdr:to>
          <xdr:col>3</xdr:col>
          <xdr:colOff>47625</xdr:colOff>
          <xdr:row>8</xdr:row>
          <xdr:rowOff>123825</xdr:rowOff>
        </xdr:to>
        <xdr:sp macro="" textlink="">
          <xdr:nvSpPr>
            <xdr:cNvPr id="31748" name="CommandButton2" hidden="1">
              <a:extLst>
                <a:ext uri="{63B3BB69-23CF-44E3-9099-C40C66FF867C}">
                  <a14:compatExt spid="_x0000_s31748"/>
                </a:ext>
                <a:ext uri="{FF2B5EF4-FFF2-40B4-BE49-F238E27FC236}">
                  <a16:creationId xmlns:a16="http://schemas.microsoft.com/office/drawing/2014/main" id="{00000000-0008-0000-03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7</xdr:row>
          <xdr:rowOff>0</xdr:rowOff>
        </xdr:from>
        <xdr:to>
          <xdr:col>6</xdr:col>
          <xdr:colOff>47625</xdr:colOff>
          <xdr:row>8</xdr:row>
          <xdr:rowOff>123825</xdr:rowOff>
        </xdr:to>
        <xdr:sp macro="" textlink="">
          <xdr:nvSpPr>
            <xdr:cNvPr id="31749" name="CommandButton3" hidden="1">
              <a:extLst>
                <a:ext uri="{63B3BB69-23CF-44E3-9099-C40C66FF867C}">
                  <a14:compatExt spid="_x0000_s31749"/>
                </a:ext>
                <a:ext uri="{FF2B5EF4-FFF2-40B4-BE49-F238E27FC236}">
                  <a16:creationId xmlns:a16="http://schemas.microsoft.com/office/drawing/2014/main" id="{00000000-0008-0000-0300-00000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28575</xdr:colOff>
          <xdr:row>7</xdr:row>
          <xdr:rowOff>28575</xdr:rowOff>
        </xdr:from>
        <xdr:to>
          <xdr:col>6</xdr:col>
          <xdr:colOff>838200</xdr:colOff>
          <xdr:row>8</xdr:row>
          <xdr:rowOff>47625</xdr:rowOff>
        </xdr:to>
        <xdr:sp macro="" textlink="">
          <xdr:nvSpPr>
            <xdr:cNvPr id="31750" name="Label2" hidden="1">
              <a:extLst>
                <a:ext uri="{63B3BB69-23CF-44E3-9099-C40C66FF867C}">
                  <a14:compatExt spid="_x0000_s31750"/>
                </a:ext>
                <a:ext uri="{FF2B5EF4-FFF2-40B4-BE49-F238E27FC236}">
                  <a16:creationId xmlns:a16="http://schemas.microsoft.com/office/drawing/2014/main" id="{00000000-0008-0000-0300-00000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752475</xdr:colOff>
          <xdr:row>7</xdr:row>
          <xdr:rowOff>0</xdr:rowOff>
        </xdr:from>
        <xdr:to>
          <xdr:col>6</xdr:col>
          <xdr:colOff>1027339</xdr:colOff>
          <xdr:row>8</xdr:row>
          <xdr:rowOff>123825</xdr:rowOff>
        </xdr:to>
        <xdr:sp macro="" textlink="">
          <xdr:nvSpPr>
            <xdr:cNvPr id="31751" name="CommandButton4" hidden="1">
              <a:extLst>
                <a:ext uri="{63B3BB69-23CF-44E3-9099-C40C66FF867C}">
                  <a14:compatExt spid="_x0000_s31751"/>
                </a:ext>
                <a:ext uri="{FF2B5EF4-FFF2-40B4-BE49-F238E27FC236}">
                  <a16:creationId xmlns:a16="http://schemas.microsoft.com/office/drawing/2014/main" id="{00000000-0008-0000-0300-00000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1027339</xdr:colOff>
          <xdr:row>7</xdr:row>
          <xdr:rowOff>0</xdr:rowOff>
        </xdr:from>
        <xdr:to>
          <xdr:col>6</xdr:col>
          <xdr:colOff>1332139</xdr:colOff>
          <xdr:row>8</xdr:row>
          <xdr:rowOff>123825</xdr:rowOff>
        </xdr:to>
        <xdr:sp macro="" textlink="">
          <xdr:nvSpPr>
            <xdr:cNvPr id="31752" name="CommandButton5" hidden="1">
              <a:extLst>
                <a:ext uri="{63B3BB69-23CF-44E3-9099-C40C66FF867C}">
                  <a14:compatExt spid="_x0000_s31752"/>
                </a:ext>
                <a:ext uri="{FF2B5EF4-FFF2-40B4-BE49-F238E27FC236}">
                  <a16:creationId xmlns:a16="http://schemas.microsoft.com/office/drawing/2014/main" id="{00000000-0008-0000-0300-00000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1313089</xdr:colOff>
          <xdr:row>7</xdr:row>
          <xdr:rowOff>28575</xdr:rowOff>
        </xdr:from>
        <xdr:to>
          <xdr:col>7</xdr:col>
          <xdr:colOff>385082</xdr:colOff>
          <xdr:row>8</xdr:row>
          <xdr:rowOff>47625</xdr:rowOff>
        </xdr:to>
        <xdr:sp macro="" textlink="">
          <xdr:nvSpPr>
            <xdr:cNvPr id="31753" name="Label3" hidden="1">
              <a:extLst>
                <a:ext uri="{63B3BB69-23CF-44E3-9099-C40C66FF867C}">
                  <a14:compatExt spid="_x0000_s31753"/>
                </a:ext>
                <a:ext uri="{FF2B5EF4-FFF2-40B4-BE49-F238E27FC236}">
                  <a16:creationId xmlns:a16="http://schemas.microsoft.com/office/drawing/2014/main" id="{00000000-0008-0000-0300-00000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2</xdr:row>
          <xdr:rowOff>104775</xdr:rowOff>
        </xdr:from>
        <xdr:to>
          <xdr:col>3</xdr:col>
          <xdr:colOff>47625</xdr:colOff>
          <xdr:row>4</xdr:row>
          <xdr:rowOff>76200</xdr:rowOff>
        </xdr:to>
        <xdr:sp macro="" textlink="">
          <xdr:nvSpPr>
            <xdr:cNvPr id="31754" name="CommandButton7" hidden="1">
              <a:extLst>
                <a:ext uri="{63B3BB69-23CF-44E3-9099-C40C66FF867C}">
                  <a14:compatExt spid="_x0000_s31754"/>
                </a:ext>
                <a:ext uri="{FF2B5EF4-FFF2-40B4-BE49-F238E27FC236}">
                  <a16:creationId xmlns:a16="http://schemas.microsoft.com/office/drawing/2014/main" id="{00000000-0008-0000-0300-00000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104775</xdr:rowOff>
        </xdr:from>
        <xdr:to>
          <xdr:col>3</xdr:col>
          <xdr:colOff>47625</xdr:colOff>
          <xdr:row>4</xdr:row>
          <xdr:rowOff>76200</xdr:rowOff>
        </xdr:to>
        <xdr:sp macro="" textlink="">
          <xdr:nvSpPr>
            <xdr:cNvPr id="31755" name="CommandButton6" hidden="1">
              <a:extLst>
                <a:ext uri="{63B3BB69-23CF-44E3-9099-C40C66FF867C}">
                  <a14:compatExt spid="_x0000_s31755"/>
                </a:ext>
                <a:ext uri="{FF2B5EF4-FFF2-40B4-BE49-F238E27FC236}">
                  <a16:creationId xmlns:a16="http://schemas.microsoft.com/office/drawing/2014/main" id="{00000000-0008-0000-0300-00000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14285</xdr:colOff>
      <xdr:row>3</xdr:row>
      <xdr:rowOff>0</xdr:rowOff>
    </xdr:from>
    <xdr:to>
      <xdr:col>90</xdr:col>
      <xdr:colOff>14285</xdr:colOff>
      <xdr:row>3</xdr:row>
      <xdr:rowOff>2400300</xdr:rowOff>
    </xdr:to>
    <xdr:graphicFrame macro="">
      <xdr:nvGraphicFramePr>
        <xdr:cNvPr id="13" name="Chart 12" hidden="1">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47625</xdr:colOff>
          <xdr:row>8</xdr:row>
          <xdr:rowOff>85725</xdr:rowOff>
        </xdr:from>
        <xdr:to>
          <xdr:col>3</xdr:col>
          <xdr:colOff>85725</xdr:colOff>
          <xdr:row>9</xdr:row>
          <xdr:rowOff>0</xdr:rowOff>
        </xdr:to>
        <xdr:sp macro="" textlink="">
          <xdr:nvSpPr>
            <xdr:cNvPr id="31756" name="ListBox1" hidden="1">
              <a:extLst>
                <a:ext uri="{63B3BB69-23CF-44E3-9099-C40C66FF867C}">
                  <a14:compatExt spid="_x0000_s31756"/>
                </a:ext>
                <a:ext uri="{FF2B5EF4-FFF2-40B4-BE49-F238E27FC236}">
                  <a16:creationId xmlns:a16="http://schemas.microsoft.com/office/drawing/2014/main" id="{00000000-0008-0000-0300-00000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752475</xdr:colOff>
          <xdr:row>8</xdr:row>
          <xdr:rowOff>85725</xdr:rowOff>
        </xdr:from>
        <xdr:to>
          <xdr:col>6</xdr:col>
          <xdr:colOff>1046389</xdr:colOff>
          <xdr:row>9</xdr:row>
          <xdr:rowOff>0</xdr:rowOff>
        </xdr:to>
        <xdr:sp macro="" textlink="">
          <xdr:nvSpPr>
            <xdr:cNvPr id="31757" name="ListBox2" hidden="1">
              <a:extLst>
                <a:ext uri="{63B3BB69-23CF-44E3-9099-C40C66FF867C}">
                  <a14:compatExt spid="_x0000_s31757"/>
                </a:ext>
                <a:ext uri="{FF2B5EF4-FFF2-40B4-BE49-F238E27FC236}">
                  <a16:creationId xmlns:a16="http://schemas.microsoft.com/office/drawing/2014/main" id="{00000000-0008-0000-0300-00000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141514</xdr:colOff>
          <xdr:row>4</xdr:row>
          <xdr:rowOff>85725</xdr:rowOff>
        </xdr:from>
        <xdr:to>
          <xdr:col>7</xdr:col>
          <xdr:colOff>1004207</xdr:colOff>
          <xdr:row>6</xdr:row>
          <xdr:rowOff>66675</xdr:rowOff>
        </xdr:to>
        <xdr:sp macro="" textlink="">
          <xdr:nvSpPr>
            <xdr:cNvPr id="31758" name="CheckBox1" hidden="1">
              <a:extLst>
                <a:ext uri="{63B3BB69-23CF-44E3-9099-C40C66FF867C}">
                  <a14:compatExt spid="_x0000_s31758"/>
                </a:ext>
                <a:ext uri="{FF2B5EF4-FFF2-40B4-BE49-F238E27FC236}">
                  <a16:creationId xmlns:a16="http://schemas.microsoft.com/office/drawing/2014/main" id="{00000000-0008-0000-0300-00000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4</xdr:row>
          <xdr:rowOff>85725</xdr:rowOff>
        </xdr:from>
        <xdr:to>
          <xdr:col>7</xdr:col>
          <xdr:colOff>385082</xdr:colOff>
          <xdr:row>6</xdr:row>
          <xdr:rowOff>66675</xdr:rowOff>
        </xdr:to>
        <xdr:sp macro="" textlink="">
          <xdr:nvSpPr>
            <xdr:cNvPr id="31759" name="CheckBox2" hidden="1">
              <a:extLst>
                <a:ext uri="{63B3BB69-23CF-44E3-9099-C40C66FF867C}">
                  <a14:compatExt spid="_x0000_s31759"/>
                </a:ext>
                <a:ext uri="{FF2B5EF4-FFF2-40B4-BE49-F238E27FC236}">
                  <a16:creationId xmlns:a16="http://schemas.microsoft.com/office/drawing/2014/main" id="{00000000-0008-0000-0300-00000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5</xdr:row>
          <xdr:rowOff>85725</xdr:rowOff>
        </xdr:from>
        <xdr:to>
          <xdr:col>7</xdr:col>
          <xdr:colOff>385082</xdr:colOff>
          <xdr:row>7</xdr:row>
          <xdr:rowOff>66675</xdr:rowOff>
        </xdr:to>
        <xdr:sp macro="" textlink="">
          <xdr:nvSpPr>
            <xdr:cNvPr id="31760" name="CheckBox3" hidden="1">
              <a:extLst>
                <a:ext uri="{63B3BB69-23CF-44E3-9099-C40C66FF867C}">
                  <a14:compatExt spid="_x0000_s31760"/>
                </a:ext>
                <a:ext uri="{FF2B5EF4-FFF2-40B4-BE49-F238E27FC236}">
                  <a16:creationId xmlns:a16="http://schemas.microsoft.com/office/drawing/2014/main" id="{00000000-0008-0000-0300-00001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3</xdr:row>
      <xdr:rowOff>257175</xdr:rowOff>
    </xdr:from>
    <xdr:to>
      <xdr:col>8</xdr:col>
      <xdr:colOff>779145</xdr:colOff>
      <xdr:row>4</xdr:row>
      <xdr:rowOff>152400</xdr:rowOff>
    </xdr:to>
    <xdr:pic macro="[0]!Sheet2.ShowHintFilterAttributeTotal">
      <xdr:nvPicPr>
        <xdr:cNvPr id="19" name="PictureHintFilterAttributeTotal"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86100" y="990600"/>
          <a:ext cx="188595"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1763" name="MultipleReportManagerInfotb1" hidden="1">
              <a:extLst>
                <a:ext uri="{63B3BB69-23CF-44E3-9099-C40C66FF867C}">
                  <a14:compatExt spid="_x0000_s31763"/>
                </a:ext>
                <a:ext uri="{FF2B5EF4-FFF2-40B4-BE49-F238E27FC236}">
                  <a16:creationId xmlns:a16="http://schemas.microsoft.com/office/drawing/2014/main" id="{00000000-0008-0000-0300-000013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1764" name="ReportSubmitManagerControltb1" hidden="1">
              <a:extLst>
                <a:ext uri="{63B3BB69-23CF-44E3-9099-C40C66FF867C}">
                  <a14:compatExt spid="_x0000_s31764"/>
                </a:ext>
                <a:ext uri="{FF2B5EF4-FFF2-40B4-BE49-F238E27FC236}">
                  <a16:creationId xmlns:a16="http://schemas.microsoft.com/office/drawing/2014/main" id="{00000000-0008-0000-0300-000014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6</xdr:col>
      <xdr:colOff>96856</xdr:colOff>
      <xdr:row>2</xdr:row>
      <xdr:rowOff>15240</xdr:rowOff>
    </xdr:to>
    <xdr:pic>
      <xdr:nvPicPr>
        <xdr:cNvPr id="25" name="image1.jpg">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3"/>
        <a:srcRect/>
        <a:stretch>
          <a:fillRect/>
        </a:stretch>
      </xdr:blipFill>
      <xdr:spPr>
        <a:xfrm>
          <a:off x="0" y="0"/>
          <a:ext cx="660123" cy="69532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67" name="ConnectionDescriptorsInfoDCtb1" hidden="1">
              <a:extLst>
                <a:ext uri="{63B3BB69-23CF-44E3-9099-C40C66FF867C}">
                  <a14:compatExt spid="_x0000_s31767"/>
                </a:ext>
                <a:ext uri="{FF2B5EF4-FFF2-40B4-BE49-F238E27FC236}">
                  <a16:creationId xmlns:a16="http://schemas.microsoft.com/office/drawing/2014/main" id="{00000000-0008-0000-0300-000017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68" name="MultipleReportManagerInfoHCtb1" hidden="1">
              <a:extLst>
                <a:ext uri="{63B3BB69-23CF-44E3-9099-C40C66FF867C}">
                  <a14:compatExt spid="_x0000_s31768"/>
                </a:ext>
                <a:ext uri="{FF2B5EF4-FFF2-40B4-BE49-F238E27FC236}">
                  <a16:creationId xmlns:a16="http://schemas.microsoft.com/office/drawing/2014/main" id="{00000000-0008-0000-0300-000018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69" name="MultipleReportManagerInfoDCtb1" hidden="1">
              <a:extLst>
                <a:ext uri="{63B3BB69-23CF-44E3-9099-C40C66FF867C}">
                  <a14:compatExt spid="_x0000_s31769"/>
                </a:ext>
                <a:ext uri="{FF2B5EF4-FFF2-40B4-BE49-F238E27FC236}">
                  <a16:creationId xmlns:a16="http://schemas.microsoft.com/office/drawing/2014/main" id="{00000000-0008-0000-0300-000019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70" name="ReportSubmitManagerControlHCtb1" hidden="1">
              <a:extLst>
                <a:ext uri="{63B3BB69-23CF-44E3-9099-C40C66FF867C}">
                  <a14:compatExt spid="_x0000_s31770"/>
                </a:ext>
                <a:ext uri="{FF2B5EF4-FFF2-40B4-BE49-F238E27FC236}">
                  <a16:creationId xmlns:a16="http://schemas.microsoft.com/office/drawing/2014/main" id="{00000000-0008-0000-0300-00001A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71" name="ReportSubmitManagerControlDCtb1" hidden="1">
              <a:extLst>
                <a:ext uri="{63B3BB69-23CF-44E3-9099-C40C66FF867C}">
                  <a14:compatExt spid="_x0000_s31771"/>
                </a:ext>
                <a:ext uri="{FF2B5EF4-FFF2-40B4-BE49-F238E27FC236}">
                  <a16:creationId xmlns:a16="http://schemas.microsoft.com/office/drawing/2014/main" id="{00000000-0008-0000-0300-00001B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523875</xdr:colOff>
          <xdr:row>0</xdr:row>
          <xdr:rowOff>0</xdr:rowOff>
        </xdr:to>
        <xdr:sp macro="" textlink="">
          <xdr:nvSpPr>
            <xdr:cNvPr id="31773" name="ReportSubmitControl_1DCtb1" hidden="1">
              <a:extLst>
                <a:ext uri="{63B3BB69-23CF-44E3-9099-C40C66FF867C}">
                  <a14:compatExt spid="_x0000_s31773"/>
                </a:ext>
                <a:ext uri="{FF2B5EF4-FFF2-40B4-BE49-F238E27FC236}">
                  <a16:creationId xmlns:a16="http://schemas.microsoft.com/office/drawing/2014/main" id="{00000000-0008-0000-0300-00001D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587829</xdr:colOff>
          <xdr:row>0</xdr:row>
          <xdr:rowOff>0</xdr:rowOff>
        </xdr:to>
        <xdr:sp macro="" textlink="">
          <xdr:nvSpPr>
            <xdr:cNvPr id="31775" name="AnalyzerDynReportDC000tb1" hidden="1">
              <a:extLst>
                <a:ext uri="{63B3BB69-23CF-44E3-9099-C40C66FF867C}">
                  <a14:compatExt spid="_x0000_s31775"/>
                </a:ext>
                <a:ext uri="{FF2B5EF4-FFF2-40B4-BE49-F238E27FC236}">
                  <a16:creationId xmlns:a16="http://schemas.microsoft.com/office/drawing/2014/main" id="{00000000-0008-0000-0300-00001F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439C041A-F029-4407-9851-D5289BB8E1B6}"/>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100"/>
            <a:t>2gQAAB+LCAAAAAAAAAqlU11vmzAU/S9+ptJSTdOUNwqkQwsYGdiUVFPkBCe1YuzKNmmjKP9910AYUbMPaU/B55577rkfOSFqrebrxjKDpk8oI2EcIs/9hlEeEPhMSFYssgj98H5xC2WpcAljMFfacrlz8AkZeGBdMe1UVyt/6fIrXjNpuJJxhaaDsIckrRkA/t0SHhxid5PJ2fsnkZHR/1Np274pAew9O874rtHdkJaPUDDxg6L052Ua4DQPo8RPncA4lGcEh2VQxDgdIh09Tr9FaYHJwjmx4CRkWy65BTvd9Bw2ZwcmnLeIxBjsfQQRqwgT1PKDc3k3AWSrVe2vjRKwAMA+3X++74gj8INrxhBGRQG6aLqF3TEPaSUE7Au/uLpAKzDwalWxoWgrBJtOu7EgN4qNkgemzWD1epBBSUiB21nWrF4z3aJRSZDbxDW3xMl76rJM2jJavfpv3ISXjL9dp4e+RovVLH4sSZS7sW6g+1re0BjGOb7dB2pYNePCuiuRjRAeOlDR/BnvD/4SoIJpe73JcQnwYV4EPbo2bwYelH12Duc4gC6vGAWrgWFZ5yShcqj5Gwos9ULZKl03gvZ2+lfObP9fPcFpzDqQsI3adeb9DRwZqIHX/loawzJl2mDcjhWS3ucN9EE001xpbo+FIuq1D589BF6lBAepsqzvv/cER5Di1G1080zljn3hxip9iYLjri1uviu9Xyu17zqO3jaiqQbD55+1o82i2gQAAA==</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769" name="FPMExcelClientSheetOptionstb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4</xdr:row>
          <xdr:rowOff>95250</xdr:rowOff>
        </xdr:from>
        <xdr:to>
          <xdr:col>3</xdr:col>
          <xdr:colOff>0</xdr:colOff>
          <xdr:row>5</xdr:row>
          <xdr:rowOff>142875</xdr:rowOff>
        </xdr:to>
        <xdr:sp macro="" textlink="">
          <xdr:nvSpPr>
            <xdr:cNvPr id="32770" name="CommandButton1" descr="Refresh Chart" hidden="1">
              <a:extLst>
                <a:ext uri="{63B3BB69-23CF-44E3-9099-C40C66FF867C}">
                  <a14:compatExt spid="_x0000_s32770"/>
                </a:ext>
                <a:ext uri="{FF2B5EF4-FFF2-40B4-BE49-F238E27FC236}">
                  <a16:creationId xmlns:a16="http://schemas.microsoft.com/office/drawing/2014/main" id="{00000000-0008-0000-04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4</xdr:row>
          <xdr:rowOff>95250</xdr:rowOff>
        </xdr:from>
        <xdr:to>
          <xdr:col>6</xdr:col>
          <xdr:colOff>371475</xdr:colOff>
          <xdr:row>5</xdr:row>
          <xdr:rowOff>142875</xdr:rowOff>
        </xdr:to>
        <xdr:sp macro="" textlink="">
          <xdr:nvSpPr>
            <xdr:cNvPr id="32771" name="Label1" hidden="1">
              <a:extLst>
                <a:ext uri="{63B3BB69-23CF-44E3-9099-C40C66FF867C}">
                  <a14:compatExt spid="_x0000_s32771"/>
                </a:ext>
                <a:ext uri="{FF2B5EF4-FFF2-40B4-BE49-F238E27FC236}">
                  <a16:creationId xmlns:a16="http://schemas.microsoft.com/office/drawing/2014/main" id="{00000000-0008-0000-04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7</xdr:row>
          <xdr:rowOff>0</xdr:rowOff>
        </xdr:from>
        <xdr:to>
          <xdr:col>3</xdr:col>
          <xdr:colOff>0</xdr:colOff>
          <xdr:row>8</xdr:row>
          <xdr:rowOff>47625</xdr:rowOff>
        </xdr:to>
        <xdr:sp macro="" textlink="">
          <xdr:nvSpPr>
            <xdr:cNvPr id="32772" name="CommandButton2"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7</xdr:row>
          <xdr:rowOff>0</xdr:rowOff>
        </xdr:from>
        <xdr:to>
          <xdr:col>5</xdr:col>
          <xdr:colOff>66675</xdr:colOff>
          <xdr:row>8</xdr:row>
          <xdr:rowOff>47625</xdr:rowOff>
        </xdr:to>
        <xdr:sp macro="" textlink="">
          <xdr:nvSpPr>
            <xdr:cNvPr id="32773" name="CommandButton3" hidden="1">
              <a:extLst>
                <a:ext uri="{63B3BB69-23CF-44E3-9099-C40C66FF867C}">
                  <a14:compatExt spid="_x0000_s32773"/>
                </a:ext>
                <a:ext uri="{FF2B5EF4-FFF2-40B4-BE49-F238E27FC236}">
                  <a16:creationId xmlns:a16="http://schemas.microsoft.com/office/drawing/2014/main" id="{00000000-0008-0000-04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7</xdr:row>
          <xdr:rowOff>9525</xdr:rowOff>
        </xdr:from>
        <xdr:to>
          <xdr:col>6</xdr:col>
          <xdr:colOff>676275</xdr:colOff>
          <xdr:row>8</xdr:row>
          <xdr:rowOff>0</xdr:rowOff>
        </xdr:to>
        <xdr:sp macro="" textlink="">
          <xdr:nvSpPr>
            <xdr:cNvPr id="32774" name="Label2" hidden="1">
              <a:extLst>
                <a:ext uri="{63B3BB69-23CF-44E3-9099-C40C66FF867C}">
                  <a14:compatExt spid="_x0000_s32774"/>
                </a:ext>
                <a:ext uri="{FF2B5EF4-FFF2-40B4-BE49-F238E27FC236}">
                  <a16:creationId xmlns:a16="http://schemas.microsoft.com/office/drawing/2014/main" id="{00000000-0008-0000-0400-00000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752475</xdr:colOff>
          <xdr:row>7</xdr:row>
          <xdr:rowOff>0</xdr:rowOff>
        </xdr:from>
        <xdr:to>
          <xdr:col>6</xdr:col>
          <xdr:colOff>932089</xdr:colOff>
          <xdr:row>8</xdr:row>
          <xdr:rowOff>47625</xdr:rowOff>
        </xdr:to>
        <xdr:sp macro="" textlink="">
          <xdr:nvSpPr>
            <xdr:cNvPr id="32775" name="CommandButton4" hidden="1">
              <a:extLst>
                <a:ext uri="{63B3BB69-23CF-44E3-9099-C40C66FF867C}">
                  <a14:compatExt spid="_x0000_s32775"/>
                </a:ext>
                <a:ext uri="{FF2B5EF4-FFF2-40B4-BE49-F238E27FC236}">
                  <a16:creationId xmlns:a16="http://schemas.microsoft.com/office/drawing/2014/main" id="{00000000-0008-0000-0400-00000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1027339</xdr:colOff>
          <xdr:row>7</xdr:row>
          <xdr:rowOff>0</xdr:rowOff>
        </xdr:from>
        <xdr:to>
          <xdr:col>6</xdr:col>
          <xdr:colOff>1284514</xdr:colOff>
          <xdr:row>8</xdr:row>
          <xdr:rowOff>47625</xdr:rowOff>
        </xdr:to>
        <xdr:sp macro="" textlink="">
          <xdr:nvSpPr>
            <xdr:cNvPr id="32776" name="CommandButton5" hidden="1">
              <a:extLst>
                <a:ext uri="{63B3BB69-23CF-44E3-9099-C40C66FF867C}">
                  <a14:compatExt spid="_x0000_s32776"/>
                </a:ext>
                <a:ext uri="{FF2B5EF4-FFF2-40B4-BE49-F238E27FC236}">
                  <a16:creationId xmlns:a16="http://schemas.microsoft.com/office/drawing/2014/main" id="{00000000-0008-0000-0400-00000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1341664</xdr:colOff>
          <xdr:row>7</xdr:row>
          <xdr:rowOff>9525</xdr:rowOff>
        </xdr:from>
        <xdr:to>
          <xdr:col>7</xdr:col>
          <xdr:colOff>242207</xdr:colOff>
          <xdr:row>8</xdr:row>
          <xdr:rowOff>0</xdr:rowOff>
        </xdr:to>
        <xdr:sp macro="" textlink="">
          <xdr:nvSpPr>
            <xdr:cNvPr id="32777" name="Label3" hidden="1">
              <a:extLst>
                <a:ext uri="{63B3BB69-23CF-44E3-9099-C40C66FF867C}">
                  <a14:compatExt spid="_x0000_s32777"/>
                </a:ext>
                <a:ext uri="{FF2B5EF4-FFF2-40B4-BE49-F238E27FC236}">
                  <a16:creationId xmlns:a16="http://schemas.microsoft.com/office/drawing/2014/main" id="{00000000-0008-0000-0400-000009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95250</xdr:rowOff>
        </xdr:from>
        <xdr:to>
          <xdr:col>3</xdr:col>
          <xdr:colOff>0</xdr:colOff>
          <xdr:row>3</xdr:row>
          <xdr:rowOff>0</xdr:rowOff>
        </xdr:to>
        <xdr:sp macro="" textlink="">
          <xdr:nvSpPr>
            <xdr:cNvPr id="32778" name="CommandButton7" hidden="1">
              <a:extLst>
                <a:ext uri="{63B3BB69-23CF-44E3-9099-C40C66FF867C}">
                  <a14:compatExt spid="_x0000_s32778"/>
                </a:ext>
                <a:ext uri="{FF2B5EF4-FFF2-40B4-BE49-F238E27FC236}">
                  <a16:creationId xmlns:a16="http://schemas.microsoft.com/office/drawing/2014/main" id="{00000000-0008-0000-0400-00000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95250</xdr:rowOff>
        </xdr:from>
        <xdr:to>
          <xdr:col>2</xdr:col>
          <xdr:colOff>57150</xdr:colOff>
          <xdr:row>3</xdr:row>
          <xdr:rowOff>0</xdr:rowOff>
        </xdr:to>
        <xdr:sp macro="" textlink="">
          <xdr:nvSpPr>
            <xdr:cNvPr id="32779" name="CommandButton6" hidden="1">
              <a:extLst>
                <a:ext uri="{63B3BB69-23CF-44E3-9099-C40C66FF867C}">
                  <a14:compatExt spid="_x0000_s32779"/>
                </a:ext>
                <a:ext uri="{FF2B5EF4-FFF2-40B4-BE49-F238E27FC236}">
                  <a16:creationId xmlns:a16="http://schemas.microsoft.com/office/drawing/2014/main" id="{00000000-0008-0000-0400-00000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14285</xdr:colOff>
      <xdr:row>3</xdr:row>
      <xdr:rowOff>0</xdr:rowOff>
    </xdr:from>
    <xdr:to>
      <xdr:col>90</xdr:col>
      <xdr:colOff>14285</xdr:colOff>
      <xdr:row>3</xdr:row>
      <xdr:rowOff>2400300</xdr:rowOff>
    </xdr:to>
    <xdr:graphicFrame macro="">
      <xdr:nvGraphicFramePr>
        <xdr:cNvPr id="13" name="Chart 12" hidden="1">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47625</xdr:colOff>
          <xdr:row>8</xdr:row>
          <xdr:rowOff>95250</xdr:rowOff>
        </xdr:from>
        <xdr:to>
          <xdr:col>2</xdr:col>
          <xdr:colOff>0</xdr:colOff>
          <xdr:row>8</xdr:row>
          <xdr:rowOff>142875</xdr:rowOff>
        </xdr:to>
        <xdr:sp macro="" textlink="">
          <xdr:nvSpPr>
            <xdr:cNvPr id="32780" name="ListBox1" hidden="1">
              <a:extLst>
                <a:ext uri="{63B3BB69-23CF-44E3-9099-C40C66FF867C}">
                  <a14:compatExt spid="_x0000_s32780"/>
                </a:ext>
                <a:ext uri="{FF2B5EF4-FFF2-40B4-BE49-F238E27FC236}">
                  <a16:creationId xmlns:a16="http://schemas.microsoft.com/office/drawing/2014/main" id="{00000000-0008-0000-0400-00000C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752475</xdr:colOff>
          <xdr:row>8</xdr:row>
          <xdr:rowOff>95250</xdr:rowOff>
        </xdr:from>
        <xdr:to>
          <xdr:col>6</xdr:col>
          <xdr:colOff>889226</xdr:colOff>
          <xdr:row>8</xdr:row>
          <xdr:rowOff>142875</xdr:rowOff>
        </xdr:to>
        <xdr:sp macro="" textlink="">
          <xdr:nvSpPr>
            <xdr:cNvPr id="32781" name="ListBox2" hidden="1">
              <a:extLst>
                <a:ext uri="{63B3BB69-23CF-44E3-9099-C40C66FF867C}">
                  <a14:compatExt spid="_x0000_s32781"/>
                </a:ext>
                <a:ext uri="{FF2B5EF4-FFF2-40B4-BE49-F238E27FC236}">
                  <a16:creationId xmlns:a16="http://schemas.microsoft.com/office/drawing/2014/main" id="{00000000-0008-0000-0400-00000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141514</xdr:colOff>
          <xdr:row>4</xdr:row>
          <xdr:rowOff>95250</xdr:rowOff>
        </xdr:from>
        <xdr:to>
          <xdr:col>7</xdr:col>
          <xdr:colOff>842282</xdr:colOff>
          <xdr:row>6</xdr:row>
          <xdr:rowOff>0</xdr:rowOff>
        </xdr:to>
        <xdr:sp macro="" textlink="">
          <xdr:nvSpPr>
            <xdr:cNvPr id="32782" name="CheckBox1" hidden="1">
              <a:extLst>
                <a:ext uri="{63B3BB69-23CF-44E3-9099-C40C66FF867C}">
                  <a14:compatExt spid="_x0000_s32782"/>
                </a:ext>
                <a:ext uri="{FF2B5EF4-FFF2-40B4-BE49-F238E27FC236}">
                  <a16:creationId xmlns:a16="http://schemas.microsoft.com/office/drawing/2014/main" id="{00000000-0008-0000-04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4</xdr:row>
          <xdr:rowOff>95250</xdr:rowOff>
        </xdr:from>
        <xdr:to>
          <xdr:col>7</xdr:col>
          <xdr:colOff>46264</xdr:colOff>
          <xdr:row>6</xdr:row>
          <xdr:rowOff>0</xdr:rowOff>
        </xdr:to>
        <xdr:sp macro="" textlink="">
          <xdr:nvSpPr>
            <xdr:cNvPr id="32783" name="CheckBox2" hidden="1">
              <a:extLst>
                <a:ext uri="{63B3BB69-23CF-44E3-9099-C40C66FF867C}">
                  <a14:compatExt spid="_x0000_s32783"/>
                </a:ext>
                <a:ext uri="{FF2B5EF4-FFF2-40B4-BE49-F238E27FC236}">
                  <a16:creationId xmlns:a16="http://schemas.microsoft.com/office/drawing/2014/main" id="{00000000-0008-0000-0400-00000F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5</xdr:row>
          <xdr:rowOff>95250</xdr:rowOff>
        </xdr:from>
        <xdr:to>
          <xdr:col>7</xdr:col>
          <xdr:colOff>46264</xdr:colOff>
          <xdr:row>7</xdr:row>
          <xdr:rowOff>0</xdr:rowOff>
        </xdr:to>
        <xdr:sp macro="" textlink="">
          <xdr:nvSpPr>
            <xdr:cNvPr id="32784" name="CheckBox3" hidden="1">
              <a:extLst>
                <a:ext uri="{63B3BB69-23CF-44E3-9099-C40C66FF867C}">
                  <a14:compatExt spid="_x0000_s32784"/>
                </a:ext>
                <a:ext uri="{FF2B5EF4-FFF2-40B4-BE49-F238E27FC236}">
                  <a16:creationId xmlns:a16="http://schemas.microsoft.com/office/drawing/2014/main" id="{00000000-0008-0000-0400-000010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3</xdr:row>
      <xdr:rowOff>257175</xdr:rowOff>
    </xdr:from>
    <xdr:to>
      <xdr:col>8</xdr:col>
      <xdr:colOff>779145</xdr:colOff>
      <xdr:row>4</xdr:row>
      <xdr:rowOff>152400</xdr:rowOff>
    </xdr:to>
    <xdr:pic macro="[0]!Sheet2.ShowHintFilterAttributeTotal">
      <xdr:nvPicPr>
        <xdr:cNvPr id="19" name="PictureHintFilterAttributeTotal" hidden="1">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79845" y="1009650"/>
          <a:ext cx="180975"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2785" name="MultipleReportManagerInfotb1" hidden="1">
              <a:extLst>
                <a:ext uri="{63B3BB69-23CF-44E3-9099-C40C66FF867C}">
                  <a14:compatExt spid="_x0000_s32785"/>
                </a:ext>
                <a:ext uri="{FF2B5EF4-FFF2-40B4-BE49-F238E27FC236}">
                  <a16:creationId xmlns:a16="http://schemas.microsoft.com/office/drawing/2014/main" id="{00000000-0008-0000-0400-000011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7</xdr:col>
          <xdr:colOff>66675</xdr:colOff>
          <xdr:row>0</xdr:row>
          <xdr:rowOff>0</xdr:rowOff>
        </xdr:to>
        <xdr:sp macro="" textlink="">
          <xdr:nvSpPr>
            <xdr:cNvPr id="32786" name="ReportSubmitManagerControltb1" hidden="1">
              <a:extLst>
                <a:ext uri="{63B3BB69-23CF-44E3-9099-C40C66FF867C}">
                  <a14:compatExt spid="_x0000_s32786"/>
                </a:ext>
                <a:ext uri="{FF2B5EF4-FFF2-40B4-BE49-F238E27FC236}">
                  <a16:creationId xmlns:a16="http://schemas.microsoft.com/office/drawing/2014/main" id="{00000000-0008-0000-0400-000012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6</xdr:col>
      <xdr:colOff>96856</xdr:colOff>
      <xdr:row>2</xdr:row>
      <xdr:rowOff>15240</xdr:rowOff>
    </xdr:to>
    <xdr:pic>
      <xdr:nvPicPr>
        <xdr:cNvPr id="22" name="image1.jpg">
          <a:extLst>
            <a:ext uri="{FF2B5EF4-FFF2-40B4-BE49-F238E27FC236}">
              <a16:creationId xmlns:a16="http://schemas.microsoft.com/office/drawing/2014/main" id="{00000000-0008-0000-0400-000016000000}"/>
            </a:ext>
          </a:extLst>
        </xdr:cNvPr>
        <xdr:cNvPicPr/>
      </xdr:nvPicPr>
      <xdr:blipFill>
        <a:blip xmlns:r="http://schemas.openxmlformats.org/officeDocument/2006/relationships" r:embed="rId3"/>
        <a:srcRect/>
        <a:stretch>
          <a:fillRect/>
        </a:stretch>
      </xdr:blipFill>
      <xdr:spPr>
        <a:xfrm>
          <a:off x="0" y="0"/>
          <a:ext cx="668356" cy="701040"/>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87" name="ConnectionDescriptorsInfoDCtb1" hidden="1">
              <a:extLst>
                <a:ext uri="{63B3BB69-23CF-44E3-9099-C40C66FF867C}">
                  <a14:compatExt spid="_x0000_s32787"/>
                </a:ext>
                <a:ext uri="{FF2B5EF4-FFF2-40B4-BE49-F238E27FC236}">
                  <a16:creationId xmlns:a16="http://schemas.microsoft.com/office/drawing/2014/main" id="{00000000-0008-0000-0400-000013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88" name="MultipleReportManagerInfoHCtb1" hidden="1">
              <a:extLst>
                <a:ext uri="{63B3BB69-23CF-44E3-9099-C40C66FF867C}">
                  <a14:compatExt spid="_x0000_s32788"/>
                </a:ext>
                <a:ext uri="{FF2B5EF4-FFF2-40B4-BE49-F238E27FC236}">
                  <a16:creationId xmlns:a16="http://schemas.microsoft.com/office/drawing/2014/main" id="{00000000-0008-0000-0400-000014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89" name="MultipleReportManagerInfoDCtb1" hidden="1">
              <a:extLst>
                <a:ext uri="{63B3BB69-23CF-44E3-9099-C40C66FF867C}">
                  <a14:compatExt spid="_x0000_s32789"/>
                </a:ext>
                <a:ext uri="{FF2B5EF4-FFF2-40B4-BE49-F238E27FC236}">
                  <a16:creationId xmlns:a16="http://schemas.microsoft.com/office/drawing/2014/main" id="{00000000-0008-0000-0400-000015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90" name="ReportSubmitManagerControlHCtb1" hidden="1">
              <a:extLst>
                <a:ext uri="{63B3BB69-23CF-44E3-9099-C40C66FF867C}">
                  <a14:compatExt spid="_x0000_s32790"/>
                </a:ext>
                <a:ext uri="{FF2B5EF4-FFF2-40B4-BE49-F238E27FC236}">
                  <a16:creationId xmlns:a16="http://schemas.microsoft.com/office/drawing/2014/main" id="{00000000-0008-0000-0400-000016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91" name="ReportSubmitManagerControlDCtb1" hidden="1">
              <a:extLst>
                <a:ext uri="{63B3BB69-23CF-44E3-9099-C40C66FF867C}">
                  <a14:compatExt spid="_x0000_s32791"/>
                </a:ext>
                <a:ext uri="{FF2B5EF4-FFF2-40B4-BE49-F238E27FC236}">
                  <a16:creationId xmlns:a16="http://schemas.microsoft.com/office/drawing/2014/main" id="{00000000-0008-0000-0400-000017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285750</xdr:colOff>
          <xdr:row>0</xdr:row>
          <xdr:rowOff>0</xdr:rowOff>
        </xdr:to>
        <xdr:sp macro="" textlink="">
          <xdr:nvSpPr>
            <xdr:cNvPr id="32792" name="ReportSubmitControl_1DCtb1" hidden="1">
              <a:extLst>
                <a:ext uri="{63B3BB69-23CF-44E3-9099-C40C66FF867C}">
                  <a14:compatExt spid="_x0000_s32792"/>
                </a:ext>
                <a:ext uri="{FF2B5EF4-FFF2-40B4-BE49-F238E27FC236}">
                  <a16:creationId xmlns:a16="http://schemas.microsoft.com/office/drawing/2014/main" id="{00000000-0008-0000-0400-000018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2793" name="AnalyzerDynReportDC000tb1" hidden="1">
              <a:extLst>
                <a:ext uri="{63B3BB69-23CF-44E3-9099-C40C66FF867C}">
                  <a14:compatExt spid="_x0000_s32793"/>
                </a:ext>
                <a:ext uri="{FF2B5EF4-FFF2-40B4-BE49-F238E27FC236}">
                  <a16:creationId xmlns:a16="http://schemas.microsoft.com/office/drawing/2014/main" id="{00000000-0008-0000-0400-0000198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5CF7C99B-6B15-458F-B3CF-C73AD72E95D0}"/>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de-DE" sz="1100"/>
            <a:t>rwQAAB+LCAAAAAAAAAqlU12P2jAQ/C9+zkk9qU+85SC0UUOCTGgFVYVMsnAWjvdkO9whxH/vOgkp3NG7Sn0inp2dnf3gyIRzRq5rB5YNfrIpH8UjFvjfUTQbcvqc8Gm+mEbsV/CHm6MTyidcgjM0Tuqth4/M0iMzJRivulqFS59fygq0lajjkg164YBpUQEB4d2SHpJid/f3p+CfRC6M/p9K0/ZNCWLv4DCW29q0Q4rTOI/DJE6/R2me8YXXc6Q3go3U0pFoOwOPJbAH5StEPM6oyGcS3hisOCjh5N5X+0SQw1eA54Rri4oG23NeAdJyECqnKmywoX1AwAwqRTvInrwL30mSELHCEnoPjRKtL217Zb6/AvUejO2dX09nOOc8z5oBVVCtwTRoNOfMj/eaO88mb6nL+aQpY/A5fJF2dM746OQC9i1arMbxlzmPZn7KBbVf6Rsa/XQvD/JBWCjHUjm/el0rFbC9UPX7eHfF54BQYNz1Yi9LkA/7pMTBt3kz8IDu0TtMsiF1ecXIoSKGg9bJROi+5l8otNUzZYOmqpXo7HSvGbjuD3ik2xi3IIcCt635sKADIzXy2p1LbWGKtgnGzVgp6W1eT+9Fp0aike6QI8fnLnwKGHnVmhyk6KDrv/NER5Bmqd9o8Sj0Fr5K69Cco+S4bUvaH2h2a8Rd23H0Uqi67A2ffgPt9vnkrwQAA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8.xml"/><Relationship Id="rId21" Type="http://schemas.openxmlformats.org/officeDocument/2006/relationships/ctrlProp" Target="../ctrlProps/ctrlProp12.xml"/><Relationship Id="rId42" Type="http://schemas.openxmlformats.org/officeDocument/2006/relationships/ctrlProp" Target="../ctrlProps/ctrlProp33.xml"/><Relationship Id="rId63" Type="http://schemas.openxmlformats.org/officeDocument/2006/relationships/ctrlProp" Target="../ctrlProps/ctrlProp54.xml"/><Relationship Id="rId84" Type="http://schemas.openxmlformats.org/officeDocument/2006/relationships/ctrlProp" Target="../ctrlProps/ctrlProp75.xml"/><Relationship Id="rId138" Type="http://schemas.openxmlformats.org/officeDocument/2006/relationships/ctrlProp" Target="../ctrlProps/ctrlProp129.xml"/><Relationship Id="rId159" Type="http://schemas.openxmlformats.org/officeDocument/2006/relationships/ctrlProp" Target="../ctrlProps/ctrlProp150.xml"/><Relationship Id="rId170" Type="http://schemas.openxmlformats.org/officeDocument/2006/relationships/ctrlProp" Target="../ctrlProps/ctrlProp161.xml"/><Relationship Id="rId191" Type="http://schemas.openxmlformats.org/officeDocument/2006/relationships/ctrlProp" Target="../ctrlProps/ctrlProp182.xml"/><Relationship Id="rId205" Type="http://schemas.openxmlformats.org/officeDocument/2006/relationships/ctrlProp" Target="../ctrlProps/ctrlProp196.xml"/><Relationship Id="rId226" Type="http://schemas.openxmlformats.org/officeDocument/2006/relationships/ctrlProp" Target="../ctrlProps/ctrlProp217.xml"/><Relationship Id="rId247" Type="http://schemas.openxmlformats.org/officeDocument/2006/relationships/ctrlProp" Target="../ctrlProps/ctrlProp238.xml"/><Relationship Id="rId107" Type="http://schemas.openxmlformats.org/officeDocument/2006/relationships/ctrlProp" Target="../ctrlProps/ctrlProp98.xml"/><Relationship Id="rId11" Type="http://schemas.openxmlformats.org/officeDocument/2006/relationships/ctrlProp" Target="../ctrlProps/ctrlProp2.xml"/><Relationship Id="rId32" Type="http://schemas.openxmlformats.org/officeDocument/2006/relationships/ctrlProp" Target="../ctrlProps/ctrlProp23.xml"/><Relationship Id="rId53" Type="http://schemas.openxmlformats.org/officeDocument/2006/relationships/ctrlProp" Target="../ctrlProps/ctrlProp44.xml"/><Relationship Id="rId74" Type="http://schemas.openxmlformats.org/officeDocument/2006/relationships/ctrlProp" Target="../ctrlProps/ctrlProp65.xml"/><Relationship Id="rId128" Type="http://schemas.openxmlformats.org/officeDocument/2006/relationships/ctrlProp" Target="../ctrlProps/ctrlProp119.xml"/><Relationship Id="rId149" Type="http://schemas.openxmlformats.org/officeDocument/2006/relationships/ctrlProp" Target="../ctrlProps/ctrlProp140.xml"/><Relationship Id="rId5" Type="http://schemas.openxmlformats.org/officeDocument/2006/relationships/image" Target="../media/image2.emf"/><Relationship Id="rId95" Type="http://schemas.openxmlformats.org/officeDocument/2006/relationships/ctrlProp" Target="../ctrlProps/ctrlProp86.xml"/><Relationship Id="rId160" Type="http://schemas.openxmlformats.org/officeDocument/2006/relationships/ctrlProp" Target="../ctrlProps/ctrlProp151.xml"/><Relationship Id="rId181" Type="http://schemas.openxmlformats.org/officeDocument/2006/relationships/ctrlProp" Target="../ctrlProps/ctrlProp172.xml"/><Relationship Id="rId216" Type="http://schemas.openxmlformats.org/officeDocument/2006/relationships/ctrlProp" Target="../ctrlProps/ctrlProp207.xml"/><Relationship Id="rId237" Type="http://schemas.openxmlformats.org/officeDocument/2006/relationships/ctrlProp" Target="../ctrlProps/ctrlProp228.xml"/><Relationship Id="rId22" Type="http://schemas.openxmlformats.org/officeDocument/2006/relationships/ctrlProp" Target="../ctrlProps/ctrlProp13.xml"/><Relationship Id="rId43" Type="http://schemas.openxmlformats.org/officeDocument/2006/relationships/ctrlProp" Target="../ctrlProps/ctrlProp34.xml"/><Relationship Id="rId64" Type="http://schemas.openxmlformats.org/officeDocument/2006/relationships/ctrlProp" Target="../ctrlProps/ctrlProp55.xml"/><Relationship Id="rId118" Type="http://schemas.openxmlformats.org/officeDocument/2006/relationships/ctrlProp" Target="../ctrlProps/ctrlProp109.xml"/><Relationship Id="rId139" Type="http://schemas.openxmlformats.org/officeDocument/2006/relationships/ctrlProp" Target="../ctrlProps/ctrlProp130.xml"/><Relationship Id="rId85" Type="http://schemas.openxmlformats.org/officeDocument/2006/relationships/ctrlProp" Target="../ctrlProps/ctrlProp76.xml"/><Relationship Id="rId150" Type="http://schemas.openxmlformats.org/officeDocument/2006/relationships/ctrlProp" Target="../ctrlProps/ctrlProp141.xml"/><Relationship Id="rId171" Type="http://schemas.openxmlformats.org/officeDocument/2006/relationships/ctrlProp" Target="../ctrlProps/ctrlProp162.xml"/><Relationship Id="rId192" Type="http://schemas.openxmlformats.org/officeDocument/2006/relationships/ctrlProp" Target="../ctrlProps/ctrlProp183.xml"/><Relationship Id="rId206" Type="http://schemas.openxmlformats.org/officeDocument/2006/relationships/ctrlProp" Target="../ctrlProps/ctrlProp197.xml"/><Relationship Id="rId227" Type="http://schemas.openxmlformats.org/officeDocument/2006/relationships/ctrlProp" Target="../ctrlProps/ctrlProp218.xml"/><Relationship Id="rId248" Type="http://schemas.openxmlformats.org/officeDocument/2006/relationships/ctrlProp" Target="../ctrlProps/ctrlProp239.xml"/><Relationship Id="rId12" Type="http://schemas.openxmlformats.org/officeDocument/2006/relationships/ctrlProp" Target="../ctrlProps/ctrlProp3.xml"/><Relationship Id="rId33" Type="http://schemas.openxmlformats.org/officeDocument/2006/relationships/ctrlProp" Target="../ctrlProps/ctrlProp24.xml"/><Relationship Id="rId108" Type="http://schemas.openxmlformats.org/officeDocument/2006/relationships/ctrlProp" Target="../ctrlProps/ctrlProp99.xml"/><Relationship Id="rId129" Type="http://schemas.openxmlformats.org/officeDocument/2006/relationships/ctrlProp" Target="../ctrlProps/ctrlProp120.xml"/><Relationship Id="rId54" Type="http://schemas.openxmlformats.org/officeDocument/2006/relationships/ctrlProp" Target="../ctrlProps/ctrlProp45.xml"/><Relationship Id="rId75" Type="http://schemas.openxmlformats.org/officeDocument/2006/relationships/ctrlProp" Target="../ctrlProps/ctrlProp66.xml"/><Relationship Id="rId96" Type="http://schemas.openxmlformats.org/officeDocument/2006/relationships/ctrlProp" Target="../ctrlProps/ctrlProp87.xml"/><Relationship Id="rId140" Type="http://schemas.openxmlformats.org/officeDocument/2006/relationships/ctrlProp" Target="../ctrlProps/ctrlProp131.xml"/><Relationship Id="rId161" Type="http://schemas.openxmlformats.org/officeDocument/2006/relationships/ctrlProp" Target="../ctrlProps/ctrlProp152.xml"/><Relationship Id="rId182" Type="http://schemas.openxmlformats.org/officeDocument/2006/relationships/ctrlProp" Target="../ctrlProps/ctrlProp173.xml"/><Relationship Id="rId217" Type="http://schemas.openxmlformats.org/officeDocument/2006/relationships/ctrlProp" Target="../ctrlProps/ctrlProp208.xml"/><Relationship Id="rId6" Type="http://schemas.openxmlformats.org/officeDocument/2006/relationships/control" Target="../activeX/activeX3.xml"/><Relationship Id="rId238" Type="http://schemas.openxmlformats.org/officeDocument/2006/relationships/ctrlProp" Target="../ctrlProps/ctrlProp229.xml"/><Relationship Id="rId23" Type="http://schemas.openxmlformats.org/officeDocument/2006/relationships/ctrlProp" Target="../ctrlProps/ctrlProp14.xml"/><Relationship Id="rId119" Type="http://schemas.openxmlformats.org/officeDocument/2006/relationships/ctrlProp" Target="../ctrlProps/ctrlProp110.xml"/><Relationship Id="rId44" Type="http://schemas.openxmlformats.org/officeDocument/2006/relationships/ctrlProp" Target="../ctrlProps/ctrlProp35.xml"/><Relationship Id="rId65" Type="http://schemas.openxmlformats.org/officeDocument/2006/relationships/ctrlProp" Target="../ctrlProps/ctrlProp56.xml"/><Relationship Id="rId86" Type="http://schemas.openxmlformats.org/officeDocument/2006/relationships/ctrlProp" Target="../ctrlProps/ctrlProp77.xml"/><Relationship Id="rId130" Type="http://schemas.openxmlformats.org/officeDocument/2006/relationships/ctrlProp" Target="../ctrlProps/ctrlProp121.xml"/><Relationship Id="rId151" Type="http://schemas.openxmlformats.org/officeDocument/2006/relationships/ctrlProp" Target="../ctrlProps/ctrlProp142.xml"/><Relationship Id="rId172" Type="http://schemas.openxmlformats.org/officeDocument/2006/relationships/ctrlProp" Target="../ctrlProps/ctrlProp163.xml"/><Relationship Id="rId193" Type="http://schemas.openxmlformats.org/officeDocument/2006/relationships/ctrlProp" Target="../ctrlProps/ctrlProp184.xml"/><Relationship Id="rId207" Type="http://schemas.openxmlformats.org/officeDocument/2006/relationships/ctrlProp" Target="../ctrlProps/ctrlProp198.xml"/><Relationship Id="rId228" Type="http://schemas.openxmlformats.org/officeDocument/2006/relationships/ctrlProp" Target="../ctrlProps/ctrlProp219.xml"/><Relationship Id="rId249" Type="http://schemas.openxmlformats.org/officeDocument/2006/relationships/ctrlProp" Target="../ctrlProps/ctrlProp240.xml"/><Relationship Id="rId13" Type="http://schemas.openxmlformats.org/officeDocument/2006/relationships/ctrlProp" Target="../ctrlProps/ctrlProp4.xml"/><Relationship Id="rId109" Type="http://schemas.openxmlformats.org/officeDocument/2006/relationships/ctrlProp" Target="../ctrlProps/ctrlProp100.xml"/><Relationship Id="rId34" Type="http://schemas.openxmlformats.org/officeDocument/2006/relationships/ctrlProp" Target="../ctrlProps/ctrlProp25.xml"/><Relationship Id="rId55" Type="http://schemas.openxmlformats.org/officeDocument/2006/relationships/ctrlProp" Target="../ctrlProps/ctrlProp46.xml"/><Relationship Id="rId76" Type="http://schemas.openxmlformats.org/officeDocument/2006/relationships/ctrlProp" Target="../ctrlProps/ctrlProp67.xml"/><Relationship Id="rId97" Type="http://schemas.openxmlformats.org/officeDocument/2006/relationships/ctrlProp" Target="../ctrlProps/ctrlProp88.xml"/><Relationship Id="rId120" Type="http://schemas.openxmlformats.org/officeDocument/2006/relationships/ctrlProp" Target="../ctrlProps/ctrlProp111.xml"/><Relationship Id="rId141" Type="http://schemas.openxmlformats.org/officeDocument/2006/relationships/ctrlProp" Target="../ctrlProps/ctrlProp132.xml"/><Relationship Id="rId7" Type="http://schemas.openxmlformats.org/officeDocument/2006/relationships/image" Target="../media/image3.emf"/><Relationship Id="rId162" Type="http://schemas.openxmlformats.org/officeDocument/2006/relationships/ctrlProp" Target="../ctrlProps/ctrlProp153.xml"/><Relationship Id="rId183" Type="http://schemas.openxmlformats.org/officeDocument/2006/relationships/ctrlProp" Target="../ctrlProps/ctrlProp174.xml"/><Relationship Id="rId218" Type="http://schemas.openxmlformats.org/officeDocument/2006/relationships/ctrlProp" Target="../ctrlProps/ctrlProp209.xml"/><Relationship Id="rId239" Type="http://schemas.openxmlformats.org/officeDocument/2006/relationships/ctrlProp" Target="../ctrlProps/ctrlProp230.xml"/><Relationship Id="rId250" Type="http://schemas.openxmlformats.org/officeDocument/2006/relationships/ctrlProp" Target="../ctrlProps/ctrlProp241.xml"/><Relationship Id="rId24" Type="http://schemas.openxmlformats.org/officeDocument/2006/relationships/ctrlProp" Target="../ctrlProps/ctrlProp15.xml"/><Relationship Id="rId45" Type="http://schemas.openxmlformats.org/officeDocument/2006/relationships/ctrlProp" Target="../ctrlProps/ctrlProp36.xml"/><Relationship Id="rId66" Type="http://schemas.openxmlformats.org/officeDocument/2006/relationships/ctrlProp" Target="../ctrlProps/ctrlProp57.xml"/><Relationship Id="rId87" Type="http://schemas.openxmlformats.org/officeDocument/2006/relationships/ctrlProp" Target="../ctrlProps/ctrlProp78.xml"/><Relationship Id="rId110" Type="http://schemas.openxmlformats.org/officeDocument/2006/relationships/ctrlProp" Target="../ctrlProps/ctrlProp101.xml"/><Relationship Id="rId131" Type="http://schemas.openxmlformats.org/officeDocument/2006/relationships/ctrlProp" Target="../ctrlProps/ctrlProp122.xml"/><Relationship Id="rId152" Type="http://schemas.openxmlformats.org/officeDocument/2006/relationships/ctrlProp" Target="../ctrlProps/ctrlProp143.xml"/><Relationship Id="rId173" Type="http://schemas.openxmlformats.org/officeDocument/2006/relationships/ctrlProp" Target="../ctrlProps/ctrlProp164.xml"/><Relationship Id="rId194" Type="http://schemas.openxmlformats.org/officeDocument/2006/relationships/ctrlProp" Target="../ctrlProps/ctrlProp185.xml"/><Relationship Id="rId208" Type="http://schemas.openxmlformats.org/officeDocument/2006/relationships/ctrlProp" Target="../ctrlProps/ctrlProp199.xml"/><Relationship Id="rId229" Type="http://schemas.openxmlformats.org/officeDocument/2006/relationships/ctrlProp" Target="../ctrlProps/ctrlProp220.xml"/><Relationship Id="rId240" Type="http://schemas.openxmlformats.org/officeDocument/2006/relationships/ctrlProp" Target="../ctrlProps/ctrlProp231.xml"/><Relationship Id="rId14" Type="http://schemas.openxmlformats.org/officeDocument/2006/relationships/ctrlProp" Target="../ctrlProps/ctrlProp5.xml"/><Relationship Id="rId35" Type="http://schemas.openxmlformats.org/officeDocument/2006/relationships/ctrlProp" Target="../ctrlProps/ctrlProp26.xml"/><Relationship Id="rId56" Type="http://schemas.openxmlformats.org/officeDocument/2006/relationships/ctrlProp" Target="../ctrlProps/ctrlProp47.xml"/><Relationship Id="rId77" Type="http://schemas.openxmlformats.org/officeDocument/2006/relationships/ctrlProp" Target="../ctrlProps/ctrlProp68.xml"/><Relationship Id="rId100" Type="http://schemas.openxmlformats.org/officeDocument/2006/relationships/ctrlProp" Target="../ctrlProps/ctrlProp91.xml"/><Relationship Id="rId8" Type="http://schemas.openxmlformats.org/officeDocument/2006/relationships/control" Target="../activeX/activeX4.xml"/><Relationship Id="rId98" Type="http://schemas.openxmlformats.org/officeDocument/2006/relationships/ctrlProp" Target="../ctrlProps/ctrlProp89.xml"/><Relationship Id="rId121" Type="http://schemas.openxmlformats.org/officeDocument/2006/relationships/ctrlProp" Target="../ctrlProps/ctrlProp112.xml"/><Relationship Id="rId142" Type="http://schemas.openxmlformats.org/officeDocument/2006/relationships/ctrlProp" Target="../ctrlProps/ctrlProp133.xml"/><Relationship Id="rId163" Type="http://schemas.openxmlformats.org/officeDocument/2006/relationships/ctrlProp" Target="../ctrlProps/ctrlProp154.xml"/><Relationship Id="rId184" Type="http://schemas.openxmlformats.org/officeDocument/2006/relationships/ctrlProp" Target="../ctrlProps/ctrlProp175.xml"/><Relationship Id="rId219" Type="http://schemas.openxmlformats.org/officeDocument/2006/relationships/ctrlProp" Target="../ctrlProps/ctrlProp210.xml"/><Relationship Id="rId230" Type="http://schemas.openxmlformats.org/officeDocument/2006/relationships/ctrlProp" Target="../ctrlProps/ctrlProp221.xml"/><Relationship Id="rId251" Type="http://schemas.openxmlformats.org/officeDocument/2006/relationships/ctrlProp" Target="../ctrlProps/ctrlProp242.xml"/><Relationship Id="rId25" Type="http://schemas.openxmlformats.org/officeDocument/2006/relationships/ctrlProp" Target="../ctrlProps/ctrlProp16.xml"/><Relationship Id="rId46" Type="http://schemas.openxmlformats.org/officeDocument/2006/relationships/ctrlProp" Target="../ctrlProps/ctrlProp37.xml"/><Relationship Id="rId67" Type="http://schemas.openxmlformats.org/officeDocument/2006/relationships/ctrlProp" Target="../ctrlProps/ctrlProp58.xml"/><Relationship Id="rId88" Type="http://schemas.openxmlformats.org/officeDocument/2006/relationships/ctrlProp" Target="../ctrlProps/ctrlProp79.xml"/><Relationship Id="rId111" Type="http://schemas.openxmlformats.org/officeDocument/2006/relationships/ctrlProp" Target="../ctrlProps/ctrlProp102.xml"/><Relationship Id="rId132" Type="http://schemas.openxmlformats.org/officeDocument/2006/relationships/ctrlProp" Target="../ctrlProps/ctrlProp123.xml"/><Relationship Id="rId153" Type="http://schemas.openxmlformats.org/officeDocument/2006/relationships/ctrlProp" Target="../ctrlProps/ctrlProp144.xml"/><Relationship Id="rId174" Type="http://schemas.openxmlformats.org/officeDocument/2006/relationships/ctrlProp" Target="../ctrlProps/ctrlProp165.xml"/><Relationship Id="rId195" Type="http://schemas.openxmlformats.org/officeDocument/2006/relationships/ctrlProp" Target="../ctrlProps/ctrlProp186.xml"/><Relationship Id="rId209" Type="http://schemas.openxmlformats.org/officeDocument/2006/relationships/ctrlProp" Target="../ctrlProps/ctrlProp200.xml"/><Relationship Id="rId220" Type="http://schemas.openxmlformats.org/officeDocument/2006/relationships/ctrlProp" Target="../ctrlProps/ctrlProp211.xml"/><Relationship Id="rId241" Type="http://schemas.openxmlformats.org/officeDocument/2006/relationships/ctrlProp" Target="../ctrlProps/ctrlProp232.xml"/><Relationship Id="rId15" Type="http://schemas.openxmlformats.org/officeDocument/2006/relationships/ctrlProp" Target="../ctrlProps/ctrlProp6.xml"/><Relationship Id="rId36" Type="http://schemas.openxmlformats.org/officeDocument/2006/relationships/ctrlProp" Target="../ctrlProps/ctrlProp27.xml"/><Relationship Id="rId57" Type="http://schemas.openxmlformats.org/officeDocument/2006/relationships/ctrlProp" Target="../ctrlProps/ctrlProp48.xml"/><Relationship Id="rId78" Type="http://schemas.openxmlformats.org/officeDocument/2006/relationships/ctrlProp" Target="../ctrlProps/ctrlProp69.xml"/><Relationship Id="rId99" Type="http://schemas.openxmlformats.org/officeDocument/2006/relationships/ctrlProp" Target="../ctrlProps/ctrlProp90.xml"/><Relationship Id="rId101" Type="http://schemas.openxmlformats.org/officeDocument/2006/relationships/ctrlProp" Target="../ctrlProps/ctrlProp92.xml"/><Relationship Id="rId122" Type="http://schemas.openxmlformats.org/officeDocument/2006/relationships/ctrlProp" Target="../ctrlProps/ctrlProp113.xml"/><Relationship Id="rId143" Type="http://schemas.openxmlformats.org/officeDocument/2006/relationships/ctrlProp" Target="../ctrlProps/ctrlProp134.xml"/><Relationship Id="rId164" Type="http://schemas.openxmlformats.org/officeDocument/2006/relationships/ctrlProp" Target="../ctrlProps/ctrlProp155.xml"/><Relationship Id="rId185" Type="http://schemas.openxmlformats.org/officeDocument/2006/relationships/ctrlProp" Target="../ctrlProps/ctrlProp176.xml"/><Relationship Id="rId9" Type="http://schemas.openxmlformats.org/officeDocument/2006/relationships/image" Target="../media/image4.emf"/><Relationship Id="rId210" Type="http://schemas.openxmlformats.org/officeDocument/2006/relationships/ctrlProp" Target="../ctrlProps/ctrlProp201.xml"/><Relationship Id="rId26" Type="http://schemas.openxmlformats.org/officeDocument/2006/relationships/ctrlProp" Target="../ctrlProps/ctrlProp17.xml"/><Relationship Id="rId231" Type="http://schemas.openxmlformats.org/officeDocument/2006/relationships/ctrlProp" Target="../ctrlProps/ctrlProp222.xml"/><Relationship Id="rId252" Type="http://schemas.openxmlformats.org/officeDocument/2006/relationships/ctrlProp" Target="../ctrlProps/ctrlProp243.xml"/><Relationship Id="rId47" Type="http://schemas.openxmlformats.org/officeDocument/2006/relationships/ctrlProp" Target="../ctrlProps/ctrlProp38.xml"/><Relationship Id="rId68" Type="http://schemas.openxmlformats.org/officeDocument/2006/relationships/ctrlProp" Target="../ctrlProps/ctrlProp59.xml"/><Relationship Id="rId89" Type="http://schemas.openxmlformats.org/officeDocument/2006/relationships/ctrlProp" Target="../ctrlProps/ctrlProp80.xml"/><Relationship Id="rId112" Type="http://schemas.openxmlformats.org/officeDocument/2006/relationships/ctrlProp" Target="../ctrlProps/ctrlProp103.xml"/><Relationship Id="rId133" Type="http://schemas.openxmlformats.org/officeDocument/2006/relationships/ctrlProp" Target="../ctrlProps/ctrlProp124.xml"/><Relationship Id="rId154" Type="http://schemas.openxmlformats.org/officeDocument/2006/relationships/ctrlProp" Target="../ctrlProps/ctrlProp145.xml"/><Relationship Id="rId175" Type="http://schemas.openxmlformats.org/officeDocument/2006/relationships/ctrlProp" Target="../ctrlProps/ctrlProp166.xml"/><Relationship Id="rId196" Type="http://schemas.openxmlformats.org/officeDocument/2006/relationships/ctrlProp" Target="../ctrlProps/ctrlProp187.xml"/><Relationship Id="rId200" Type="http://schemas.openxmlformats.org/officeDocument/2006/relationships/ctrlProp" Target="../ctrlProps/ctrlProp191.xml"/><Relationship Id="rId16" Type="http://schemas.openxmlformats.org/officeDocument/2006/relationships/ctrlProp" Target="../ctrlProps/ctrlProp7.xml"/><Relationship Id="rId221" Type="http://schemas.openxmlformats.org/officeDocument/2006/relationships/ctrlProp" Target="../ctrlProps/ctrlProp212.xml"/><Relationship Id="rId242" Type="http://schemas.openxmlformats.org/officeDocument/2006/relationships/ctrlProp" Target="../ctrlProps/ctrlProp233.xml"/><Relationship Id="rId37" Type="http://schemas.openxmlformats.org/officeDocument/2006/relationships/ctrlProp" Target="../ctrlProps/ctrlProp28.xml"/><Relationship Id="rId58" Type="http://schemas.openxmlformats.org/officeDocument/2006/relationships/ctrlProp" Target="../ctrlProps/ctrlProp49.xml"/><Relationship Id="rId79" Type="http://schemas.openxmlformats.org/officeDocument/2006/relationships/ctrlProp" Target="../ctrlProps/ctrlProp70.xml"/><Relationship Id="rId102" Type="http://schemas.openxmlformats.org/officeDocument/2006/relationships/ctrlProp" Target="../ctrlProps/ctrlProp93.xml"/><Relationship Id="rId123" Type="http://schemas.openxmlformats.org/officeDocument/2006/relationships/ctrlProp" Target="../ctrlProps/ctrlProp114.xml"/><Relationship Id="rId144" Type="http://schemas.openxmlformats.org/officeDocument/2006/relationships/ctrlProp" Target="../ctrlProps/ctrlProp135.xml"/><Relationship Id="rId90" Type="http://schemas.openxmlformats.org/officeDocument/2006/relationships/ctrlProp" Target="../ctrlProps/ctrlProp81.xml"/><Relationship Id="rId165" Type="http://schemas.openxmlformats.org/officeDocument/2006/relationships/ctrlProp" Target="../ctrlProps/ctrlProp156.xml"/><Relationship Id="rId186" Type="http://schemas.openxmlformats.org/officeDocument/2006/relationships/ctrlProp" Target="../ctrlProps/ctrlProp177.xml"/><Relationship Id="rId211" Type="http://schemas.openxmlformats.org/officeDocument/2006/relationships/ctrlProp" Target="../ctrlProps/ctrlProp202.xml"/><Relationship Id="rId232" Type="http://schemas.openxmlformats.org/officeDocument/2006/relationships/ctrlProp" Target="../ctrlProps/ctrlProp223.xml"/><Relationship Id="rId253" Type="http://schemas.openxmlformats.org/officeDocument/2006/relationships/ctrlProp" Target="../ctrlProps/ctrlProp244.xml"/><Relationship Id="rId27" Type="http://schemas.openxmlformats.org/officeDocument/2006/relationships/ctrlProp" Target="../ctrlProps/ctrlProp18.xml"/><Relationship Id="rId48" Type="http://schemas.openxmlformats.org/officeDocument/2006/relationships/ctrlProp" Target="../ctrlProps/ctrlProp39.xml"/><Relationship Id="rId69" Type="http://schemas.openxmlformats.org/officeDocument/2006/relationships/ctrlProp" Target="../ctrlProps/ctrlProp60.xml"/><Relationship Id="rId113" Type="http://schemas.openxmlformats.org/officeDocument/2006/relationships/ctrlProp" Target="../ctrlProps/ctrlProp104.xml"/><Relationship Id="rId134" Type="http://schemas.openxmlformats.org/officeDocument/2006/relationships/ctrlProp" Target="../ctrlProps/ctrlProp125.xml"/><Relationship Id="rId80" Type="http://schemas.openxmlformats.org/officeDocument/2006/relationships/ctrlProp" Target="../ctrlProps/ctrlProp71.xml"/><Relationship Id="rId155" Type="http://schemas.openxmlformats.org/officeDocument/2006/relationships/ctrlProp" Target="../ctrlProps/ctrlProp146.xml"/><Relationship Id="rId176" Type="http://schemas.openxmlformats.org/officeDocument/2006/relationships/ctrlProp" Target="../ctrlProps/ctrlProp167.xml"/><Relationship Id="rId197" Type="http://schemas.openxmlformats.org/officeDocument/2006/relationships/ctrlProp" Target="../ctrlProps/ctrlProp188.xml"/><Relationship Id="rId201" Type="http://schemas.openxmlformats.org/officeDocument/2006/relationships/ctrlProp" Target="../ctrlProps/ctrlProp192.xml"/><Relationship Id="rId222" Type="http://schemas.openxmlformats.org/officeDocument/2006/relationships/ctrlProp" Target="../ctrlProps/ctrlProp213.xml"/><Relationship Id="rId243" Type="http://schemas.openxmlformats.org/officeDocument/2006/relationships/ctrlProp" Target="../ctrlProps/ctrlProp234.xml"/><Relationship Id="rId17" Type="http://schemas.openxmlformats.org/officeDocument/2006/relationships/ctrlProp" Target="../ctrlProps/ctrlProp8.xml"/><Relationship Id="rId38" Type="http://schemas.openxmlformats.org/officeDocument/2006/relationships/ctrlProp" Target="../ctrlProps/ctrlProp29.xml"/><Relationship Id="rId59" Type="http://schemas.openxmlformats.org/officeDocument/2006/relationships/ctrlProp" Target="../ctrlProps/ctrlProp50.xml"/><Relationship Id="rId103" Type="http://schemas.openxmlformats.org/officeDocument/2006/relationships/ctrlProp" Target="../ctrlProps/ctrlProp94.xml"/><Relationship Id="rId124" Type="http://schemas.openxmlformats.org/officeDocument/2006/relationships/ctrlProp" Target="../ctrlProps/ctrlProp115.xml"/><Relationship Id="rId70" Type="http://schemas.openxmlformats.org/officeDocument/2006/relationships/ctrlProp" Target="../ctrlProps/ctrlProp61.xml"/><Relationship Id="rId91" Type="http://schemas.openxmlformats.org/officeDocument/2006/relationships/ctrlProp" Target="../ctrlProps/ctrlProp82.xml"/><Relationship Id="rId145" Type="http://schemas.openxmlformats.org/officeDocument/2006/relationships/ctrlProp" Target="../ctrlProps/ctrlProp136.xml"/><Relationship Id="rId166" Type="http://schemas.openxmlformats.org/officeDocument/2006/relationships/ctrlProp" Target="../ctrlProps/ctrlProp157.xml"/><Relationship Id="rId187" Type="http://schemas.openxmlformats.org/officeDocument/2006/relationships/ctrlProp" Target="../ctrlProps/ctrlProp178.xml"/><Relationship Id="rId1" Type="http://schemas.openxmlformats.org/officeDocument/2006/relationships/printerSettings" Target="../printerSettings/printerSettings2.bin"/><Relationship Id="rId212" Type="http://schemas.openxmlformats.org/officeDocument/2006/relationships/ctrlProp" Target="../ctrlProps/ctrlProp203.xml"/><Relationship Id="rId233" Type="http://schemas.openxmlformats.org/officeDocument/2006/relationships/ctrlProp" Target="../ctrlProps/ctrlProp224.xml"/><Relationship Id="rId254" Type="http://schemas.openxmlformats.org/officeDocument/2006/relationships/ctrlProp" Target="../ctrlProps/ctrlProp245.xml"/><Relationship Id="rId28" Type="http://schemas.openxmlformats.org/officeDocument/2006/relationships/ctrlProp" Target="../ctrlProps/ctrlProp19.xml"/><Relationship Id="rId49" Type="http://schemas.openxmlformats.org/officeDocument/2006/relationships/ctrlProp" Target="../ctrlProps/ctrlProp40.xml"/><Relationship Id="rId114" Type="http://schemas.openxmlformats.org/officeDocument/2006/relationships/ctrlProp" Target="../ctrlProps/ctrlProp105.xml"/><Relationship Id="rId60" Type="http://schemas.openxmlformats.org/officeDocument/2006/relationships/ctrlProp" Target="../ctrlProps/ctrlProp51.xml"/><Relationship Id="rId81" Type="http://schemas.openxmlformats.org/officeDocument/2006/relationships/ctrlProp" Target="../ctrlProps/ctrlProp72.xml"/><Relationship Id="rId135" Type="http://schemas.openxmlformats.org/officeDocument/2006/relationships/ctrlProp" Target="../ctrlProps/ctrlProp126.xml"/><Relationship Id="rId156" Type="http://schemas.openxmlformats.org/officeDocument/2006/relationships/ctrlProp" Target="../ctrlProps/ctrlProp147.xml"/><Relationship Id="rId177" Type="http://schemas.openxmlformats.org/officeDocument/2006/relationships/ctrlProp" Target="../ctrlProps/ctrlProp168.xml"/><Relationship Id="rId198" Type="http://schemas.openxmlformats.org/officeDocument/2006/relationships/ctrlProp" Target="../ctrlProps/ctrlProp189.xml"/><Relationship Id="rId202" Type="http://schemas.openxmlformats.org/officeDocument/2006/relationships/ctrlProp" Target="../ctrlProps/ctrlProp193.xml"/><Relationship Id="rId223" Type="http://schemas.openxmlformats.org/officeDocument/2006/relationships/ctrlProp" Target="../ctrlProps/ctrlProp214.xml"/><Relationship Id="rId244" Type="http://schemas.openxmlformats.org/officeDocument/2006/relationships/ctrlProp" Target="../ctrlProps/ctrlProp235.xml"/><Relationship Id="rId18" Type="http://schemas.openxmlformats.org/officeDocument/2006/relationships/ctrlProp" Target="../ctrlProps/ctrlProp9.xml"/><Relationship Id="rId39" Type="http://schemas.openxmlformats.org/officeDocument/2006/relationships/ctrlProp" Target="../ctrlProps/ctrlProp30.xml"/><Relationship Id="rId50" Type="http://schemas.openxmlformats.org/officeDocument/2006/relationships/ctrlProp" Target="../ctrlProps/ctrlProp41.xml"/><Relationship Id="rId104" Type="http://schemas.openxmlformats.org/officeDocument/2006/relationships/ctrlProp" Target="../ctrlProps/ctrlProp95.xml"/><Relationship Id="rId125" Type="http://schemas.openxmlformats.org/officeDocument/2006/relationships/ctrlProp" Target="../ctrlProps/ctrlProp116.xml"/><Relationship Id="rId146" Type="http://schemas.openxmlformats.org/officeDocument/2006/relationships/ctrlProp" Target="../ctrlProps/ctrlProp137.xml"/><Relationship Id="rId167" Type="http://schemas.openxmlformats.org/officeDocument/2006/relationships/ctrlProp" Target="../ctrlProps/ctrlProp158.xml"/><Relationship Id="rId188" Type="http://schemas.openxmlformats.org/officeDocument/2006/relationships/ctrlProp" Target="../ctrlProps/ctrlProp179.xml"/><Relationship Id="rId71" Type="http://schemas.openxmlformats.org/officeDocument/2006/relationships/ctrlProp" Target="../ctrlProps/ctrlProp62.xml"/><Relationship Id="rId92" Type="http://schemas.openxmlformats.org/officeDocument/2006/relationships/ctrlProp" Target="../ctrlProps/ctrlProp83.xml"/><Relationship Id="rId213" Type="http://schemas.openxmlformats.org/officeDocument/2006/relationships/ctrlProp" Target="../ctrlProps/ctrlProp204.xml"/><Relationship Id="rId234" Type="http://schemas.openxmlformats.org/officeDocument/2006/relationships/ctrlProp" Target="../ctrlProps/ctrlProp225.xml"/><Relationship Id="rId2" Type="http://schemas.openxmlformats.org/officeDocument/2006/relationships/drawing" Target="../drawings/drawing2.xml"/><Relationship Id="rId29" Type="http://schemas.openxmlformats.org/officeDocument/2006/relationships/ctrlProp" Target="../ctrlProps/ctrlProp20.xml"/><Relationship Id="rId255" Type="http://schemas.openxmlformats.org/officeDocument/2006/relationships/ctrlProp" Target="../ctrlProps/ctrlProp246.xml"/><Relationship Id="rId40" Type="http://schemas.openxmlformats.org/officeDocument/2006/relationships/ctrlProp" Target="../ctrlProps/ctrlProp31.xml"/><Relationship Id="rId115" Type="http://schemas.openxmlformats.org/officeDocument/2006/relationships/ctrlProp" Target="../ctrlProps/ctrlProp106.xml"/><Relationship Id="rId136" Type="http://schemas.openxmlformats.org/officeDocument/2006/relationships/ctrlProp" Target="../ctrlProps/ctrlProp127.xml"/><Relationship Id="rId157" Type="http://schemas.openxmlformats.org/officeDocument/2006/relationships/ctrlProp" Target="../ctrlProps/ctrlProp148.xml"/><Relationship Id="rId178" Type="http://schemas.openxmlformats.org/officeDocument/2006/relationships/ctrlProp" Target="../ctrlProps/ctrlProp169.xml"/><Relationship Id="rId61" Type="http://schemas.openxmlformats.org/officeDocument/2006/relationships/ctrlProp" Target="../ctrlProps/ctrlProp52.xml"/><Relationship Id="rId82" Type="http://schemas.openxmlformats.org/officeDocument/2006/relationships/ctrlProp" Target="../ctrlProps/ctrlProp73.xml"/><Relationship Id="rId199" Type="http://schemas.openxmlformats.org/officeDocument/2006/relationships/ctrlProp" Target="../ctrlProps/ctrlProp190.xml"/><Relationship Id="rId203" Type="http://schemas.openxmlformats.org/officeDocument/2006/relationships/ctrlProp" Target="../ctrlProps/ctrlProp194.xml"/><Relationship Id="rId19" Type="http://schemas.openxmlformats.org/officeDocument/2006/relationships/ctrlProp" Target="../ctrlProps/ctrlProp10.xml"/><Relationship Id="rId224" Type="http://schemas.openxmlformats.org/officeDocument/2006/relationships/ctrlProp" Target="../ctrlProps/ctrlProp215.xml"/><Relationship Id="rId245" Type="http://schemas.openxmlformats.org/officeDocument/2006/relationships/ctrlProp" Target="../ctrlProps/ctrlProp236.xml"/><Relationship Id="rId30" Type="http://schemas.openxmlformats.org/officeDocument/2006/relationships/ctrlProp" Target="../ctrlProps/ctrlProp21.xml"/><Relationship Id="rId105" Type="http://schemas.openxmlformats.org/officeDocument/2006/relationships/ctrlProp" Target="../ctrlProps/ctrlProp96.xml"/><Relationship Id="rId126" Type="http://schemas.openxmlformats.org/officeDocument/2006/relationships/ctrlProp" Target="../ctrlProps/ctrlProp117.xml"/><Relationship Id="rId147" Type="http://schemas.openxmlformats.org/officeDocument/2006/relationships/ctrlProp" Target="../ctrlProps/ctrlProp138.xml"/><Relationship Id="rId168" Type="http://schemas.openxmlformats.org/officeDocument/2006/relationships/ctrlProp" Target="../ctrlProps/ctrlProp159.xml"/><Relationship Id="rId51" Type="http://schemas.openxmlformats.org/officeDocument/2006/relationships/ctrlProp" Target="../ctrlProps/ctrlProp42.xml"/><Relationship Id="rId72" Type="http://schemas.openxmlformats.org/officeDocument/2006/relationships/ctrlProp" Target="../ctrlProps/ctrlProp63.xml"/><Relationship Id="rId93" Type="http://schemas.openxmlformats.org/officeDocument/2006/relationships/ctrlProp" Target="../ctrlProps/ctrlProp84.xml"/><Relationship Id="rId189" Type="http://schemas.openxmlformats.org/officeDocument/2006/relationships/ctrlProp" Target="../ctrlProps/ctrlProp180.xml"/><Relationship Id="rId3" Type="http://schemas.openxmlformats.org/officeDocument/2006/relationships/vmlDrawing" Target="../drawings/vmlDrawing2.vml"/><Relationship Id="rId214" Type="http://schemas.openxmlformats.org/officeDocument/2006/relationships/ctrlProp" Target="../ctrlProps/ctrlProp205.xml"/><Relationship Id="rId235" Type="http://schemas.openxmlformats.org/officeDocument/2006/relationships/ctrlProp" Target="../ctrlProps/ctrlProp226.xml"/><Relationship Id="rId256" Type="http://schemas.openxmlformats.org/officeDocument/2006/relationships/comments" Target="../comments1.xml"/><Relationship Id="rId116" Type="http://schemas.openxmlformats.org/officeDocument/2006/relationships/ctrlProp" Target="../ctrlProps/ctrlProp107.xml"/><Relationship Id="rId137" Type="http://schemas.openxmlformats.org/officeDocument/2006/relationships/ctrlProp" Target="../ctrlProps/ctrlProp128.xml"/><Relationship Id="rId158" Type="http://schemas.openxmlformats.org/officeDocument/2006/relationships/ctrlProp" Target="../ctrlProps/ctrlProp149.xml"/><Relationship Id="rId20" Type="http://schemas.openxmlformats.org/officeDocument/2006/relationships/ctrlProp" Target="../ctrlProps/ctrlProp11.xml"/><Relationship Id="rId41" Type="http://schemas.openxmlformats.org/officeDocument/2006/relationships/ctrlProp" Target="../ctrlProps/ctrlProp32.xml"/><Relationship Id="rId62" Type="http://schemas.openxmlformats.org/officeDocument/2006/relationships/ctrlProp" Target="../ctrlProps/ctrlProp53.xml"/><Relationship Id="rId83" Type="http://schemas.openxmlformats.org/officeDocument/2006/relationships/ctrlProp" Target="../ctrlProps/ctrlProp74.xml"/><Relationship Id="rId179" Type="http://schemas.openxmlformats.org/officeDocument/2006/relationships/ctrlProp" Target="../ctrlProps/ctrlProp170.xml"/><Relationship Id="rId190" Type="http://schemas.openxmlformats.org/officeDocument/2006/relationships/ctrlProp" Target="../ctrlProps/ctrlProp181.xml"/><Relationship Id="rId204" Type="http://schemas.openxmlformats.org/officeDocument/2006/relationships/ctrlProp" Target="../ctrlProps/ctrlProp195.xml"/><Relationship Id="rId225" Type="http://schemas.openxmlformats.org/officeDocument/2006/relationships/ctrlProp" Target="../ctrlProps/ctrlProp216.xml"/><Relationship Id="rId246" Type="http://schemas.openxmlformats.org/officeDocument/2006/relationships/ctrlProp" Target="../ctrlProps/ctrlProp237.xml"/><Relationship Id="rId106" Type="http://schemas.openxmlformats.org/officeDocument/2006/relationships/ctrlProp" Target="../ctrlProps/ctrlProp97.xml"/><Relationship Id="rId127" Type="http://schemas.openxmlformats.org/officeDocument/2006/relationships/ctrlProp" Target="../ctrlProps/ctrlProp118.xml"/><Relationship Id="rId10" Type="http://schemas.openxmlformats.org/officeDocument/2006/relationships/ctrlProp" Target="../ctrlProps/ctrlProp1.xml"/><Relationship Id="rId31" Type="http://schemas.openxmlformats.org/officeDocument/2006/relationships/ctrlProp" Target="../ctrlProps/ctrlProp22.xml"/><Relationship Id="rId52" Type="http://schemas.openxmlformats.org/officeDocument/2006/relationships/ctrlProp" Target="../ctrlProps/ctrlProp43.xml"/><Relationship Id="rId73" Type="http://schemas.openxmlformats.org/officeDocument/2006/relationships/ctrlProp" Target="../ctrlProps/ctrlProp64.xml"/><Relationship Id="rId94" Type="http://schemas.openxmlformats.org/officeDocument/2006/relationships/ctrlProp" Target="../ctrlProps/ctrlProp85.xml"/><Relationship Id="rId148" Type="http://schemas.openxmlformats.org/officeDocument/2006/relationships/ctrlProp" Target="../ctrlProps/ctrlProp139.xml"/><Relationship Id="rId169" Type="http://schemas.openxmlformats.org/officeDocument/2006/relationships/ctrlProp" Target="../ctrlProps/ctrlProp160.xml"/><Relationship Id="rId4" Type="http://schemas.openxmlformats.org/officeDocument/2006/relationships/control" Target="../activeX/activeX2.xml"/><Relationship Id="rId180" Type="http://schemas.openxmlformats.org/officeDocument/2006/relationships/ctrlProp" Target="../ctrlProps/ctrlProp171.xml"/><Relationship Id="rId215" Type="http://schemas.openxmlformats.org/officeDocument/2006/relationships/ctrlProp" Target="../ctrlProps/ctrlProp206.xml"/><Relationship Id="rId236" Type="http://schemas.openxmlformats.org/officeDocument/2006/relationships/ctrlProp" Target="../ctrlProps/ctrlProp227.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control" Target="../activeX/activeX27.xml"/><Relationship Id="rId50" Type="http://schemas.openxmlformats.org/officeDocument/2006/relationships/image" Target="../media/image24.emf"/><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10.xml"/><Relationship Id="rId29" Type="http://schemas.openxmlformats.org/officeDocument/2006/relationships/image" Target="../media/image14.emf"/><Relationship Id="rId11" Type="http://schemas.openxmlformats.org/officeDocument/2006/relationships/image" Target="../media/image7.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18.emf"/><Relationship Id="rId40" Type="http://schemas.openxmlformats.org/officeDocument/2006/relationships/control" Target="../activeX/activeX23.xml"/><Relationship Id="rId45" Type="http://schemas.openxmlformats.org/officeDocument/2006/relationships/control" Target="../activeX/activeX26.xml"/><Relationship Id="rId5" Type="http://schemas.openxmlformats.org/officeDocument/2006/relationships/drawing" Target="../drawings/drawing3.xml"/><Relationship Id="rId15" Type="http://schemas.openxmlformats.org/officeDocument/2006/relationships/control" Target="../activeX/activeX9.xml"/><Relationship Id="rId23" Type="http://schemas.openxmlformats.org/officeDocument/2006/relationships/image" Target="../media/image11.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control" Target="../activeX/activeX28.xml"/><Relationship Id="rId10" Type="http://schemas.openxmlformats.org/officeDocument/2006/relationships/control" Target="../activeX/activeX6.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image" Target="../media/image21.emf"/><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4.xml"/><Relationship Id="rId27" Type="http://schemas.openxmlformats.org/officeDocument/2006/relationships/image" Target="../media/image13.emf"/><Relationship Id="rId30" Type="http://schemas.openxmlformats.org/officeDocument/2006/relationships/control" Target="../activeX/activeX18.xml"/><Relationship Id="rId35" Type="http://schemas.openxmlformats.org/officeDocument/2006/relationships/image" Target="../media/image17.emf"/><Relationship Id="rId43" Type="http://schemas.openxmlformats.org/officeDocument/2006/relationships/control" Target="../activeX/activeX25.xml"/><Relationship Id="rId48" Type="http://schemas.openxmlformats.org/officeDocument/2006/relationships/image" Target="../media/image23.emf"/><Relationship Id="rId8" Type="http://schemas.openxmlformats.org/officeDocument/2006/relationships/control" Target="../activeX/activeX5.xml"/><Relationship Id="rId51" Type="http://schemas.openxmlformats.org/officeDocument/2006/relationships/control" Target="../activeX/activeX29.xml"/><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control" Target="../activeX/activeX11.xml"/><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2.xml"/><Relationship Id="rId46" Type="http://schemas.openxmlformats.org/officeDocument/2006/relationships/image" Target="../media/image22.emf"/><Relationship Id="rId20" Type="http://schemas.openxmlformats.org/officeDocument/2006/relationships/control" Target="../activeX/activeX13.xml"/><Relationship Id="rId41" Type="http://schemas.openxmlformats.org/officeDocument/2006/relationships/image" Target="../media/image20.emf"/><Relationship Id="rId1" Type="http://schemas.openxmlformats.org/officeDocument/2006/relationships/printerSettings" Target="../printerSettings/printerSettings3.bin"/><Relationship Id="rId6"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33.xml"/><Relationship Id="rId18" Type="http://schemas.openxmlformats.org/officeDocument/2006/relationships/image" Target="../media/image31.emf"/><Relationship Id="rId26" Type="http://schemas.openxmlformats.org/officeDocument/2006/relationships/control" Target="../activeX/activeX4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46.xml"/><Relationship Id="rId42" Type="http://schemas.openxmlformats.org/officeDocument/2006/relationships/control" Target="../activeX/activeX50.xml"/><Relationship Id="rId47" Type="http://schemas.openxmlformats.org/officeDocument/2006/relationships/control" Target="../activeX/activeX53.xml"/><Relationship Id="rId50" Type="http://schemas.openxmlformats.org/officeDocument/2006/relationships/image" Target="../media/image36.emf"/><Relationship Id="rId7" Type="http://schemas.openxmlformats.org/officeDocument/2006/relationships/control" Target="../activeX/activeX30.xml"/><Relationship Id="rId2" Type="http://schemas.openxmlformats.org/officeDocument/2006/relationships/customProperty" Target="../customProperty5.bin"/><Relationship Id="rId16" Type="http://schemas.openxmlformats.org/officeDocument/2006/relationships/control" Target="../activeX/activeX36.xml"/><Relationship Id="rId29" Type="http://schemas.openxmlformats.org/officeDocument/2006/relationships/image" Target="../media/image33.emf"/><Relationship Id="rId11" Type="http://schemas.openxmlformats.org/officeDocument/2006/relationships/control" Target="../activeX/activeX32.xml"/><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21.emf"/><Relationship Id="rId40" Type="http://schemas.openxmlformats.org/officeDocument/2006/relationships/control" Target="../activeX/activeX49.xml"/><Relationship Id="rId45" Type="http://schemas.openxmlformats.org/officeDocument/2006/relationships/control" Target="../activeX/activeX52.xml"/><Relationship Id="rId5" Type="http://schemas.openxmlformats.org/officeDocument/2006/relationships/vmlDrawing" Target="../drawings/vmlDrawing4.vml"/><Relationship Id="rId15" Type="http://schemas.openxmlformats.org/officeDocument/2006/relationships/control" Target="../activeX/activeX35.xml"/><Relationship Id="rId23" Type="http://schemas.openxmlformats.org/officeDocument/2006/relationships/image" Target="../media/image10.emf"/><Relationship Id="rId28" Type="http://schemas.openxmlformats.org/officeDocument/2006/relationships/control" Target="../activeX/activeX43.xml"/><Relationship Id="rId36" Type="http://schemas.openxmlformats.org/officeDocument/2006/relationships/control" Target="../activeX/activeX47.xml"/><Relationship Id="rId49" Type="http://schemas.openxmlformats.org/officeDocument/2006/relationships/control" Target="../activeX/activeX54.xml"/><Relationship Id="rId10" Type="http://schemas.openxmlformats.org/officeDocument/2006/relationships/image" Target="../media/image29.emf"/><Relationship Id="rId19" Type="http://schemas.openxmlformats.org/officeDocument/2006/relationships/control" Target="../activeX/activeX38.xml"/><Relationship Id="rId31" Type="http://schemas.openxmlformats.org/officeDocument/2006/relationships/image" Target="../media/image14.emf"/><Relationship Id="rId44" Type="http://schemas.openxmlformats.org/officeDocument/2006/relationships/control" Target="../activeX/activeX51.xml"/><Relationship Id="rId4" Type="http://schemas.openxmlformats.org/officeDocument/2006/relationships/drawing" Target="../drawings/drawing4.xml"/><Relationship Id="rId9" Type="http://schemas.openxmlformats.org/officeDocument/2006/relationships/control" Target="../activeX/activeX31.xml"/><Relationship Id="rId14" Type="http://schemas.openxmlformats.org/officeDocument/2006/relationships/control" Target="../activeX/activeX34.xml"/><Relationship Id="rId22" Type="http://schemas.openxmlformats.org/officeDocument/2006/relationships/control" Target="../activeX/activeX40.xml"/><Relationship Id="rId27" Type="http://schemas.openxmlformats.org/officeDocument/2006/relationships/image" Target="../media/image32.emf"/><Relationship Id="rId30" Type="http://schemas.openxmlformats.org/officeDocument/2006/relationships/control" Target="../activeX/activeX44.xml"/><Relationship Id="rId35" Type="http://schemas.openxmlformats.org/officeDocument/2006/relationships/image" Target="../media/image34.emf"/><Relationship Id="rId43" Type="http://schemas.openxmlformats.org/officeDocument/2006/relationships/image" Target="../media/image19.emf"/><Relationship Id="rId48" Type="http://schemas.openxmlformats.org/officeDocument/2006/relationships/image" Target="../media/image16.emf"/><Relationship Id="rId8" Type="http://schemas.openxmlformats.org/officeDocument/2006/relationships/image" Target="../media/image28.emf"/><Relationship Id="rId3" Type="http://schemas.openxmlformats.org/officeDocument/2006/relationships/customProperty" Target="../customProperty6.bin"/><Relationship Id="rId12" Type="http://schemas.openxmlformats.org/officeDocument/2006/relationships/image" Target="../media/image30.emf"/><Relationship Id="rId17" Type="http://schemas.openxmlformats.org/officeDocument/2006/relationships/control" Target="../activeX/activeX37.xml"/><Relationship Id="rId25" Type="http://schemas.openxmlformats.org/officeDocument/2006/relationships/image" Target="../media/image23.emf"/><Relationship Id="rId33" Type="http://schemas.openxmlformats.org/officeDocument/2006/relationships/image" Target="../media/image13.emf"/><Relationship Id="rId38" Type="http://schemas.openxmlformats.org/officeDocument/2006/relationships/control" Target="../activeX/activeX48.xml"/><Relationship Id="rId46" Type="http://schemas.openxmlformats.org/officeDocument/2006/relationships/image" Target="../media/image35.emf"/><Relationship Id="rId20" Type="http://schemas.openxmlformats.org/officeDocument/2006/relationships/control" Target="../activeX/activeX39.xml"/><Relationship Id="rId41" Type="http://schemas.openxmlformats.org/officeDocument/2006/relationships/image" Target="../media/image20.emf"/><Relationship Id="rId1" Type="http://schemas.openxmlformats.org/officeDocument/2006/relationships/printerSettings" Target="../printerSettings/printerSettings4.bin"/><Relationship Id="rId6" Type="http://schemas.openxmlformats.org/officeDocument/2006/relationships/image" Target="../media/image27.png"/></Relationships>
</file>

<file path=xl/worksheets/_rels/sheet5.xml.rels><?xml version="1.0" encoding="UTF-8" standalone="yes"?>
<Relationships xmlns="http://schemas.openxmlformats.org/package/2006/relationships"><Relationship Id="rId13" Type="http://schemas.openxmlformats.org/officeDocument/2006/relationships/image" Target="../media/image39.emf"/><Relationship Id="rId18" Type="http://schemas.openxmlformats.org/officeDocument/2006/relationships/control" Target="../activeX/activeX61.xml"/><Relationship Id="rId26" Type="http://schemas.openxmlformats.org/officeDocument/2006/relationships/control" Target="../activeX/activeX65.xml"/><Relationship Id="rId39" Type="http://schemas.openxmlformats.org/officeDocument/2006/relationships/control" Target="../activeX/activeX72.xml"/><Relationship Id="rId21" Type="http://schemas.openxmlformats.org/officeDocument/2006/relationships/image" Target="../media/image43.emf"/><Relationship Id="rId34" Type="http://schemas.openxmlformats.org/officeDocument/2006/relationships/image" Target="../media/image48.emf"/><Relationship Id="rId42" Type="http://schemas.openxmlformats.org/officeDocument/2006/relationships/control" Target="../activeX/activeX74.xml"/><Relationship Id="rId47" Type="http://schemas.openxmlformats.org/officeDocument/2006/relationships/control" Target="../activeX/activeX78.xml"/><Relationship Id="rId7" Type="http://schemas.openxmlformats.org/officeDocument/2006/relationships/image" Target="../media/image36.emf"/><Relationship Id="rId2" Type="http://schemas.openxmlformats.org/officeDocument/2006/relationships/customProperty" Target="../customProperty7.bin"/><Relationship Id="rId16" Type="http://schemas.openxmlformats.org/officeDocument/2006/relationships/control" Target="../activeX/activeX60.xml"/><Relationship Id="rId29" Type="http://schemas.openxmlformats.org/officeDocument/2006/relationships/image" Target="../media/image46.emf"/><Relationship Id="rId11" Type="http://schemas.openxmlformats.org/officeDocument/2006/relationships/image" Target="../media/image38.emf"/><Relationship Id="rId24" Type="http://schemas.openxmlformats.org/officeDocument/2006/relationships/control" Target="../activeX/activeX64.xml"/><Relationship Id="rId32" Type="http://schemas.openxmlformats.org/officeDocument/2006/relationships/image" Target="../media/image47.emf"/><Relationship Id="rId37" Type="http://schemas.openxmlformats.org/officeDocument/2006/relationships/control" Target="../activeX/activeX71.xml"/><Relationship Id="rId40" Type="http://schemas.openxmlformats.org/officeDocument/2006/relationships/control" Target="../activeX/activeX73.xml"/><Relationship Id="rId45" Type="http://schemas.openxmlformats.org/officeDocument/2006/relationships/image" Target="../media/image51.emf"/><Relationship Id="rId5" Type="http://schemas.openxmlformats.org/officeDocument/2006/relationships/image" Target="../media/image27.png"/><Relationship Id="rId15" Type="http://schemas.openxmlformats.org/officeDocument/2006/relationships/image" Target="../media/image40.emf"/><Relationship Id="rId23" Type="http://schemas.openxmlformats.org/officeDocument/2006/relationships/image" Target="../media/image44.emf"/><Relationship Id="rId28" Type="http://schemas.openxmlformats.org/officeDocument/2006/relationships/control" Target="../activeX/activeX66.xml"/><Relationship Id="rId36" Type="http://schemas.openxmlformats.org/officeDocument/2006/relationships/image" Target="../media/image49.emf"/><Relationship Id="rId49" Type="http://schemas.openxmlformats.org/officeDocument/2006/relationships/image" Target="../media/image52.emf"/><Relationship Id="rId10" Type="http://schemas.openxmlformats.org/officeDocument/2006/relationships/control" Target="../activeX/activeX57.xml"/><Relationship Id="rId19" Type="http://schemas.openxmlformats.org/officeDocument/2006/relationships/image" Target="../media/image42.emf"/><Relationship Id="rId31" Type="http://schemas.openxmlformats.org/officeDocument/2006/relationships/control" Target="../activeX/activeX68.xml"/><Relationship Id="rId44" Type="http://schemas.openxmlformats.org/officeDocument/2006/relationships/control" Target="../activeX/activeX76.xml"/><Relationship Id="rId4" Type="http://schemas.openxmlformats.org/officeDocument/2006/relationships/vmlDrawing" Target="../drawings/vmlDrawing5.vml"/><Relationship Id="rId9" Type="http://schemas.openxmlformats.org/officeDocument/2006/relationships/image" Target="../media/image37.emf"/><Relationship Id="rId14" Type="http://schemas.openxmlformats.org/officeDocument/2006/relationships/control" Target="../activeX/activeX59.xml"/><Relationship Id="rId22" Type="http://schemas.openxmlformats.org/officeDocument/2006/relationships/control" Target="../activeX/activeX63.xml"/><Relationship Id="rId27" Type="http://schemas.openxmlformats.org/officeDocument/2006/relationships/image" Target="../media/image14.emf"/><Relationship Id="rId30" Type="http://schemas.openxmlformats.org/officeDocument/2006/relationships/control" Target="../activeX/activeX67.xml"/><Relationship Id="rId35" Type="http://schemas.openxmlformats.org/officeDocument/2006/relationships/control" Target="../activeX/activeX70.xml"/><Relationship Id="rId43" Type="http://schemas.openxmlformats.org/officeDocument/2006/relationships/control" Target="../activeX/activeX75.xml"/><Relationship Id="rId48" Type="http://schemas.openxmlformats.org/officeDocument/2006/relationships/control" Target="../activeX/activeX79.xml"/><Relationship Id="rId8" Type="http://schemas.openxmlformats.org/officeDocument/2006/relationships/control" Target="../activeX/activeX56.xml"/><Relationship Id="rId3" Type="http://schemas.openxmlformats.org/officeDocument/2006/relationships/drawing" Target="../drawings/drawing5.xml"/><Relationship Id="rId12" Type="http://schemas.openxmlformats.org/officeDocument/2006/relationships/control" Target="../activeX/activeX58.xml"/><Relationship Id="rId17" Type="http://schemas.openxmlformats.org/officeDocument/2006/relationships/image" Target="../media/image41.emf"/><Relationship Id="rId25" Type="http://schemas.openxmlformats.org/officeDocument/2006/relationships/image" Target="../media/image45.emf"/><Relationship Id="rId33" Type="http://schemas.openxmlformats.org/officeDocument/2006/relationships/control" Target="../activeX/activeX69.xml"/><Relationship Id="rId38" Type="http://schemas.openxmlformats.org/officeDocument/2006/relationships/image" Target="../media/image31.emf"/><Relationship Id="rId46" Type="http://schemas.openxmlformats.org/officeDocument/2006/relationships/control" Target="../activeX/activeX77.xml"/><Relationship Id="rId20" Type="http://schemas.openxmlformats.org/officeDocument/2006/relationships/control" Target="../activeX/activeX62.xml"/><Relationship Id="rId41" Type="http://schemas.openxmlformats.org/officeDocument/2006/relationships/image" Target="../media/image50.emf"/><Relationship Id="rId1" Type="http://schemas.openxmlformats.org/officeDocument/2006/relationships/printerSettings" Target="../printerSettings/printerSettings5.bin"/><Relationship Id="rId6" Type="http://schemas.openxmlformats.org/officeDocument/2006/relationships/control" Target="../activeX/activeX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K140"/>
  <sheetViews>
    <sheetView workbookViewId="0"/>
  </sheetViews>
  <sheetFormatPr defaultRowHeight="15" x14ac:dyDescent="0.25"/>
  <sheetData>
    <row r="1" spans="1:4" x14ac:dyDescent="0.25">
      <c r="A1" t="s">
        <v>24</v>
      </c>
      <c r="B1" s="54"/>
    </row>
    <row r="2" spans="1:4" x14ac:dyDescent="0.25">
      <c r="A2" t="s">
        <v>25</v>
      </c>
      <c r="B2" s="55"/>
    </row>
    <row r="3" spans="1:4" x14ac:dyDescent="0.25">
      <c r="A3" t="s">
        <v>26</v>
      </c>
      <c r="C3" t="s">
        <v>27</v>
      </c>
      <c r="D3" t="s">
        <v>28</v>
      </c>
    </row>
    <row r="4" spans="1:4" x14ac:dyDescent="0.25">
      <c r="A4" t="s">
        <v>26</v>
      </c>
      <c r="B4" t="s">
        <v>29</v>
      </c>
      <c r="C4" t="s">
        <v>264</v>
      </c>
      <c r="D4" t="s">
        <v>264</v>
      </c>
    </row>
    <row r="5" spans="1:4" x14ac:dyDescent="0.25">
      <c r="A5" t="s">
        <v>26</v>
      </c>
      <c r="B5" t="s">
        <v>30</v>
      </c>
      <c r="C5" t="s">
        <v>264</v>
      </c>
      <c r="D5" t="s">
        <v>264</v>
      </c>
    </row>
    <row r="21" spans="1:193" x14ac:dyDescent="0.25">
      <c r="A21" t="s">
        <v>48</v>
      </c>
    </row>
    <row r="22" spans="1:193" x14ac:dyDescent="0.25">
      <c r="A22" t="s">
        <v>49</v>
      </c>
      <c r="B22" t="s">
        <v>252</v>
      </c>
    </row>
    <row r="23" spans="1:193" x14ac:dyDescent="0.25">
      <c r="A23" t="s">
        <v>50</v>
      </c>
      <c r="B23" t="s">
        <v>51</v>
      </c>
    </row>
    <row r="24" spans="1:193" x14ac:dyDescent="0.25">
      <c r="A24" t="s">
        <v>52</v>
      </c>
      <c r="B24" t="s">
        <v>53</v>
      </c>
    </row>
    <row r="25" spans="1:193" x14ac:dyDescent="0.25">
      <c r="A25" t="s">
        <v>54</v>
      </c>
      <c r="B25" t="s">
        <v>256</v>
      </c>
    </row>
    <row r="26" spans="1:193" x14ac:dyDescent="0.25">
      <c r="A26" t="s">
        <v>55</v>
      </c>
      <c r="B26" t="s">
        <v>56</v>
      </c>
    </row>
    <row r="27" spans="1:193" x14ac:dyDescent="0.25">
      <c r="A27" t="s">
        <v>57</v>
      </c>
      <c r="B27" t="s">
        <v>58</v>
      </c>
    </row>
    <row r="28" spans="1:193" ht="409.5" x14ac:dyDescent="0.25">
      <c r="A28" t="s">
        <v>59</v>
      </c>
      <c r="B28" s="54" t="s">
        <v>258</v>
      </c>
      <c r="C28" s="55" t="s">
        <v>60</v>
      </c>
    </row>
    <row r="29" spans="1:193" ht="409.5" x14ac:dyDescent="0.25">
      <c r="A29" t="s">
        <v>61</v>
      </c>
      <c r="B29" s="54" t="s">
        <v>257</v>
      </c>
      <c r="C29" s="54" t="s">
        <v>60</v>
      </c>
      <c r="D29" s="54" t="s">
        <v>259</v>
      </c>
      <c r="E29" s="54" t="s">
        <v>260</v>
      </c>
      <c r="F29" s="54" t="s">
        <v>261</v>
      </c>
      <c r="G29" s="54" t="s">
        <v>262</v>
      </c>
      <c r="H29" s="54" t="s">
        <v>263</v>
      </c>
      <c r="I29" s="54" t="s">
        <v>60</v>
      </c>
      <c r="J29" s="54" t="s">
        <v>69</v>
      </c>
      <c r="K29" s="54" t="s">
        <v>70</v>
      </c>
      <c r="L29" s="54" t="s">
        <v>71</v>
      </c>
      <c r="M29" s="54" t="s">
        <v>72</v>
      </c>
      <c r="N29" s="54" t="s">
        <v>73</v>
      </c>
      <c r="O29" s="54" t="s">
        <v>74</v>
      </c>
      <c r="P29" s="54" t="s">
        <v>75</v>
      </c>
      <c r="Q29" s="54" t="s">
        <v>76</v>
      </c>
      <c r="R29" s="54" t="s">
        <v>77</v>
      </c>
      <c r="S29" s="54" t="s">
        <v>78</v>
      </c>
      <c r="T29" s="54" t="s">
        <v>79</v>
      </c>
      <c r="U29" s="54" t="s">
        <v>80</v>
      </c>
      <c r="V29" s="54" t="s">
        <v>81</v>
      </c>
      <c r="W29" s="54" t="s">
        <v>82</v>
      </c>
      <c r="X29" s="54" t="s">
        <v>83</v>
      </c>
      <c r="Y29" s="54" t="s">
        <v>84</v>
      </c>
      <c r="Z29" s="54" t="s">
        <v>85</v>
      </c>
      <c r="AA29" s="54" t="s">
        <v>86</v>
      </c>
      <c r="AB29" s="54" t="s">
        <v>87</v>
      </c>
      <c r="AC29" s="54" t="s">
        <v>88</v>
      </c>
      <c r="AD29" s="54" t="s">
        <v>89</v>
      </c>
      <c r="AE29" s="54" t="s">
        <v>90</v>
      </c>
      <c r="AF29" s="54" t="s">
        <v>91</v>
      </c>
      <c r="AG29" s="54" t="s">
        <v>92</v>
      </c>
      <c r="AH29" s="54" t="s">
        <v>93</v>
      </c>
      <c r="AI29" s="54" t="s">
        <v>94</v>
      </c>
      <c r="AJ29" s="54" t="s">
        <v>95</v>
      </c>
      <c r="AK29" s="54" t="s">
        <v>96</v>
      </c>
      <c r="AL29" s="54" t="s">
        <v>97</v>
      </c>
      <c r="AM29" s="54" t="s">
        <v>98</v>
      </c>
      <c r="AN29" s="54" t="s">
        <v>99</v>
      </c>
      <c r="AO29" s="54" t="s">
        <v>100</v>
      </c>
      <c r="AP29" s="54" t="s">
        <v>101</v>
      </c>
      <c r="AQ29" s="54" t="s">
        <v>102</v>
      </c>
      <c r="AR29" s="54" t="s">
        <v>103</v>
      </c>
      <c r="AS29" s="54" t="s">
        <v>104</v>
      </c>
      <c r="AT29" s="54" t="s">
        <v>105</v>
      </c>
      <c r="AU29" s="54" t="s">
        <v>106</v>
      </c>
      <c r="AV29" s="54" t="s">
        <v>107</v>
      </c>
      <c r="AW29" s="54" t="s">
        <v>108</v>
      </c>
      <c r="AX29" s="54" t="s">
        <v>109</v>
      </c>
      <c r="AY29" s="54" t="s">
        <v>110</v>
      </c>
      <c r="AZ29" s="54" t="s">
        <v>111</v>
      </c>
      <c r="BA29" s="54" t="s">
        <v>112</v>
      </c>
      <c r="BB29" s="54" t="s">
        <v>113</v>
      </c>
      <c r="BC29" s="54" t="s">
        <v>114</v>
      </c>
      <c r="BD29" s="54" t="s">
        <v>115</v>
      </c>
      <c r="BE29" s="54" t="s">
        <v>116</v>
      </c>
      <c r="BF29" s="54" t="s">
        <v>117</v>
      </c>
      <c r="BG29" s="54" t="s">
        <v>118</v>
      </c>
      <c r="BH29" s="54" t="s">
        <v>119</v>
      </c>
      <c r="BI29" s="54" t="s">
        <v>120</v>
      </c>
      <c r="BJ29" s="54" t="s">
        <v>121</v>
      </c>
      <c r="BK29" s="54" t="s">
        <v>122</v>
      </c>
      <c r="BL29" s="54" t="s">
        <v>123</v>
      </c>
      <c r="BM29" s="54" t="s">
        <v>124</v>
      </c>
      <c r="BN29" s="54" t="s">
        <v>125</v>
      </c>
      <c r="BO29" s="54" t="s">
        <v>126</v>
      </c>
      <c r="BP29" s="54" t="s">
        <v>127</v>
      </c>
      <c r="BQ29" s="54" t="s">
        <v>128</v>
      </c>
      <c r="BR29" s="54" t="s">
        <v>129</v>
      </c>
      <c r="BS29" s="54" t="s">
        <v>130</v>
      </c>
      <c r="BT29" s="54" t="s">
        <v>131</v>
      </c>
      <c r="BU29" s="54" t="s">
        <v>132</v>
      </c>
      <c r="BV29" s="54" t="s">
        <v>133</v>
      </c>
      <c r="BW29" s="54" t="s">
        <v>134</v>
      </c>
      <c r="BX29" s="54" t="s">
        <v>135</v>
      </c>
      <c r="BY29" s="54" t="s">
        <v>136</v>
      </c>
      <c r="BZ29" s="54" t="s">
        <v>137</v>
      </c>
      <c r="CA29" s="54" t="s">
        <v>138</v>
      </c>
      <c r="CB29" s="54" t="s">
        <v>139</v>
      </c>
      <c r="CC29" s="54" t="s">
        <v>140</v>
      </c>
      <c r="CD29" s="54" t="s">
        <v>141</v>
      </c>
      <c r="CE29" s="54" t="s">
        <v>142</v>
      </c>
      <c r="CF29" s="54" t="s">
        <v>143</v>
      </c>
      <c r="CG29" s="54" t="s">
        <v>144</v>
      </c>
      <c r="CH29" s="54" t="s">
        <v>145</v>
      </c>
      <c r="CI29" s="54" t="s">
        <v>146</v>
      </c>
      <c r="CJ29" s="54" t="s">
        <v>147</v>
      </c>
      <c r="CK29" s="54" t="s">
        <v>148</v>
      </c>
      <c r="CL29" s="54" t="s">
        <v>149</v>
      </c>
      <c r="CM29" s="54" t="s">
        <v>150</v>
      </c>
      <c r="CN29" s="54" t="s">
        <v>151</v>
      </c>
      <c r="CO29" s="54" t="s">
        <v>152</v>
      </c>
      <c r="CP29" s="54" t="s">
        <v>153</v>
      </c>
      <c r="CQ29" s="54" t="s">
        <v>154</v>
      </c>
      <c r="CR29" s="54" t="s">
        <v>155</v>
      </c>
      <c r="CS29" s="54" t="s">
        <v>156</v>
      </c>
      <c r="CT29" s="54" t="s">
        <v>157</v>
      </c>
      <c r="CU29" s="54" t="s">
        <v>158</v>
      </c>
      <c r="CV29" s="54" t="s">
        <v>159</v>
      </c>
      <c r="CW29" s="54" t="s">
        <v>160</v>
      </c>
      <c r="CX29" s="54" t="s">
        <v>161</v>
      </c>
      <c r="CY29" s="54" t="s">
        <v>162</v>
      </c>
      <c r="CZ29" s="54" t="s">
        <v>163</v>
      </c>
      <c r="DA29" s="54" t="s">
        <v>164</v>
      </c>
      <c r="DB29" s="54" t="s">
        <v>165</v>
      </c>
      <c r="DC29" s="54" t="s">
        <v>166</v>
      </c>
      <c r="DD29" s="54" t="s">
        <v>167</v>
      </c>
      <c r="DE29" s="54" t="s">
        <v>168</v>
      </c>
      <c r="DF29" s="54" t="s">
        <v>169</v>
      </c>
      <c r="DG29" s="54" t="s">
        <v>170</v>
      </c>
      <c r="DH29" s="54" t="s">
        <v>171</v>
      </c>
      <c r="DI29" s="54" t="s">
        <v>172</v>
      </c>
      <c r="DJ29" s="54" t="s">
        <v>173</v>
      </c>
      <c r="DK29" s="54" t="s">
        <v>174</v>
      </c>
      <c r="DL29" s="54" t="s">
        <v>175</v>
      </c>
      <c r="DM29" s="54" t="s">
        <v>176</v>
      </c>
      <c r="DN29" s="54" t="s">
        <v>177</v>
      </c>
      <c r="DO29" s="54" t="s">
        <v>178</v>
      </c>
      <c r="DP29" s="54" t="s">
        <v>179</v>
      </c>
      <c r="DQ29" s="54" t="s">
        <v>180</v>
      </c>
      <c r="DR29" s="54" t="s">
        <v>181</v>
      </c>
      <c r="DS29" s="54" t="s">
        <v>182</v>
      </c>
      <c r="DT29" s="54" t="s">
        <v>183</v>
      </c>
      <c r="DU29" s="54" t="s">
        <v>184</v>
      </c>
      <c r="DV29" s="54" t="s">
        <v>185</v>
      </c>
      <c r="DW29" s="54" t="s">
        <v>186</v>
      </c>
      <c r="DX29" s="54" t="s">
        <v>187</v>
      </c>
      <c r="DY29" s="54" t="s">
        <v>188</v>
      </c>
      <c r="DZ29" s="54" t="s">
        <v>189</v>
      </c>
      <c r="EA29" s="54" t="s">
        <v>190</v>
      </c>
      <c r="EB29" s="54" t="s">
        <v>191</v>
      </c>
      <c r="EC29" s="54" t="s">
        <v>192</v>
      </c>
      <c r="ED29" s="54" t="s">
        <v>193</v>
      </c>
      <c r="EE29" s="54" t="s">
        <v>194</v>
      </c>
      <c r="EF29" s="54" t="s">
        <v>195</v>
      </c>
      <c r="EG29" s="54" t="s">
        <v>196</v>
      </c>
      <c r="EH29" s="54" t="s">
        <v>197</v>
      </c>
      <c r="EI29" s="54" t="s">
        <v>198</v>
      </c>
      <c r="EJ29" s="54" t="s">
        <v>199</v>
      </c>
      <c r="EK29" s="54" t="s">
        <v>200</v>
      </c>
      <c r="EL29" s="54" t="s">
        <v>201</v>
      </c>
      <c r="EM29" s="54" t="s">
        <v>202</v>
      </c>
      <c r="EN29" s="54" t="s">
        <v>203</v>
      </c>
      <c r="EO29" s="54" t="s">
        <v>204</v>
      </c>
      <c r="EP29" s="54" t="s">
        <v>205</v>
      </c>
      <c r="EQ29" s="54" t="s">
        <v>206</v>
      </c>
      <c r="ER29" s="54" t="s">
        <v>207</v>
      </c>
      <c r="ES29" s="54" t="s">
        <v>208</v>
      </c>
      <c r="ET29" s="54" t="s">
        <v>209</v>
      </c>
      <c r="EU29" s="54" t="s">
        <v>210</v>
      </c>
      <c r="EV29" s="54" t="s">
        <v>211</v>
      </c>
      <c r="EW29" s="54" t="s">
        <v>212</v>
      </c>
      <c r="EX29" s="54" t="s">
        <v>213</v>
      </c>
      <c r="EY29" s="54" t="s">
        <v>214</v>
      </c>
      <c r="EZ29" s="54" t="s">
        <v>215</v>
      </c>
      <c r="FA29" s="54" t="s">
        <v>216</v>
      </c>
      <c r="FB29" s="54" t="s">
        <v>217</v>
      </c>
      <c r="FC29" s="54" t="s">
        <v>218</v>
      </c>
      <c r="FD29" s="54" t="s">
        <v>219</v>
      </c>
      <c r="FE29" s="54" t="s">
        <v>220</v>
      </c>
      <c r="FF29" s="54" t="s">
        <v>221</v>
      </c>
      <c r="FG29" s="54" t="s">
        <v>222</v>
      </c>
      <c r="FH29" s="54" t="s">
        <v>223</v>
      </c>
      <c r="FI29" s="54" t="s">
        <v>224</v>
      </c>
      <c r="FJ29" s="54" t="s">
        <v>225</v>
      </c>
      <c r="FK29" s="54" t="s">
        <v>226</v>
      </c>
      <c r="FL29" s="54" t="s">
        <v>227</v>
      </c>
      <c r="FM29" s="54" t="s">
        <v>228</v>
      </c>
      <c r="FN29" s="54" t="s">
        <v>229</v>
      </c>
      <c r="FO29" s="54" t="s">
        <v>230</v>
      </c>
      <c r="FP29" s="54" t="s">
        <v>231</v>
      </c>
      <c r="FQ29" s="54" t="s">
        <v>232</v>
      </c>
      <c r="FR29" s="54" t="s">
        <v>233</v>
      </c>
      <c r="FS29" s="54" t="s">
        <v>234</v>
      </c>
      <c r="FT29" s="54" t="s">
        <v>235</v>
      </c>
      <c r="FU29" s="54" t="s">
        <v>236</v>
      </c>
      <c r="FV29" s="54" t="s">
        <v>237</v>
      </c>
      <c r="FW29" s="54" t="s">
        <v>238</v>
      </c>
      <c r="FX29" s="54" t="s">
        <v>239</v>
      </c>
      <c r="FY29" s="54" t="s">
        <v>240</v>
      </c>
      <c r="FZ29" s="54" t="s">
        <v>241</v>
      </c>
      <c r="GA29" s="54" t="s">
        <v>242</v>
      </c>
      <c r="GB29" s="54" t="s">
        <v>243</v>
      </c>
      <c r="GC29" s="54" t="s">
        <v>244</v>
      </c>
      <c r="GD29" s="54" t="s">
        <v>245</v>
      </c>
      <c r="GE29" s="54" t="s">
        <v>246</v>
      </c>
      <c r="GF29" s="54" t="s">
        <v>247</v>
      </c>
      <c r="GG29" s="54" t="s">
        <v>248</v>
      </c>
      <c r="GH29" s="54" t="s">
        <v>249</v>
      </c>
      <c r="GI29" s="54" t="s">
        <v>250</v>
      </c>
      <c r="GJ29" s="54" t="s">
        <v>251</v>
      </c>
      <c r="GK29" s="55" t="s">
        <v>60</v>
      </c>
    </row>
    <row r="30" spans="1:193" x14ac:dyDescent="0.25">
      <c r="A30" t="s">
        <v>62</v>
      </c>
      <c r="B30" t="s">
        <v>53</v>
      </c>
    </row>
    <row r="31" spans="1:193" x14ac:dyDescent="0.25">
      <c r="A31" t="s">
        <v>63</v>
      </c>
      <c r="B31" t="s">
        <v>53</v>
      </c>
    </row>
    <row r="32" spans="1:193" x14ac:dyDescent="0.25">
      <c r="A32" t="s">
        <v>64</v>
      </c>
      <c r="B32" t="s">
        <v>53</v>
      </c>
    </row>
    <row r="33" spans="1:2" x14ac:dyDescent="0.25">
      <c r="A33" t="s">
        <v>65</v>
      </c>
      <c r="B33" t="s">
        <v>66</v>
      </c>
    </row>
    <row r="34" spans="1:2" x14ac:dyDescent="0.25">
      <c r="A34" t="s">
        <v>67</v>
      </c>
      <c r="B34" t="s">
        <v>68</v>
      </c>
    </row>
    <row r="50" spans="1:4" x14ac:dyDescent="0.25">
      <c r="A50" t="s">
        <v>41</v>
      </c>
    </row>
    <row r="51" spans="1:4" x14ac:dyDescent="0.25">
      <c r="A51" t="s">
        <v>42</v>
      </c>
    </row>
    <row r="52" spans="1:4" x14ac:dyDescent="0.25">
      <c r="A52" t="s">
        <v>43</v>
      </c>
      <c r="C52" t="s">
        <v>27</v>
      </c>
      <c r="D52" t="s">
        <v>28</v>
      </c>
    </row>
    <row r="53" spans="1:4" x14ac:dyDescent="0.25">
      <c r="A53" t="s">
        <v>43</v>
      </c>
      <c r="B53" t="s">
        <v>29</v>
      </c>
      <c r="C53">
        <v>1</v>
      </c>
      <c r="D53">
        <v>2</v>
      </c>
    </row>
    <row r="54" spans="1:4" x14ac:dyDescent="0.25">
      <c r="A54" t="s">
        <v>43</v>
      </c>
      <c r="B54" t="s">
        <v>30</v>
      </c>
      <c r="C54">
        <v>3</v>
      </c>
      <c r="D54">
        <v>4</v>
      </c>
    </row>
    <row r="64" spans="1:4" x14ac:dyDescent="0.25">
      <c r="A64" t="s">
        <v>278</v>
      </c>
    </row>
    <row r="65" spans="1:4" x14ac:dyDescent="0.25">
      <c r="A65" t="s">
        <v>279</v>
      </c>
    </row>
    <row r="66" spans="1:4" x14ac:dyDescent="0.25">
      <c r="A66" t="s">
        <v>280</v>
      </c>
      <c r="C66" t="s">
        <v>27</v>
      </c>
      <c r="D66" t="s">
        <v>28</v>
      </c>
    </row>
    <row r="67" spans="1:4" x14ac:dyDescent="0.25">
      <c r="A67" t="s">
        <v>280</v>
      </c>
      <c r="B67" t="s">
        <v>29</v>
      </c>
      <c r="C67" t="s">
        <v>264</v>
      </c>
      <c r="D67" t="s">
        <v>264</v>
      </c>
    </row>
    <row r="68" spans="1:4" x14ac:dyDescent="0.25">
      <c r="A68" t="s">
        <v>280</v>
      </c>
      <c r="B68" t="s">
        <v>30</v>
      </c>
      <c r="C68" t="s">
        <v>264</v>
      </c>
      <c r="D68" t="s">
        <v>264</v>
      </c>
    </row>
    <row r="84" spans="1:5" x14ac:dyDescent="0.25">
      <c r="A84" t="s">
        <v>281</v>
      </c>
    </row>
    <row r="85" spans="1:5" x14ac:dyDescent="0.25">
      <c r="A85" t="s">
        <v>49</v>
      </c>
      <c r="B85" t="s">
        <v>287</v>
      </c>
    </row>
    <row r="86" spans="1:5" x14ac:dyDescent="0.25">
      <c r="A86" t="s">
        <v>50</v>
      </c>
      <c r="B86" t="s">
        <v>51</v>
      </c>
    </row>
    <row r="87" spans="1:5" x14ac:dyDescent="0.25">
      <c r="A87" t="s">
        <v>52</v>
      </c>
      <c r="B87" t="s">
        <v>53</v>
      </c>
    </row>
    <row r="88" spans="1:5" x14ac:dyDescent="0.25">
      <c r="A88" t="s">
        <v>54</v>
      </c>
      <c r="B88" t="s">
        <v>371</v>
      </c>
    </row>
    <row r="89" spans="1:5" x14ac:dyDescent="0.25">
      <c r="A89" t="s">
        <v>55</v>
      </c>
      <c r="B89" t="s">
        <v>56</v>
      </c>
    </row>
    <row r="90" spans="1:5" x14ac:dyDescent="0.25">
      <c r="A90" t="s">
        <v>57</v>
      </c>
      <c r="B90" t="s">
        <v>58</v>
      </c>
    </row>
    <row r="91" spans="1:5" ht="409.5" x14ac:dyDescent="0.25">
      <c r="A91" t="s">
        <v>59</v>
      </c>
      <c r="B91" s="54" t="s">
        <v>282</v>
      </c>
      <c r="C91" s="55" t="s">
        <v>60</v>
      </c>
    </row>
    <row r="92" spans="1:5" ht="409.5" x14ac:dyDescent="0.25">
      <c r="A92" t="s">
        <v>61</v>
      </c>
      <c r="B92" s="54" t="s">
        <v>372</v>
      </c>
      <c r="C92" s="54" t="s">
        <v>373</v>
      </c>
      <c r="D92" s="54" t="s">
        <v>374</v>
      </c>
      <c r="E92" s="55" t="s">
        <v>60</v>
      </c>
    </row>
    <row r="93" spans="1:5" x14ac:dyDescent="0.25">
      <c r="A93" t="s">
        <v>62</v>
      </c>
      <c r="B93" t="s">
        <v>53</v>
      </c>
    </row>
    <row r="94" spans="1:5" x14ac:dyDescent="0.25">
      <c r="A94" t="s">
        <v>63</v>
      </c>
      <c r="B94" t="s">
        <v>53</v>
      </c>
    </row>
    <row r="95" spans="1:5" x14ac:dyDescent="0.25">
      <c r="A95" t="s">
        <v>64</v>
      </c>
      <c r="B95" t="s">
        <v>53</v>
      </c>
    </row>
    <row r="96" spans="1:5" x14ac:dyDescent="0.25">
      <c r="A96" t="s">
        <v>65</v>
      </c>
      <c r="B96" t="s">
        <v>287</v>
      </c>
    </row>
    <row r="97" spans="1:82" x14ac:dyDescent="0.25">
      <c r="A97" t="s">
        <v>67</v>
      </c>
      <c r="B97" t="s">
        <v>68</v>
      </c>
    </row>
    <row r="107" spans="1:82" ht="390" x14ac:dyDescent="0.25">
      <c r="A107" t="s">
        <v>283</v>
      </c>
      <c r="B107" s="54" t="s">
        <v>290</v>
      </c>
    </row>
    <row r="108" spans="1:82" x14ac:dyDescent="0.25">
      <c r="A108" t="s">
        <v>284</v>
      </c>
    </row>
    <row r="109" spans="1:82" x14ac:dyDescent="0.25">
      <c r="A109" t="s">
        <v>285</v>
      </c>
      <c r="C109" t="s">
        <v>291</v>
      </c>
      <c r="D109" t="s">
        <v>292</v>
      </c>
      <c r="E109" t="s">
        <v>293</v>
      </c>
      <c r="F109" t="s">
        <v>294</v>
      </c>
      <c r="G109" t="s">
        <v>295</v>
      </c>
      <c r="H109" t="s">
        <v>296</v>
      </c>
      <c r="I109" t="s">
        <v>297</v>
      </c>
      <c r="J109" t="s">
        <v>298</v>
      </c>
      <c r="K109" t="s">
        <v>299</v>
      </c>
      <c r="L109" t="s">
        <v>300</v>
      </c>
      <c r="M109" t="s">
        <v>301</v>
      </c>
      <c r="N109" t="s">
        <v>302</v>
      </c>
      <c r="O109" t="s">
        <v>303</v>
      </c>
      <c r="P109" t="s">
        <v>304</v>
      </c>
      <c r="Q109" t="s">
        <v>305</v>
      </c>
      <c r="R109" t="s">
        <v>306</v>
      </c>
      <c r="S109" t="s">
        <v>307</v>
      </c>
      <c r="T109" t="s">
        <v>308</v>
      </c>
      <c r="U109" t="s">
        <v>309</v>
      </c>
      <c r="V109" t="s">
        <v>310</v>
      </c>
      <c r="W109" t="s">
        <v>311</v>
      </c>
      <c r="X109" t="s">
        <v>312</v>
      </c>
      <c r="Y109" t="s">
        <v>313</v>
      </c>
      <c r="Z109" t="s">
        <v>314</v>
      </c>
      <c r="AA109" t="s">
        <v>315</v>
      </c>
      <c r="AB109" t="s">
        <v>316</v>
      </c>
      <c r="AC109" t="s">
        <v>317</v>
      </c>
      <c r="AD109" t="s">
        <v>318</v>
      </c>
      <c r="AE109" t="s">
        <v>319</v>
      </c>
      <c r="AF109" t="s">
        <v>320</v>
      </c>
      <c r="AG109" t="s">
        <v>321</v>
      </c>
      <c r="AH109" t="s">
        <v>322</v>
      </c>
      <c r="AI109" t="s">
        <v>323</v>
      </c>
      <c r="AJ109" t="s">
        <v>324</v>
      </c>
      <c r="AK109" t="s">
        <v>325</v>
      </c>
      <c r="AL109" t="s">
        <v>326</v>
      </c>
      <c r="AM109" t="s">
        <v>327</v>
      </c>
      <c r="AN109" t="s">
        <v>328</v>
      </c>
      <c r="AO109" t="s">
        <v>329</v>
      </c>
      <c r="AP109" t="s">
        <v>330</v>
      </c>
      <c r="AQ109" t="s">
        <v>331</v>
      </c>
      <c r="AR109" t="s">
        <v>332</v>
      </c>
      <c r="AS109" t="s">
        <v>333</v>
      </c>
      <c r="AT109" t="s">
        <v>334</v>
      </c>
      <c r="AU109" t="s">
        <v>335</v>
      </c>
      <c r="AV109" t="s">
        <v>336</v>
      </c>
      <c r="AW109" t="s">
        <v>337</v>
      </c>
      <c r="AX109" t="s">
        <v>338</v>
      </c>
      <c r="AY109" t="s">
        <v>339</v>
      </c>
      <c r="AZ109" t="s">
        <v>340</v>
      </c>
      <c r="BA109" t="s">
        <v>341</v>
      </c>
      <c r="BB109" t="s">
        <v>342</v>
      </c>
      <c r="BC109" t="s">
        <v>343</v>
      </c>
      <c r="BD109" t="s">
        <v>344</v>
      </c>
      <c r="BE109" t="s">
        <v>345</v>
      </c>
      <c r="BF109" t="s">
        <v>346</v>
      </c>
      <c r="BG109" t="s">
        <v>347</v>
      </c>
      <c r="BH109" t="s">
        <v>348</v>
      </c>
      <c r="BI109" t="s">
        <v>349</v>
      </c>
      <c r="BJ109" t="s">
        <v>350</v>
      </c>
      <c r="BK109" t="s">
        <v>351</v>
      </c>
      <c r="BL109" t="s">
        <v>352</v>
      </c>
      <c r="BM109" t="s">
        <v>353</v>
      </c>
      <c r="BN109" t="s">
        <v>354</v>
      </c>
      <c r="BO109" t="s">
        <v>355</v>
      </c>
      <c r="BP109" t="s">
        <v>356</v>
      </c>
      <c r="BQ109" t="s">
        <v>357</v>
      </c>
      <c r="BR109" t="s">
        <v>358</v>
      </c>
      <c r="BS109" t="s">
        <v>359</v>
      </c>
      <c r="BT109" t="s">
        <v>360</v>
      </c>
      <c r="BU109" t="s">
        <v>361</v>
      </c>
      <c r="BV109" t="s">
        <v>362</v>
      </c>
      <c r="BW109" t="s">
        <v>363</v>
      </c>
      <c r="BX109" t="s">
        <v>364</v>
      </c>
      <c r="BY109" t="s">
        <v>365</v>
      </c>
      <c r="BZ109" t="s">
        <v>366</v>
      </c>
      <c r="CA109" t="s">
        <v>367</v>
      </c>
      <c r="CB109" t="s">
        <v>368</v>
      </c>
      <c r="CC109" t="s">
        <v>378</v>
      </c>
      <c r="CD109" t="s">
        <v>379</v>
      </c>
    </row>
    <row r="110" spans="1:82" x14ac:dyDescent="0.25">
      <c r="A110" t="s">
        <v>285</v>
      </c>
      <c r="B110" t="s">
        <v>369</v>
      </c>
      <c r="C110">
        <v>472906.40393999999</v>
      </c>
      <c r="D110">
        <v>472906.40393999999</v>
      </c>
      <c r="E110">
        <v>591133.00492600002</v>
      </c>
      <c r="F110">
        <v>591133.00492600002</v>
      </c>
      <c r="G110">
        <v>591133.00492600002</v>
      </c>
      <c r="H110">
        <v>472906.40393999999</v>
      </c>
      <c r="I110">
        <v>591133.00492600002</v>
      </c>
      <c r="J110">
        <v>591133.00492600002</v>
      </c>
      <c r="K110">
        <v>591133.00492600002</v>
      </c>
      <c r="L110">
        <v>472906.40393999999</v>
      </c>
      <c r="M110">
        <v>591133.00492600002</v>
      </c>
      <c r="N110">
        <v>591133.00492600002</v>
      </c>
      <c r="O110">
        <v>591133.00492600002</v>
      </c>
      <c r="P110">
        <v>591133.00492600002</v>
      </c>
      <c r="Q110">
        <v>591133.00492600002</v>
      </c>
      <c r="R110">
        <v>591133.00492600002</v>
      </c>
      <c r="S110">
        <v>591133.00492600002</v>
      </c>
      <c r="T110">
        <v>591133.00492600002</v>
      </c>
      <c r="U110">
        <v>591133.00492600002</v>
      </c>
      <c r="V110">
        <v>591133.00492600002</v>
      </c>
      <c r="W110">
        <v>591133.00492600002</v>
      </c>
      <c r="X110">
        <v>591133.00492600002</v>
      </c>
      <c r="Y110">
        <v>472906.40393999999</v>
      </c>
      <c r="Z110">
        <v>591133.00492600002</v>
      </c>
      <c r="AA110">
        <v>591133.00492600002</v>
      </c>
      <c r="AB110">
        <v>591133.00492600002</v>
      </c>
      <c r="AC110">
        <v>591133.00492600002</v>
      </c>
      <c r="AD110">
        <v>591133.00492600002</v>
      </c>
      <c r="AE110">
        <v>591133.00492600002</v>
      </c>
      <c r="AF110">
        <v>591133.00492600002</v>
      </c>
      <c r="AG110">
        <v>591133.00492600002</v>
      </c>
      <c r="AH110">
        <v>591133.00492600002</v>
      </c>
      <c r="AI110">
        <v>591133.00492600002</v>
      </c>
      <c r="AJ110">
        <v>591133.00492600002</v>
      </c>
      <c r="AK110">
        <v>591133.00492600002</v>
      </c>
      <c r="AL110">
        <v>591133.00492600002</v>
      </c>
      <c r="AM110">
        <v>591133.00492600002</v>
      </c>
      <c r="AN110">
        <v>591133.00492600002</v>
      </c>
      <c r="AO110">
        <v>591133.00492600002</v>
      </c>
      <c r="AP110">
        <v>354679.80295500002</v>
      </c>
      <c r="AQ110">
        <v>472906.40393999999</v>
      </c>
      <c r="AR110">
        <v>591133.00492600002</v>
      </c>
      <c r="AS110">
        <v>591133.00492600002</v>
      </c>
      <c r="AT110">
        <v>591133.00492600002</v>
      </c>
      <c r="AU110">
        <v>591133.00492600002</v>
      </c>
      <c r="AV110">
        <v>591133.00492600002</v>
      </c>
      <c r="AW110">
        <v>591133.00492600002</v>
      </c>
      <c r="AX110">
        <v>591133.00492600002</v>
      </c>
      <c r="AY110">
        <v>591133.00492600002</v>
      </c>
      <c r="AZ110">
        <v>591133.00492600002</v>
      </c>
      <c r="BA110">
        <v>591133.00492600002</v>
      </c>
      <c r="BB110">
        <v>591133.00492600002</v>
      </c>
      <c r="BC110">
        <v>591133.00492600002</v>
      </c>
      <c r="BD110">
        <v>591133.00492600002</v>
      </c>
      <c r="BE110">
        <v>472906.40393999999</v>
      </c>
      <c r="BF110">
        <v>472906.40393999999</v>
      </c>
      <c r="BG110">
        <v>591133.00492600002</v>
      </c>
      <c r="BH110">
        <v>472906.40393999999</v>
      </c>
      <c r="BI110">
        <v>591133.00492600002</v>
      </c>
      <c r="BJ110">
        <v>591133.00492600002</v>
      </c>
      <c r="BK110">
        <v>591133.00492600002</v>
      </c>
      <c r="BL110">
        <v>472906.40393999999</v>
      </c>
      <c r="BM110">
        <v>591133.00492600002</v>
      </c>
      <c r="BN110">
        <v>591133.00492600002</v>
      </c>
      <c r="BO110">
        <v>591133.00492600002</v>
      </c>
      <c r="BP110">
        <v>591133.00492600002</v>
      </c>
      <c r="BQ110">
        <v>591133.00492600002</v>
      </c>
      <c r="BR110">
        <v>591133.00492600002</v>
      </c>
      <c r="BS110">
        <v>591133.00492600002</v>
      </c>
      <c r="BT110">
        <v>591133.00492600002</v>
      </c>
      <c r="BU110">
        <v>591133.00492600002</v>
      </c>
      <c r="BV110">
        <v>591133.00492600002</v>
      </c>
      <c r="BW110">
        <v>591133.00492600002</v>
      </c>
      <c r="BX110">
        <v>591133.00492600002</v>
      </c>
      <c r="BY110">
        <v>472906.40393999999</v>
      </c>
      <c r="BZ110">
        <v>591133.00492600002</v>
      </c>
      <c r="CA110">
        <v>591133.00492600002</v>
      </c>
      <c r="CB110">
        <v>591133.00492600002</v>
      </c>
      <c r="CC110">
        <v>0</v>
      </c>
      <c r="CD110">
        <v>0</v>
      </c>
    </row>
    <row r="111" spans="1:82" x14ac:dyDescent="0.25">
      <c r="A111" t="s">
        <v>285</v>
      </c>
      <c r="B111" t="s">
        <v>370</v>
      </c>
      <c r="C111">
        <v>4167662.3378929994</v>
      </c>
      <c r="D111">
        <v>302734.165889</v>
      </c>
      <c r="E111">
        <v>208477.794043</v>
      </c>
      <c r="F111">
        <v>173519.838315</v>
      </c>
      <c r="G111">
        <v>415894.67957099999</v>
      </c>
      <c r="H111">
        <v>319421.96545800002</v>
      </c>
      <c r="I111">
        <v>145996.49475799999</v>
      </c>
      <c r="J111">
        <v>227502.99392799998</v>
      </c>
      <c r="K111">
        <v>173633.09128000002</v>
      </c>
      <c r="L111">
        <v>303565.41485299997</v>
      </c>
      <c r="M111">
        <v>339523.25247299997</v>
      </c>
      <c r="N111">
        <v>371412.43667199998</v>
      </c>
      <c r="O111">
        <v>419148.32694799994</v>
      </c>
      <c r="P111">
        <v>314933.86882099998</v>
      </c>
      <c r="Q111">
        <v>397662.89606299996</v>
      </c>
      <c r="R111">
        <v>435244.84278000006</v>
      </c>
      <c r="S111">
        <v>424459.89175000001</v>
      </c>
      <c r="T111">
        <v>305906.47325599997</v>
      </c>
      <c r="U111">
        <v>340293.64617900003</v>
      </c>
      <c r="V111">
        <v>392924.71607000002</v>
      </c>
      <c r="W111">
        <v>332328.77879399998</v>
      </c>
      <c r="X111">
        <v>309588.66934799997</v>
      </c>
      <c r="Y111">
        <v>345018.97463900002</v>
      </c>
      <c r="Z111">
        <v>415530.17896599992</v>
      </c>
      <c r="AA111">
        <v>455199.78959800006</v>
      </c>
      <c r="AB111">
        <v>306916.50401099998</v>
      </c>
      <c r="AC111">
        <v>364560.49426199996</v>
      </c>
      <c r="AD111">
        <v>325573.04892700003</v>
      </c>
      <c r="AE111">
        <v>394806.00690700003</v>
      </c>
      <c r="AF111">
        <v>568967.60253199993</v>
      </c>
      <c r="AG111">
        <v>489350.18496199994</v>
      </c>
      <c r="AH111">
        <v>307585.93787999998</v>
      </c>
      <c r="AI111">
        <v>422431.45717900008</v>
      </c>
      <c r="AJ111">
        <v>420740.0316840001</v>
      </c>
      <c r="AK111">
        <v>352510.14002699993</v>
      </c>
      <c r="AL111">
        <v>591133.00492600014</v>
      </c>
      <c r="AM111">
        <v>677707.42492600007</v>
      </c>
      <c r="AN111">
        <v>571994.6034410001</v>
      </c>
      <c r="AO111">
        <v>103985.94626099999</v>
      </c>
      <c r="AP111">
        <v>258629.28904099995</v>
      </c>
      <c r="AQ111">
        <v>258629.28904099995</v>
      </c>
      <c r="AR111">
        <v>258644.71007099995</v>
      </c>
      <c r="AS111">
        <v>274221.65057</v>
      </c>
      <c r="AT111">
        <v>301683.52622200001</v>
      </c>
      <c r="AU111">
        <v>301688.81138600002</v>
      </c>
      <c r="AV111">
        <v>301888.995925</v>
      </c>
      <c r="AW111">
        <v>306485.51739500003</v>
      </c>
      <c r="AX111">
        <v>308620.750634</v>
      </c>
      <c r="AY111">
        <v>308620.750634</v>
      </c>
      <c r="AZ111">
        <v>308620.750634</v>
      </c>
      <c r="BA111">
        <v>308553.78135</v>
      </c>
      <c r="BB111">
        <v>269907.78974500002</v>
      </c>
      <c r="BC111">
        <v>212997.79004499997</v>
      </c>
      <c r="BD111">
        <v>212997.79004499997</v>
      </c>
      <c r="BE111">
        <v>213009.24720199994</v>
      </c>
      <c r="BF111">
        <v>230235.180784</v>
      </c>
      <c r="BG111">
        <v>259500.68224499997</v>
      </c>
      <c r="BH111">
        <v>259500.68224499997</v>
      </c>
      <c r="BI111">
        <v>259531.74153599999</v>
      </c>
      <c r="BJ111">
        <v>269475.52224100003</v>
      </c>
      <c r="BK111">
        <v>285103.76790099998</v>
      </c>
      <c r="BL111">
        <v>285103.76790099998</v>
      </c>
      <c r="BM111">
        <v>285103.76790099998</v>
      </c>
      <c r="BN111">
        <v>285153.99486400001</v>
      </c>
      <c r="BO111">
        <v>307581.91722899996</v>
      </c>
      <c r="BP111">
        <v>341530.36738800001</v>
      </c>
      <c r="BQ111">
        <v>206717.28482499995</v>
      </c>
      <c r="BR111">
        <v>846191.31402299996</v>
      </c>
      <c r="BS111">
        <v>665621.77369199996</v>
      </c>
      <c r="BT111">
        <v>718786.14203600003</v>
      </c>
      <c r="BU111">
        <v>141286.45099499999</v>
      </c>
      <c r="BV111">
        <v>150900.80811699998</v>
      </c>
      <c r="BW111">
        <v>110354.25272400001</v>
      </c>
      <c r="BX111">
        <v>9679.9930500000009</v>
      </c>
      <c r="BY111">
        <v>0</v>
      </c>
      <c r="BZ111">
        <v>0</v>
      </c>
      <c r="CA111">
        <v>0</v>
      </c>
      <c r="CB111">
        <v>0</v>
      </c>
      <c r="CC111">
        <v>0</v>
      </c>
      <c r="CD111">
        <v>0</v>
      </c>
    </row>
    <row r="127" spans="1:2" x14ac:dyDescent="0.25">
      <c r="A127" t="s">
        <v>286</v>
      </c>
    </row>
    <row r="128" spans="1:2" x14ac:dyDescent="0.25">
      <c r="A128" t="s">
        <v>49</v>
      </c>
      <c r="B128" t="s">
        <v>252</v>
      </c>
    </row>
    <row r="129" spans="1:3" x14ac:dyDescent="0.25">
      <c r="A129" t="s">
        <v>50</v>
      </c>
      <c r="B129" t="s">
        <v>51</v>
      </c>
    </row>
    <row r="130" spans="1:3" x14ac:dyDescent="0.25">
      <c r="A130" t="s">
        <v>52</v>
      </c>
      <c r="B130" t="s">
        <v>53</v>
      </c>
    </row>
    <row r="131" spans="1:3" x14ac:dyDescent="0.25">
      <c r="A131" t="s">
        <v>54</v>
      </c>
      <c r="B131" t="s">
        <v>375</v>
      </c>
    </row>
    <row r="132" spans="1:3" x14ac:dyDescent="0.25">
      <c r="A132" t="s">
        <v>55</v>
      </c>
      <c r="B132" t="s">
        <v>56</v>
      </c>
    </row>
    <row r="133" spans="1:3" x14ac:dyDescent="0.25">
      <c r="A133" t="s">
        <v>57</v>
      </c>
      <c r="B133" t="s">
        <v>58</v>
      </c>
    </row>
    <row r="134" spans="1:3" ht="409.5" x14ac:dyDescent="0.25">
      <c r="A134" t="s">
        <v>59</v>
      </c>
      <c r="B134" s="54" t="s">
        <v>376</v>
      </c>
      <c r="C134" s="55" t="s">
        <v>60</v>
      </c>
    </row>
    <row r="135" spans="1:3" ht="409.5" x14ac:dyDescent="0.25">
      <c r="A135" t="s">
        <v>61</v>
      </c>
      <c r="B135" s="54" t="s">
        <v>377</v>
      </c>
      <c r="C135" s="55" t="s">
        <v>60</v>
      </c>
    </row>
    <row r="136" spans="1:3" x14ac:dyDescent="0.25">
      <c r="A136" t="s">
        <v>62</v>
      </c>
      <c r="B136" t="s">
        <v>53</v>
      </c>
    </row>
    <row r="137" spans="1:3" x14ac:dyDescent="0.25">
      <c r="A137" t="s">
        <v>63</v>
      </c>
      <c r="B137" t="s">
        <v>53</v>
      </c>
    </row>
    <row r="138" spans="1:3" x14ac:dyDescent="0.25">
      <c r="A138" t="s">
        <v>64</v>
      </c>
      <c r="B138" t="s">
        <v>53</v>
      </c>
    </row>
    <row r="139" spans="1:3" x14ac:dyDescent="0.25">
      <c r="A139" t="s">
        <v>65</v>
      </c>
      <c r="B139" t="s">
        <v>287</v>
      </c>
    </row>
    <row r="140" spans="1:3" x14ac:dyDescent="0.25">
      <c r="A140" t="s">
        <v>67</v>
      </c>
      <c r="B140" t="s">
        <v>68</v>
      </c>
    </row>
  </sheetData>
  <pageMargins left="0.7" right="0.7" top="0.75" bottom="0.75" header="0.3" footer="0.3"/>
  <pageSetup orientation="portrait" r:id="rId1"/>
  <customProperties>
    <customPr name="FPMExcelClientCellBasedFunctionStatus"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Q242"/>
  <sheetViews>
    <sheetView showGridLines="0" topLeftCell="A172" zoomScaleNormal="100" workbookViewId="0">
      <selection activeCell="F218" sqref="F218"/>
    </sheetView>
  </sheetViews>
  <sheetFormatPr defaultColWidth="9.140625" defaultRowHeight="15" x14ac:dyDescent="0.25"/>
  <cols>
    <col min="1" max="1" width="1.85546875" style="1" customWidth="1"/>
    <col min="2" max="2" width="12.85546875" style="1" customWidth="1"/>
    <col min="3" max="3" width="15.85546875" style="1" customWidth="1"/>
    <col min="4" max="4" width="82.140625" style="1" customWidth="1"/>
    <col min="5" max="5" width="3.140625" style="1" customWidth="1"/>
    <col min="6" max="6" width="14.140625" customWidth="1"/>
    <col min="7" max="7" width="3.140625" style="1" customWidth="1"/>
    <col min="8" max="8" width="30.85546875" style="1" customWidth="1"/>
    <col min="9" max="9" width="3.140625" style="1" customWidth="1"/>
    <col min="10" max="10" width="14.140625" customWidth="1"/>
    <col min="11" max="11" width="3.140625" style="1" customWidth="1"/>
    <col min="12" max="12" width="36.85546875" style="1" customWidth="1"/>
    <col min="13" max="16" width="10.85546875" style="1" customWidth="1"/>
    <col min="17" max="17" width="90.85546875" style="1" customWidth="1"/>
    <col min="18" max="16384" width="9.140625" style="1"/>
  </cols>
  <sheetData>
    <row r="1" spans="1:17" ht="42" customHeight="1" x14ac:dyDescent="0.2">
      <c r="A1" s="2"/>
      <c r="B1" s="110" t="s">
        <v>47</v>
      </c>
      <c r="C1" s="110"/>
      <c r="D1" s="110"/>
      <c r="E1" s="110"/>
      <c r="F1" s="110"/>
      <c r="G1" s="110"/>
      <c r="H1" s="110"/>
      <c r="I1" s="110"/>
      <c r="J1" s="110"/>
      <c r="K1" s="110"/>
      <c r="L1" s="110"/>
    </row>
    <row r="2" spans="1:17" ht="15.75" customHeight="1" x14ac:dyDescent="0.25">
      <c r="A2" s="30" t="s">
        <v>23</v>
      </c>
      <c r="B2" s="2"/>
      <c r="C2" s="2"/>
      <c r="D2" s="2"/>
      <c r="E2" s="2"/>
      <c r="G2" s="2"/>
      <c r="H2" s="2"/>
      <c r="I2" s="2"/>
      <c r="J2" s="31"/>
      <c r="K2" s="2"/>
      <c r="L2" s="2"/>
    </row>
    <row r="3" spans="1:17" ht="15.75" customHeight="1" x14ac:dyDescent="0.25">
      <c r="A3" s="2"/>
      <c r="B3" s="3" t="s">
        <v>0</v>
      </c>
      <c r="C3" s="2"/>
      <c r="D3" s="2"/>
      <c r="E3" s="2"/>
      <c r="F3" s="31"/>
      <c r="G3" s="2"/>
      <c r="H3" s="2"/>
      <c r="I3" s="2"/>
      <c r="J3" s="31"/>
      <c r="K3" s="2"/>
      <c r="L3" s="2"/>
    </row>
    <row r="4" spans="1:17" ht="18" customHeight="1" thickBot="1" x14ac:dyDescent="0.3">
      <c r="A4" s="2"/>
      <c r="B4" s="2"/>
      <c r="C4" s="2"/>
      <c r="D4" s="2"/>
      <c r="E4" s="2"/>
      <c r="F4" s="31"/>
      <c r="G4" s="2"/>
      <c r="H4" s="2"/>
      <c r="I4" s="2"/>
      <c r="J4" s="31"/>
      <c r="K4" s="2"/>
      <c r="L4" s="2"/>
    </row>
    <row r="5" spans="1:17" ht="28.35" customHeight="1" x14ac:dyDescent="0.2">
      <c r="A5" s="2"/>
      <c r="B5" s="111" t="s">
        <v>380</v>
      </c>
      <c r="C5" s="112"/>
      <c r="D5" s="112"/>
      <c r="E5" s="112"/>
      <c r="F5" s="112"/>
      <c r="G5" s="112"/>
      <c r="H5" s="112"/>
      <c r="I5" s="112"/>
      <c r="J5" s="112"/>
      <c r="K5" s="112"/>
      <c r="L5" s="113"/>
      <c r="Q5" s="20" t="s">
        <v>16</v>
      </c>
    </row>
    <row r="6" spans="1:17" ht="28.35" customHeight="1" thickBot="1" x14ac:dyDescent="0.25">
      <c r="A6" s="2"/>
      <c r="B6" s="114"/>
      <c r="C6" s="115"/>
      <c r="D6" s="115"/>
      <c r="E6" s="115"/>
      <c r="F6" s="115"/>
      <c r="G6" s="115"/>
      <c r="H6" s="115"/>
      <c r="I6" s="115"/>
      <c r="J6" s="115"/>
      <c r="K6" s="115"/>
      <c r="L6" s="116"/>
      <c r="Q6" s="21" t="s">
        <v>17</v>
      </c>
    </row>
    <row r="7" spans="1:17" ht="22.35" customHeight="1" x14ac:dyDescent="0.25">
      <c r="A7" s="2"/>
      <c r="B7" s="117" t="s">
        <v>8</v>
      </c>
      <c r="C7" s="16"/>
      <c r="D7" s="16"/>
      <c r="E7" s="16"/>
      <c r="F7" s="32"/>
      <c r="G7" s="16"/>
      <c r="H7" s="16"/>
      <c r="I7" s="16"/>
      <c r="J7" s="32"/>
      <c r="K7" s="16"/>
      <c r="L7" s="17"/>
      <c r="Q7" s="135" t="s">
        <v>383</v>
      </c>
    </row>
    <row r="8" spans="1:17" ht="18" customHeight="1" x14ac:dyDescent="0.25">
      <c r="A8" s="2"/>
      <c r="B8" s="118"/>
      <c r="C8" s="2"/>
      <c r="D8" s="2"/>
      <c r="E8" s="2"/>
      <c r="F8" s="31"/>
      <c r="G8" s="2"/>
      <c r="H8" s="2"/>
      <c r="I8" s="2"/>
      <c r="J8" s="31"/>
      <c r="K8" s="2"/>
      <c r="L8" s="10"/>
      <c r="Q8" s="135"/>
    </row>
    <row r="9" spans="1:17" ht="17.100000000000001" customHeight="1" x14ac:dyDescent="0.2">
      <c r="A9" s="2"/>
      <c r="B9" s="118"/>
      <c r="C9" s="5"/>
      <c r="D9" s="6"/>
      <c r="E9" s="120" t="s">
        <v>1</v>
      </c>
      <c r="F9" s="121"/>
      <c r="G9" s="122"/>
      <c r="H9" s="4" t="s">
        <v>2</v>
      </c>
      <c r="I9" s="120" t="s">
        <v>3</v>
      </c>
      <c r="J9" s="121"/>
      <c r="K9" s="122"/>
      <c r="L9" s="11" t="s">
        <v>2</v>
      </c>
      <c r="Q9" s="135"/>
    </row>
    <row r="10" spans="1:17" ht="5.0999999999999996" customHeight="1" x14ac:dyDescent="0.25">
      <c r="A10" s="2"/>
      <c r="B10" s="118"/>
      <c r="C10" s="123"/>
      <c r="D10" s="2"/>
      <c r="E10" s="12"/>
      <c r="F10" s="33"/>
      <c r="G10" s="12"/>
      <c r="H10" s="8"/>
      <c r="I10" s="12"/>
      <c r="J10" s="33"/>
      <c r="K10" s="12"/>
      <c r="L10" s="10"/>
      <c r="Q10" s="135"/>
    </row>
    <row r="11" spans="1:17" ht="16.350000000000001" customHeight="1" x14ac:dyDescent="0.2">
      <c r="A11" s="2"/>
      <c r="B11" s="118"/>
      <c r="C11" s="124"/>
      <c r="D11" s="53" t="s">
        <v>5</v>
      </c>
      <c r="E11" s="12"/>
      <c r="F11" s="58">
        <v>10000</v>
      </c>
      <c r="G11" s="12"/>
      <c r="H11" s="49" t="s">
        <v>19</v>
      </c>
      <c r="I11" s="12"/>
      <c r="J11" s="57" t="s">
        <v>7</v>
      </c>
      <c r="K11" s="12"/>
      <c r="L11" s="13" t="s">
        <v>6</v>
      </c>
      <c r="Q11" s="135"/>
    </row>
    <row r="12" spans="1:17" ht="5.0999999999999996" customHeight="1" thickBot="1" x14ac:dyDescent="0.3">
      <c r="A12" s="2"/>
      <c r="B12" s="119"/>
      <c r="C12" s="125"/>
      <c r="D12" s="14"/>
      <c r="E12" s="19"/>
      <c r="F12" s="37"/>
      <c r="G12" s="19"/>
      <c r="H12" s="18"/>
      <c r="I12" s="19"/>
      <c r="J12" s="37"/>
      <c r="K12" s="19"/>
      <c r="L12" s="15"/>
      <c r="Q12" s="135"/>
    </row>
    <row r="13" spans="1:17" ht="22.35" customHeight="1" x14ac:dyDescent="0.25">
      <c r="A13" s="2"/>
      <c r="B13" s="118" t="s">
        <v>4</v>
      </c>
      <c r="C13" s="2"/>
      <c r="D13" s="2"/>
      <c r="E13" s="2"/>
      <c r="F13" s="31"/>
      <c r="G13" s="2"/>
      <c r="H13" s="2"/>
      <c r="I13" s="2"/>
      <c r="J13" s="31"/>
      <c r="K13" s="2"/>
      <c r="L13" s="10"/>
      <c r="Q13" s="135"/>
    </row>
    <row r="14" spans="1:17" ht="18" customHeight="1" x14ac:dyDescent="0.25">
      <c r="A14" s="2"/>
      <c r="B14" s="118"/>
      <c r="C14" s="2"/>
      <c r="D14" s="2"/>
      <c r="E14" s="2"/>
      <c r="F14" s="31"/>
      <c r="G14" s="2"/>
      <c r="H14" s="2"/>
      <c r="I14" s="2"/>
      <c r="J14" s="31"/>
      <c r="K14" s="2"/>
      <c r="L14" s="10"/>
      <c r="Q14" s="135"/>
    </row>
    <row r="15" spans="1:17" ht="17.100000000000001" customHeight="1" x14ac:dyDescent="0.2">
      <c r="A15" s="2"/>
      <c r="B15" s="118"/>
      <c r="C15" s="5"/>
      <c r="D15" s="6"/>
      <c r="E15" s="120" t="s">
        <v>1</v>
      </c>
      <c r="F15" s="121"/>
      <c r="G15" s="122"/>
      <c r="H15" s="4" t="s">
        <v>2</v>
      </c>
      <c r="I15" s="120" t="s">
        <v>3</v>
      </c>
      <c r="J15" s="121"/>
      <c r="K15" s="122"/>
      <c r="L15" s="11" t="s">
        <v>2</v>
      </c>
      <c r="Q15" s="135"/>
    </row>
    <row r="16" spans="1:17" ht="5.0999999999999996" customHeight="1" x14ac:dyDescent="0.25">
      <c r="A16" s="2"/>
      <c r="B16" s="118"/>
      <c r="C16" s="123"/>
      <c r="D16" s="2"/>
      <c r="E16" s="12"/>
      <c r="F16" s="33"/>
      <c r="G16" s="12"/>
      <c r="H16" s="8"/>
      <c r="I16" s="12"/>
      <c r="J16" s="33"/>
      <c r="K16" s="12"/>
      <c r="L16" s="10"/>
      <c r="Q16" s="135"/>
    </row>
    <row r="17" spans="1:17" ht="16.350000000000001" customHeight="1" x14ac:dyDescent="0.2">
      <c r="A17" s="2"/>
      <c r="B17" s="118"/>
      <c r="C17" s="124"/>
      <c r="D17" s="53" t="s">
        <v>5</v>
      </c>
      <c r="E17" s="12"/>
      <c r="F17" s="58">
        <v>10000</v>
      </c>
      <c r="G17" s="12"/>
      <c r="H17" s="49" t="s">
        <v>6</v>
      </c>
      <c r="I17" s="12"/>
      <c r="J17" s="25" t="s">
        <v>7</v>
      </c>
      <c r="K17" s="12"/>
      <c r="L17" s="13" t="s">
        <v>6</v>
      </c>
      <c r="Q17" s="135"/>
    </row>
    <row r="18" spans="1:17" ht="5.0999999999999996" customHeight="1" thickBot="1" x14ac:dyDescent="0.3">
      <c r="A18" s="2"/>
      <c r="B18" s="136"/>
      <c r="C18" s="137"/>
      <c r="D18" s="83"/>
      <c r="E18" s="84"/>
      <c r="F18" s="85"/>
      <c r="G18" s="84"/>
      <c r="H18" s="86"/>
      <c r="I18" s="84"/>
      <c r="J18" s="85"/>
      <c r="K18" s="84"/>
      <c r="L18" s="87"/>
      <c r="Q18" s="135"/>
    </row>
    <row r="19" spans="1:17" ht="9" customHeight="1" x14ac:dyDescent="0.25">
      <c r="A19" s="2"/>
      <c r="B19" s="2"/>
      <c r="C19" s="2"/>
      <c r="D19" s="2"/>
      <c r="E19" s="2"/>
      <c r="F19" s="31"/>
      <c r="G19" s="2"/>
      <c r="H19" s="2"/>
      <c r="I19" s="2"/>
      <c r="J19" s="31"/>
      <c r="K19" s="2"/>
      <c r="L19" s="2"/>
      <c r="Q19" s="135"/>
    </row>
    <row r="20" spans="1:17" ht="24.6" customHeight="1" x14ac:dyDescent="0.25">
      <c r="A20" s="2"/>
      <c r="B20" s="2"/>
      <c r="C20" s="2"/>
      <c r="D20" s="2"/>
      <c r="E20" s="2"/>
      <c r="F20" s="31"/>
      <c r="G20" s="2"/>
      <c r="H20" s="2"/>
      <c r="I20" s="2"/>
      <c r="J20" s="31"/>
      <c r="K20" s="2"/>
      <c r="L20" s="2"/>
      <c r="Q20" s="22"/>
    </row>
    <row r="21" spans="1:17" ht="15" customHeight="1" thickBot="1" x14ac:dyDescent="0.3">
      <c r="A21" s="2"/>
      <c r="B21" s="2"/>
      <c r="C21" s="2"/>
      <c r="D21" s="2"/>
      <c r="E21" s="2"/>
      <c r="F21" s="31"/>
      <c r="G21" s="2"/>
      <c r="H21" s="2"/>
      <c r="I21" s="2"/>
      <c r="J21" s="31"/>
      <c r="K21" s="2"/>
      <c r="L21" s="2"/>
      <c r="Q21" s="23" t="s">
        <v>18</v>
      </c>
    </row>
    <row r="22" spans="1:17" ht="28.35" customHeight="1" x14ac:dyDescent="0.2">
      <c r="A22" s="2"/>
      <c r="B22" s="128" t="s">
        <v>9</v>
      </c>
      <c r="C22" s="129"/>
      <c r="D22" s="129"/>
      <c r="E22" s="129"/>
      <c r="F22" s="129"/>
      <c r="G22" s="129"/>
      <c r="H22" s="129"/>
      <c r="I22" s="129"/>
      <c r="J22" s="129"/>
      <c r="K22" s="129"/>
      <c r="L22" s="130"/>
      <c r="Q22" s="135" t="s">
        <v>384</v>
      </c>
    </row>
    <row r="23" spans="1:17" ht="28.35" customHeight="1" thickBot="1" x14ac:dyDescent="0.25">
      <c r="A23" s="2"/>
      <c r="B23" s="131"/>
      <c r="C23" s="132"/>
      <c r="D23" s="132"/>
      <c r="E23" s="132"/>
      <c r="F23" s="132"/>
      <c r="G23" s="132"/>
      <c r="H23" s="132"/>
      <c r="I23" s="132"/>
      <c r="J23" s="132"/>
      <c r="K23" s="132"/>
      <c r="L23" s="133"/>
      <c r="Q23" s="135"/>
    </row>
    <row r="24" spans="1:17" ht="16.350000000000001" customHeight="1" x14ac:dyDescent="0.25">
      <c r="A24" s="2"/>
      <c r="B24" s="117" t="s">
        <v>8</v>
      </c>
      <c r="C24" s="16"/>
      <c r="D24" s="16"/>
      <c r="E24" s="16"/>
      <c r="F24" s="32"/>
      <c r="G24" s="16"/>
      <c r="H24" s="16"/>
      <c r="I24" s="16"/>
      <c r="J24" s="32"/>
      <c r="K24" s="16"/>
      <c r="L24" s="17"/>
      <c r="Q24" s="135"/>
    </row>
    <row r="25" spans="1:17" ht="18" customHeight="1" x14ac:dyDescent="0.2">
      <c r="A25" s="2"/>
      <c r="B25" s="118"/>
      <c r="C25" s="5"/>
      <c r="D25" s="6"/>
      <c r="E25" s="120" t="s">
        <v>1</v>
      </c>
      <c r="F25" s="121"/>
      <c r="G25" s="122"/>
      <c r="H25" s="4" t="s">
        <v>2</v>
      </c>
      <c r="I25" s="120" t="s">
        <v>3</v>
      </c>
      <c r="J25" s="121"/>
      <c r="K25" s="122"/>
      <c r="L25" s="11" t="s">
        <v>2</v>
      </c>
      <c r="Q25" s="135"/>
    </row>
    <row r="26" spans="1:17" ht="5.0999999999999996" customHeight="1" x14ac:dyDescent="0.25">
      <c r="A26" s="2"/>
      <c r="B26" s="118"/>
      <c r="C26" s="124"/>
      <c r="D26" s="2"/>
      <c r="E26" s="12"/>
      <c r="F26" s="33"/>
      <c r="G26" s="12"/>
      <c r="H26" s="9"/>
      <c r="I26" s="12"/>
      <c r="J26" s="33"/>
      <c r="K26" s="12"/>
      <c r="L26" s="10"/>
      <c r="Q26" s="135"/>
    </row>
    <row r="27" spans="1:17" ht="16.350000000000001" customHeight="1" x14ac:dyDescent="0.2">
      <c r="A27" s="2"/>
      <c r="B27" s="118"/>
      <c r="C27" s="124"/>
      <c r="D27" s="53" t="s">
        <v>381</v>
      </c>
      <c r="E27" s="12"/>
      <c r="F27" s="58">
        <v>10000</v>
      </c>
      <c r="G27" s="12"/>
      <c r="H27" s="49" t="s">
        <v>6</v>
      </c>
      <c r="I27" s="12"/>
      <c r="J27" s="38" t="s">
        <v>7</v>
      </c>
      <c r="K27" s="12"/>
      <c r="L27" s="13" t="s">
        <v>6</v>
      </c>
      <c r="Q27" s="135"/>
    </row>
    <row r="28" spans="1:17" ht="5.0999999999999996" customHeight="1" x14ac:dyDescent="0.25">
      <c r="A28" s="2"/>
      <c r="B28" s="118"/>
      <c r="C28" s="127"/>
      <c r="D28" s="50"/>
      <c r="E28" s="7"/>
      <c r="F28" s="34"/>
      <c r="G28" s="7"/>
      <c r="H28" s="6"/>
      <c r="I28" s="7"/>
      <c r="J28" s="34"/>
      <c r="K28" s="7"/>
      <c r="L28" s="51"/>
      <c r="Q28" s="135"/>
    </row>
    <row r="29" spans="1:17" ht="5.0999999999999996" customHeight="1" x14ac:dyDescent="0.25">
      <c r="A29" s="2"/>
      <c r="B29" s="118"/>
      <c r="C29" s="124"/>
      <c r="D29" s="2"/>
      <c r="E29" s="12"/>
      <c r="F29" s="33"/>
      <c r="G29" s="12"/>
      <c r="H29" s="9"/>
      <c r="I29" s="12"/>
      <c r="J29" s="33"/>
      <c r="K29" s="12"/>
      <c r="L29" s="10"/>
      <c r="Q29" s="135"/>
    </row>
    <row r="30" spans="1:17" ht="16.350000000000001" customHeight="1" x14ac:dyDescent="0.25">
      <c r="A30" s="2"/>
      <c r="B30" s="118"/>
      <c r="C30" s="124"/>
      <c r="D30" s="53" t="s">
        <v>382</v>
      </c>
      <c r="E30" s="12"/>
      <c r="F30" s="58">
        <v>10000</v>
      </c>
      <c r="G30" s="12"/>
      <c r="H30" s="49" t="s">
        <v>6</v>
      </c>
      <c r="I30" s="12"/>
      <c r="J30" s="38" t="s">
        <v>7</v>
      </c>
      <c r="K30" s="12"/>
      <c r="L30" s="13" t="s">
        <v>6</v>
      </c>
      <c r="Q30" s="24"/>
    </row>
    <row r="31" spans="1:17" ht="5.0999999999999996" customHeight="1" x14ac:dyDescent="0.25">
      <c r="A31" s="2"/>
      <c r="B31" s="118"/>
      <c r="C31" s="127"/>
      <c r="D31" s="50"/>
      <c r="E31" s="7"/>
      <c r="F31" s="34"/>
      <c r="G31" s="7"/>
      <c r="H31" s="6"/>
      <c r="I31" s="7"/>
      <c r="J31" s="34"/>
      <c r="K31" s="7"/>
      <c r="L31" s="51"/>
    </row>
    <row r="32" spans="1:17" ht="5.0999999999999996" customHeight="1" x14ac:dyDescent="0.25">
      <c r="A32" s="2"/>
      <c r="B32" s="118"/>
      <c r="C32" s="124"/>
      <c r="D32" s="2"/>
      <c r="E32" s="12"/>
      <c r="F32" s="33"/>
      <c r="G32" s="12"/>
      <c r="H32" s="9"/>
      <c r="I32" s="12"/>
      <c r="J32" s="33"/>
      <c r="K32" s="12"/>
      <c r="L32" s="10"/>
    </row>
    <row r="33" spans="1:12" ht="16.350000000000001" customHeight="1" x14ac:dyDescent="0.2">
      <c r="A33" s="2"/>
      <c r="B33" s="118"/>
      <c r="C33" s="124"/>
      <c r="D33" s="53" t="s">
        <v>10</v>
      </c>
      <c r="E33" s="12"/>
      <c r="F33" s="58">
        <v>10000</v>
      </c>
      <c r="G33" s="12"/>
      <c r="H33" s="49" t="s">
        <v>6</v>
      </c>
      <c r="I33" s="12"/>
      <c r="J33" s="38" t="s">
        <v>7</v>
      </c>
      <c r="K33" s="12"/>
      <c r="L33" s="13" t="s">
        <v>6</v>
      </c>
    </row>
    <row r="34" spans="1:12" ht="5.0999999999999996" customHeight="1" x14ac:dyDescent="0.25">
      <c r="A34" s="2"/>
      <c r="B34" s="118"/>
      <c r="C34" s="127"/>
      <c r="D34" s="50"/>
      <c r="E34" s="7"/>
      <c r="F34" s="34"/>
      <c r="G34" s="7"/>
      <c r="H34" s="6"/>
      <c r="I34" s="7"/>
      <c r="J34" s="34"/>
      <c r="K34" s="7"/>
      <c r="L34" s="51"/>
    </row>
    <row r="35" spans="1:12" ht="5.0999999999999996" customHeight="1" x14ac:dyDescent="0.25">
      <c r="A35" s="2"/>
      <c r="B35" s="118"/>
      <c r="C35" s="124"/>
      <c r="D35" s="2"/>
      <c r="E35" s="12"/>
      <c r="F35" s="33"/>
      <c r="G35" s="12"/>
      <c r="H35" s="9"/>
      <c r="I35" s="12"/>
      <c r="J35" s="33"/>
      <c r="K35" s="12"/>
      <c r="L35" s="10"/>
    </row>
    <row r="36" spans="1:12" ht="16.350000000000001" customHeight="1" x14ac:dyDescent="0.2">
      <c r="A36" s="2"/>
      <c r="B36" s="118"/>
      <c r="C36" s="124"/>
      <c r="D36" s="53" t="s">
        <v>11</v>
      </c>
      <c r="E36" s="12"/>
      <c r="F36" s="58">
        <v>10000</v>
      </c>
      <c r="G36" s="12"/>
      <c r="H36" s="49" t="s">
        <v>6</v>
      </c>
      <c r="I36" s="12"/>
      <c r="J36" s="38" t="s">
        <v>7</v>
      </c>
      <c r="K36" s="12"/>
      <c r="L36" s="13" t="s">
        <v>6</v>
      </c>
    </row>
    <row r="37" spans="1:12" ht="5.0999999999999996" customHeight="1" x14ac:dyDescent="0.25">
      <c r="A37" s="2"/>
      <c r="B37" s="118"/>
      <c r="C37" s="127"/>
      <c r="D37" s="50"/>
      <c r="E37" s="7"/>
      <c r="F37" s="34"/>
      <c r="G37" s="7"/>
      <c r="H37" s="6"/>
      <c r="I37" s="7"/>
      <c r="J37" s="34"/>
      <c r="K37" s="7"/>
      <c r="L37" s="51"/>
    </row>
    <row r="38" spans="1:12" ht="5.0999999999999996" customHeight="1" x14ac:dyDescent="0.25">
      <c r="A38" s="2"/>
      <c r="B38" s="118"/>
      <c r="C38" s="124"/>
      <c r="D38" s="2"/>
      <c r="E38" s="12"/>
      <c r="F38" s="33"/>
      <c r="G38" s="12"/>
      <c r="H38" s="9"/>
      <c r="I38" s="12"/>
      <c r="J38" s="33"/>
      <c r="K38" s="12"/>
      <c r="L38" s="10"/>
    </row>
    <row r="39" spans="1:12" ht="16.350000000000001" customHeight="1" x14ac:dyDescent="0.25">
      <c r="A39" s="2"/>
      <c r="B39" s="118"/>
      <c r="C39" s="124"/>
      <c r="D39" s="53" t="s">
        <v>12</v>
      </c>
      <c r="E39" s="12"/>
      <c r="F39" s="33"/>
      <c r="G39" s="12"/>
      <c r="H39" s="9"/>
      <c r="I39" s="12"/>
      <c r="J39" s="33"/>
      <c r="K39" s="12"/>
      <c r="L39" s="10"/>
    </row>
    <row r="40" spans="1:12" ht="5.0999999999999996" customHeight="1" x14ac:dyDescent="0.25">
      <c r="A40" s="2"/>
      <c r="B40" s="118"/>
      <c r="C40" s="48"/>
      <c r="D40" s="53"/>
      <c r="E40" s="12"/>
      <c r="F40" s="33"/>
      <c r="G40" s="12"/>
      <c r="H40" s="9"/>
      <c r="I40" s="12"/>
      <c r="J40" s="33"/>
      <c r="K40" s="12"/>
      <c r="L40" s="10"/>
    </row>
    <row r="41" spans="1:12" ht="16.350000000000001" customHeight="1" x14ac:dyDescent="0.2">
      <c r="A41" s="2"/>
      <c r="B41" s="118"/>
      <c r="C41" s="48"/>
      <c r="D41" s="29" t="s">
        <v>32</v>
      </c>
      <c r="E41" s="12"/>
      <c r="F41" s="78">
        <v>10000</v>
      </c>
      <c r="G41" s="12"/>
      <c r="H41" s="49" t="s">
        <v>44</v>
      </c>
      <c r="I41" s="12"/>
      <c r="J41" s="38" t="s">
        <v>7</v>
      </c>
      <c r="K41" s="12"/>
      <c r="L41" s="13" t="s">
        <v>19</v>
      </c>
    </row>
    <row r="42" spans="1:12" ht="5.0999999999999996" customHeight="1" x14ac:dyDescent="0.25">
      <c r="A42" s="2"/>
      <c r="B42" s="118"/>
      <c r="C42" s="48"/>
      <c r="D42" s="28"/>
      <c r="E42" s="7"/>
      <c r="F42" s="34"/>
      <c r="G42" s="7"/>
      <c r="H42" s="6"/>
      <c r="I42" s="7"/>
      <c r="J42" s="34"/>
      <c r="K42" s="7"/>
      <c r="L42" s="51"/>
    </row>
    <row r="43" spans="1:12" ht="5.0999999999999996" customHeight="1" x14ac:dyDescent="0.25">
      <c r="A43" s="2"/>
      <c r="B43" s="118"/>
      <c r="C43" s="48"/>
      <c r="D43" s="53"/>
      <c r="E43" s="12"/>
      <c r="F43" s="33"/>
      <c r="G43" s="12"/>
      <c r="H43" s="9"/>
      <c r="I43" s="12"/>
      <c r="J43" s="33"/>
      <c r="K43" s="12"/>
      <c r="L43" s="10"/>
    </row>
    <row r="44" spans="1:12" ht="16.350000000000001" customHeight="1" x14ac:dyDescent="0.2">
      <c r="A44" s="2"/>
      <c r="B44" s="118"/>
      <c r="C44" s="48"/>
      <c r="D44" s="29" t="s">
        <v>37</v>
      </c>
      <c r="E44" s="12"/>
      <c r="F44" s="77">
        <v>10000</v>
      </c>
      <c r="G44" s="12"/>
      <c r="H44" s="49" t="s">
        <v>19</v>
      </c>
      <c r="I44" s="12"/>
      <c r="J44" s="41" t="s">
        <v>7</v>
      </c>
      <c r="K44" s="12"/>
      <c r="L44" s="13" t="s">
        <v>20</v>
      </c>
    </row>
    <row r="45" spans="1:12" ht="5.0999999999999996" customHeight="1" x14ac:dyDescent="0.25">
      <c r="A45" s="2"/>
      <c r="B45" s="118"/>
      <c r="C45" s="48"/>
      <c r="D45" s="28"/>
      <c r="E45" s="7"/>
      <c r="F45" s="34"/>
      <c r="G45" s="7"/>
      <c r="H45" s="6"/>
      <c r="I45" s="7"/>
      <c r="J45" s="34"/>
      <c r="K45" s="7"/>
      <c r="L45" s="51"/>
    </row>
    <row r="46" spans="1:12" ht="5.0999999999999996" customHeight="1" x14ac:dyDescent="0.25">
      <c r="A46" s="2"/>
      <c r="B46" s="118"/>
      <c r="C46" s="48"/>
      <c r="D46" s="53"/>
      <c r="E46" s="12"/>
      <c r="F46" s="33"/>
      <c r="G46" s="12"/>
      <c r="H46" s="9"/>
      <c r="I46" s="12"/>
      <c r="J46" s="33"/>
      <c r="K46" s="12"/>
      <c r="L46" s="10"/>
    </row>
    <row r="47" spans="1:12" ht="16.350000000000001" customHeight="1" x14ac:dyDescent="0.2">
      <c r="A47" s="2"/>
      <c r="B47" s="118"/>
      <c r="C47" s="48"/>
      <c r="D47" s="29" t="s">
        <v>35</v>
      </c>
      <c r="E47" s="12"/>
      <c r="F47" s="77">
        <v>10000</v>
      </c>
      <c r="G47" s="12"/>
      <c r="H47" s="49" t="s">
        <v>19</v>
      </c>
      <c r="I47" s="12"/>
      <c r="J47" s="42" t="s">
        <v>7</v>
      </c>
      <c r="K47" s="12"/>
      <c r="L47" s="13" t="s">
        <v>20</v>
      </c>
    </row>
    <row r="48" spans="1:12" ht="5.0999999999999996" customHeight="1" x14ac:dyDescent="0.25">
      <c r="A48" s="2"/>
      <c r="B48" s="118"/>
      <c r="C48" s="48"/>
      <c r="D48" s="28"/>
      <c r="E48" s="7"/>
      <c r="F48" s="34"/>
      <c r="G48" s="7"/>
      <c r="H48" s="6"/>
      <c r="I48" s="7"/>
      <c r="J48" s="34"/>
      <c r="K48" s="7"/>
      <c r="L48" s="51"/>
    </row>
    <row r="49" spans="1:12" ht="5.0999999999999996" customHeight="1" x14ac:dyDescent="0.25">
      <c r="A49" s="2"/>
      <c r="B49" s="118"/>
      <c r="C49" s="48"/>
      <c r="D49" s="53"/>
      <c r="E49" s="12"/>
      <c r="F49" s="33"/>
      <c r="G49" s="12"/>
      <c r="H49" s="9"/>
      <c r="I49" s="12"/>
      <c r="J49" s="33"/>
      <c r="K49" s="12"/>
      <c r="L49" s="10"/>
    </row>
    <row r="50" spans="1:12" ht="16.350000000000001" customHeight="1" x14ac:dyDescent="0.2">
      <c r="A50" s="2"/>
      <c r="B50" s="118"/>
      <c r="C50" s="48"/>
      <c r="D50" s="29" t="s">
        <v>38</v>
      </c>
      <c r="E50" s="12"/>
      <c r="F50" s="77">
        <v>10000</v>
      </c>
      <c r="G50" s="12"/>
      <c r="H50" s="49" t="s">
        <v>19</v>
      </c>
      <c r="I50" s="12"/>
      <c r="J50" s="43" t="s">
        <v>7</v>
      </c>
      <c r="K50" s="12"/>
      <c r="L50" s="13" t="s">
        <v>20</v>
      </c>
    </row>
    <row r="51" spans="1:12" ht="5.0999999999999996" customHeight="1" x14ac:dyDescent="0.25">
      <c r="A51" s="2"/>
      <c r="B51" s="118"/>
      <c r="C51" s="48"/>
      <c r="D51" s="28"/>
      <c r="E51" s="7"/>
      <c r="F51" s="34"/>
      <c r="G51" s="7"/>
      <c r="H51" s="6"/>
      <c r="I51" s="7"/>
      <c r="J51" s="34"/>
      <c r="K51" s="7"/>
      <c r="L51" s="51"/>
    </row>
    <row r="52" spans="1:12" ht="5.0999999999999996" customHeight="1" x14ac:dyDescent="0.25">
      <c r="A52" s="2"/>
      <c r="B52" s="118"/>
      <c r="C52" s="48"/>
      <c r="D52" s="53"/>
      <c r="E52" s="12"/>
      <c r="F52" s="33"/>
      <c r="G52" s="12"/>
      <c r="H52" s="9"/>
      <c r="I52" s="12"/>
      <c r="J52" s="33"/>
      <c r="K52" s="12"/>
      <c r="L52" s="10"/>
    </row>
    <row r="53" spans="1:12" ht="16.350000000000001" customHeight="1" x14ac:dyDescent="0.2">
      <c r="A53" s="2"/>
      <c r="B53" s="118"/>
      <c r="C53" s="48"/>
      <c r="D53" s="29" t="s">
        <v>36</v>
      </c>
      <c r="E53" s="12"/>
      <c r="F53" s="77">
        <v>10000</v>
      </c>
      <c r="G53" s="12"/>
      <c r="H53" s="49" t="s">
        <v>19</v>
      </c>
      <c r="I53" s="12"/>
      <c r="J53" s="44" t="s">
        <v>7</v>
      </c>
      <c r="K53" s="12"/>
      <c r="L53" s="13" t="s">
        <v>20</v>
      </c>
    </row>
    <row r="54" spans="1:12" ht="5.0999999999999996" customHeight="1" x14ac:dyDescent="0.25">
      <c r="A54" s="2"/>
      <c r="B54" s="118"/>
      <c r="C54" s="48"/>
      <c r="D54" s="28"/>
      <c r="E54" s="7"/>
      <c r="F54" s="34"/>
      <c r="G54" s="7"/>
      <c r="H54" s="6"/>
      <c r="I54" s="7"/>
      <c r="J54" s="34"/>
      <c r="K54" s="7"/>
      <c r="L54" s="51"/>
    </row>
    <row r="55" spans="1:12" ht="5.0999999999999996" customHeight="1" x14ac:dyDescent="0.25">
      <c r="A55" s="2"/>
      <c r="B55" s="118"/>
      <c r="C55" s="48"/>
      <c r="D55" s="53"/>
      <c r="E55" s="12"/>
      <c r="F55" s="33"/>
      <c r="G55" s="12"/>
      <c r="H55" s="9"/>
      <c r="I55" s="12"/>
      <c r="J55" s="33"/>
      <c r="K55" s="12"/>
      <c r="L55" s="10"/>
    </row>
    <row r="56" spans="1:12" ht="16.350000000000001" customHeight="1" x14ac:dyDescent="0.2">
      <c r="A56" s="2"/>
      <c r="B56" s="118"/>
      <c r="C56" s="48"/>
      <c r="D56" s="29" t="s">
        <v>39</v>
      </c>
      <c r="E56" s="12"/>
      <c r="F56" s="77">
        <v>10000</v>
      </c>
      <c r="G56" s="12"/>
      <c r="H56" s="49" t="s">
        <v>19</v>
      </c>
      <c r="I56" s="12"/>
      <c r="J56" s="45" t="s">
        <v>7</v>
      </c>
      <c r="K56" s="12"/>
      <c r="L56" s="13" t="s">
        <v>20</v>
      </c>
    </row>
    <row r="57" spans="1:12" ht="5.0999999999999996" customHeight="1" x14ac:dyDescent="0.25">
      <c r="A57" s="2"/>
      <c r="B57" s="118"/>
      <c r="C57" s="48"/>
      <c r="D57" s="28"/>
      <c r="E57" s="7"/>
      <c r="F57" s="34"/>
      <c r="G57" s="7"/>
      <c r="H57" s="6"/>
      <c r="I57" s="7"/>
      <c r="J57" s="34"/>
      <c r="K57" s="7"/>
      <c r="L57" s="51"/>
    </row>
    <row r="58" spans="1:12" ht="5.0999999999999996" customHeight="1" x14ac:dyDescent="0.25">
      <c r="A58" s="2"/>
      <c r="B58" s="118"/>
      <c r="C58" s="48"/>
      <c r="D58" s="53"/>
      <c r="E58" s="12"/>
      <c r="F58" s="33"/>
      <c r="G58" s="12"/>
      <c r="H58" s="9"/>
      <c r="I58" s="12"/>
      <c r="J58" s="33"/>
      <c r="K58" s="12"/>
      <c r="L58" s="10"/>
    </row>
    <row r="59" spans="1:12" ht="16.350000000000001" customHeight="1" x14ac:dyDescent="0.2">
      <c r="A59" s="2"/>
      <c r="B59" s="118"/>
      <c r="C59" s="48"/>
      <c r="D59" s="29" t="s">
        <v>40</v>
      </c>
      <c r="E59" s="12"/>
      <c r="F59" s="77">
        <v>10000</v>
      </c>
      <c r="G59" s="12"/>
      <c r="H59" s="49" t="s">
        <v>19</v>
      </c>
      <c r="I59" s="12"/>
      <c r="J59" s="46" t="s">
        <v>7</v>
      </c>
      <c r="K59" s="12"/>
      <c r="L59" s="13" t="s">
        <v>20</v>
      </c>
    </row>
    <row r="60" spans="1:12" ht="5.0999999999999996" customHeight="1" x14ac:dyDescent="0.25">
      <c r="A60" s="2"/>
      <c r="B60" s="118"/>
      <c r="C60" s="48"/>
      <c r="D60" s="28"/>
      <c r="E60" s="7"/>
      <c r="F60" s="34"/>
      <c r="G60" s="7"/>
      <c r="H60" s="6"/>
      <c r="I60" s="7"/>
      <c r="J60" s="34"/>
      <c r="K60" s="7"/>
      <c r="L60" s="51"/>
    </row>
    <row r="61" spans="1:12" ht="5.0999999999999996" customHeight="1" x14ac:dyDescent="0.25">
      <c r="A61" s="2"/>
      <c r="B61" s="118"/>
      <c r="C61" s="48"/>
      <c r="D61" s="53"/>
      <c r="E61" s="12"/>
      <c r="F61" s="33"/>
      <c r="G61" s="12"/>
      <c r="H61" s="9"/>
      <c r="I61" s="12"/>
      <c r="J61" s="33"/>
      <c r="K61" s="12"/>
      <c r="L61" s="10"/>
    </row>
    <row r="62" spans="1:12" ht="16.350000000000001" customHeight="1" x14ac:dyDescent="0.2">
      <c r="A62" s="2"/>
      <c r="B62" s="118"/>
      <c r="C62" s="48"/>
      <c r="D62" s="29" t="s">
        <v>265</v>
      </c>
      <c r="E62" s="12"/>
      <c r="F62" s="77">
        <v>10000</v>
      </c>
      <c r="G62" s="12"/>
      <c r="H62" s="49" t="s">
        <v>19</v>
      </c>
      <c r="I62" s="12"/>
      <c r="J62" s="64" t="s">
        <v>7</v>
      </c>
      <c r="K62" s="12"/>
      <c r="L62" s="13" t="s">
        <v>6</v>
      </c>
    </row>
    <row r="63" spans="1:12" ht="5.0999999999999996" customHeight="1" x14ac:dyDescent="0.25">
      <c r="A63" s="2"/>
      <c r="B63" s="118"/>
      <c r="C63" s="48"/>
      <c r="D63" s="28"/>
      <c r="E63" s="7"/>
      <c r="F63" s="34"/>
      <c r="G63" s="7"/>
      <c r="H63" s="6"/>
      <c r="I63" s="7"/>
      <c r="J63" s="34"/>
      <c r="K63" s="7"/>
      <c r="L63" s="51"/>
    </row>
    <row r="64" spans="1:12" ht="5.0999999999999996" customHeight="1" x14ac:dyDescent="0.25">
      <c r="A64" s="2"/>
      <c r="B64" s="118"/>
      <c r="C64" s="48"/>
      <c r="D64" s="53"/>
      <c r="E64" s="12"/>
      <c r="F64" s="33"/>
      <c r="G64" s="12"/>
      <c r="H64" s="9"/>
      <c r="I64" s="12"/>
      <c r="J64" s="33"/>
      <c r="K64" s="12"/>
      <c r="L64" s="10"/>
    </row>
    <row r="65" spans="1:12" ht="16.350000000000001" customHeight="1" x14ac:dyDescent="0.2">
      <c r="A65" s="2"/>
      <c r="B65" s="118"/>
      <c r="C65" s="48"/>
      <c r="D65" s="29" t="s">
        <v>266</v>
      </c>
      <c r="E65" s="12"/>
      <c r="F65" s="77">
        <v>10000</v>
      </c>
      <c r="G65" s="12"/>
      <c r="H65" s="49" t="s">
        <v>19</v>
      </c>
      <c r="I65" s="12"/>
      <c r="J65" s="64" t="s">
        <v>7</v>
      </c>
      <c r="K65" s="12"/>
      <c r="L65" s="13" t="s">
        <v>6</v>
      </c>
    </row>
    <row r="66" spans="1:12" ht="5.0999999999999996" customHeight="1" x14ac:dyDescent="0.25">
      <c r="A66" s="2"/>
      <c r="B66" s="118"/>
      <c r="C66" s="48"/>
      <c r="D66" s="28"/>
      <c r="E66" s="7"/>
      <c r="F66" s="34"/>
      <c r="G66" s="7"/>
      <c r="H66" s="6"/>
      <c r="I66" s="7"/>
      <c r="J66" s="34"/>
      <c r="K66" s="7"/>
      <c r="L66" s="51"/>
    </row>
    <row r="67" spans="1:12" ht="5.0999999999999996" customHeight="1" x14ac:dyDescent="0.25">
      <c r="A67" s="2"/>
      <c r="B67" s="118"/>
      <c r="C67" s="48"/>
      <c r="D67" s="53"/>
      <c r="E67" s="12"/>
      <c r="F67" s="33"/>
      <c r="G67" s="12"/>
      <c r="H67" s="9"/>
      <c r="I67" s="12"/>
      <c r="J67" s="33"/>
      <c r="K67" s="12"/>
      <c r="L67" s="10"/>
    </row>
    <row r="68" spans="1:12" ht="16.350000000000001" customHeight="1" x14ac:dyDescent="0.2">
      <c r="A68" s="2"/>
      <c r="B68" s="118"/>
      <c r="C68" s="48"/>
      <c r="D68" s="29" t="s">
        <v>267</v>
      </c>
      <c r="E68" s="12"/>
      <c r="F68" s="77">
        <v>10000</v>
      </c>
      <c r="G68" s="12"/>
      <c r="H68" s="49" t="s">
        <v>19</v>
      </c>
      <c r="I68" s="12"/>
      <c r="J68" s="64" t="s">
        <v>7</v>
      </c>
      <c r="K68" s="12"/>
      <c r="L68" s="13" t="s">
        <v>6</v>
      </c>
    </row>
    <row r="69" spans="1:12" ht="5.0999999999999996" customHeight="1" x14ac:dyDescent="0.25">
      <c r="A69" s="2"/>
      <c r="B69" s="118"/>
      <c r="C69" s="48"/>
      <c r="D69" s="28"/>
      <c r="E69" s="7"/>
      <c r="F69" s="34"/>
      <c r="G69" s="7"/>
      <c r="H69" s="6"/>
      <c r="I69" s="7"/>
      <c r="J69" s="34"/>
      <c r="K69" s="7"/>
      <c r="L69" s="51"/>
    </row>
    <row r="70" spans="1:12" ht="5.0999999999999996" customHeight="1" x14ac:dyDescent="0.25">
      <c r="A70" s="2"/>
      <c r="B70" s="118"/>
      <c r="C70" s="48"/>
      <c r="D70" s="53"/>
      <c r="E70" s="12"/>
      <c r="F70" s="33"/>
      <c r="G70" s="12"/>
      <c r="H70" s="9"/>
      <c r="I70" s="12"/>
      <c r="J70" s="33"/>
      <c r="K70" s="12"/>
      <c r="L70" s="10"/>
    </row>
    <row r="71" spans="1:12" ht="16.350000000000001" customHeight="1" x14ac:dyDescent="0.2">
      <c r="A71" s="2"/>
      <c r="B71" s="118"/>
      <c r="C71" s="48"/>
      <c r="D71" s="29" t="s">
        <v>268</v>
      </c>
      <c r="E71" s="12"/>
      <c r="F71" s="77">
        <v>10000</v>
      </c>
      <c r="G71" s="12"/>
      <c r="H71" s="49" t="s">
        <v>19</v>
      </c>
      <c r="I71" s="12"/>
      <c r="J71" s="64" t="s">
        <v>7</v>
      </c>
      <c r="K71" s="12"/>
      <c r="L71" s="13" t="s">
        <v>6</v>
      </c>
    </row>
    <row r="72" spans="1:12" ht="5.0999999999999996" customHeight="1" x14ac:dyDescent="0.25">
      <c r="A72" s="2"/>
      <c r="B72" s="118"/>
      <c r="C72" s="48"/>
      <c r="D72" s="28"/>
      <c r="E72" s="7"/>
      <c r="F72" s="34"/>
      <c r="G72" s="7"/>
      <c r="H72" s="6"/>
      <c r="I72" s="7"/>
      <c r="J72" s="34"/>
      <c r="K72" s="7"/>
      <c r="L72" s="51"/>
    </row>
    <row r="73" spans="1:12" ht="5.0999999999999996" customHeight="1" x14ac:dyDescent="0.25">
      <c r="A73" s="2"/>
      <c r="B73" s="118"/>
      <c r="C73" s="48"/>
      <c r="D73" s="53"/>
      <c r="E73" s="12"/>
      <c r="F73" s="33"/>
      <c r="G73" s="12"/>
      <c r="H73" s="9"/>
      <c r="I73" s="12"/>
      <c r="J73" s="33"/>
      <c r="K73" s="12"/>
      <c r="L73" s="10"/>
    </row>
    <row r="74" spans="1:12" ht="16.350000000000001" customHeight="1" x14ac:dyDescent="0.2">
      <c r="A74" s="2"/>
      <c r="B74" s="118"/>
      <c r="C74" s="48"/>
      <c r="D74" s="29" t="s">
        <v>269</v>
      </c>
      <c r="E74" s="12"/>
      <c r="F74" s="77">
        <v>10000</v>
      </c>
      <c r="G74" s="12"/>
      <c r="H74" s="49" t="s">
        <v>19</v>
      </c>
      <c r="I74" s="12"/>
      <c r="J74" s="64" t="s">
        <v>7</v>
      </c>
      <c r="K74" s="12"/>
      <c r="L74" s="13" t="s">
        <v>6</v>
      </c>
    </row>
    <row r="75" spans="1:12" ht="5.0999999999999996" customHeight="1" x14ac:dyDescent="0.25">
      <c r="A75" s="2"/>
      <c r="B75" s="118"/>
      <c r="C75" s="48"/>
      <c r="D75" s="28"/>
      <c r="E75" s="7"/>
      <c r="F75" s="34"/>
      <c r="G75" s="7"/>
      <c r="H75" s="6"/>
      <c r="I75" s="7"/>
      <c r="J75" s="34"/>
      <c r="K75" s="7"/>
      <c r="L75" s="51"/>
    </row>
    <row r="76" spans="1:12" ht="22.35" customHeight="1" x14ac:dyDescent="0.25">
      <c r="A76" s="2"/>
      <c r="B76" s="118"/>
      <c r="C76" s="48"/>
      <c r="D76" s="2"/>
      <c r="E76" s="2"/>
      <c r="F76" s="31"/>
      <c r="G76" s="2"/>
      <c r="H76" s="9"/>
      <c r="I76" s="2"/>
      <c r="J76" s="31"/>
      <c r="K76" s="2"/>
      <c r="L76" s="10"/>
    </row>
    <row r="77" spans="1:12" ht="5.0999999999999996" customHeight="1" thickBot="1" x14ac:dyDescent="0.3">
      <c r="A77" s="2"/>
      <c r="B77" s="119"/>
      <c r="C77" s="52"/>
      <c r="D77" s="14"/>
      <c r="E77" s="14"/>
      <c r="F77" s="36"/>
      <c r="G77" s="14"/>
      <c r="H77" s="18"/>
      <c r="I77" s="14"/>
      <c r="J77" s="36"/>
      <c r="K77" s="14"/>
      <c r="L77" s="15"/>
    </row>
    <row r="78" spans="1:12" ht="18" customHeight="1" x14ac:dyDescent="0.25">
      <c r="A78" s="2"/>
      <c r="B78" s="126" t="s">
        <v>4</v>
      </c>
      <c r="C78" s="2"/>
      <c r="D78" s="2"/>
      <c r="E78" s="2"/>
      <c r="F78" s="31"/>
      <c r="G78" s="2"/>
      <c r="H78" s="2"/>
      <c r="I78" s="2"/>
      <c r="J78" s="31"/>
      <c r="K78" s="2"/>
      <c r="L78" s="10"/>
    </row>
    <row r="79" spans="1:12" ht="17.100000000000001" customHeight="1" x14ac:dyDescent="0.2">
      <c r="A79" s="2"/>
      <c r="B79" s="118"/>
      <c r="C79" s="5"/>
      <c r="D79" s="6"/>
      <c r="E79" s="120" t="s">
        <v>1</v>
      </c>
      <c r="F79" s="121"/>
      <c r="G79" s="122"/>
      <c r="H79" s="4" t="s">
        <v>2</v>
      </c>
      <c r="I79" s="120" t="s">
        <v>3</v>
      </c>
      <c r="J79" s="121"/>
      <c r="K79" s="122"/>
      <c r="L79" s="11" t="s">
        <v>2</v>
      </c>
    </row>
    <row r="80" spans="1:12" ht="5.0999999999999996" customHeight="1" x14ac:dyDescent="0.25">
      <c r="A80" s="2"/>
      <c r="B80" s="118"/>
      <c r="C80" s="124"/>
      <c r="D80" s="2"/>
      <c r="E80" s="12"/>
      <c r="F80" s="33"/>
      <c r="G80" s="12"/>
      <c r="H80" s="9"/>
      <c r="I80" s="12"/>
      <c r="J80" s="33"/>
      <c r="K80" s="12"/>
      <c r="L80" s="10"/>
    </row>
    <row r="81" spans="1:12" ht="16.350000000000001" customHeight="1" x14ac:dyDescent="0.2">
      <c r="A81" s="2"/>
      <c r="B81" s="118"/>
      <c r="C81" s="124"/>
      <c r="D81" s="53" t="s">
        <v>381</v>
      </c>
      <c r="E81" s="12"/>
      <c r="F81" s="58">
        <v>10000</v>
      </c>
      <c r="G81" s="12"/>
      <c r="H81" s="49" t="s">
        <v>6</v>
      </c>
      <c r="I81" s="12"/>
      <c r="J81" s="38" t="s">
        <v>7</v>
      </c>
      <c r="K81" s="12"/>
      <c r="L81" s="13" t="s">
        <v>6</v>
      </c>
    </row>
    <row r="82" spans="1:12" ht="5.0999999999999996" customHeight="1" x14ac:dyDescent="0.25">
      <c r="A82" s="2"/>
      <c r="B82" s="118"/>
      <c r="C82" s="127"/>
      <c r="D82" s="50"/>
      <c r="E82" s="7"/>
      <c r="F82" s="34"/>
      <c r="G82" s="7"/>
      <c r="H82" s="6"/>
      <c r="I82" s="7"/>
      <c r="J82" s="34"/>
      <c r="K82" s="7"/>
      <c r="L82" s="51"/>
    </row>
    <row r="83" spans="1:12" ht="5.0999999999999996" customHeight="1" x14ac:dyDescent="0.25">
      <c r="A83" s="2"/>
      <c r="B83" s="118"/>
      <c r="C83" s="124"/>
      <c r="D83" s="2"/>
      <c r="E83" s="12"/>
      <c r="F83" s="33"/>
      <c r="G83" s="12"/>
      <c r="H83" s="9"/>
      <c r="I83" s="12"/>
      <c r="J83" s="33"/>
      <c r="K83" s="12"/>
      <c r="L83" s="10"/>
    </row>
    <row r="84" spans="1:12" ht="16.350000000000001" customHeight="1" x14ac:dyDescent="0.2">
      <c r="A84" s="2"/>
      <c r="B84" s="118"/>
      <c r="C84" s="124"/>
      <c r="D84" s="53" t="s">
        <v>382</v>
      </c>
      <c r="E84" s="12"/>
      <c r="F84" s="81">
        <v>10000</v>
      </c>
      <c r="G84" s="12"/>
      <c r="H84" s="49" t="s">
        <v>21</v>
      </c>
      <c r="I84" s="12"/>
      <c r="J84" s="39" t="s">
        <v>7</v>
      </c>
      <c r="K84" s="12"/>
      <c r="L84" s="13" t="s">
        <v>19</v>
      </c>
    </row>
    <row r="85" spans="1:12" ht="5.0999999999999996" customHeight="1" x14ac:dyDescent="0.25">
      <c r="A85" s="2"/>
      <c r="B85" s="118"/>
      <c r="C85" s="127"/>
      <c r="D85" s="50"/>
      <c r="E85" s="7"/>
      <c r="F85" s="34"/>
      <c r="G85" s="7"/>
      <c r="H85" s="6"/>
      <c r="I85" s="7"/>
      <c r="J85" s="34"/>
      <c r="K85" s="7"/>
      <c r="L85" s="51"/>
    </row>
    <row r="86" spans="1:12" ht="5.0999999999999996" customHeight="1" x14ac:dyDescent="0.25">
      <c r="A86" s="2"/>
      <c r="B86" s="118"/>
      <c r="C86" s="124"/>
      <c r="D86" s="2"/>
      <c r="E86" s="12"/>
      <c r="F86" s="33"/>
      <c r="G86" s="12"/>
      <c r="H86" s="9"/>
      <c r="I86" s="12"/>
      <c r="J86" s="33"/>
      <c r="K86" s="12"/>
      <c r="L86" s="10"/>
    </row>
    <row r="87" spans="1:12" ht="16.350000000000001" customHeight="1" x14ac:dyDescent="0.2">
      <c r="A87" s="2"/>
      <c r="B87" s="118"/>
      <c r="C87" s="124"/>
      <c r="D87" s="53" t="s">
        <v>10</v>
      </c>
      <c r="E87" s="12"/>
      <c r="F87" s="58">
        <v>10000</v>
      </c>
      <c r="G87" s="12"/>
      <c r="H87" s="49" t="s">
        <v>6</v>
      </c>
      <c r="I87" s="12"/>
      <c r="J87" s="38" t="s">
        <v>7</v>
      </c>
      <c r="K87" s="12"/>
      <c r="L87" s="13" t="s">
        <v>6</v>
      </c>
    </row>
    <row r="88" spans="1:12" ht="5.0999999999999996" customHeight="1" x14ac:dyDescent="0.25">
      <c r="A88" s="2"/>
      <c r="B88" s="118"/>
      <c r="C88" s="127"/>
      <c r="D88" s="50"/>
      <c r="E88" s="7"/>
      <c r="F88" s="34"/>
      <c r="G88" s="7"/>
      <c r="H88" s="6"/>
      <c r="I88" s="7"/>
      <c r="J88" s="34"/>
      <c r="K88" s="7"/>
      <c r="L88" s="51"/>
    </row>
    <row r="89" spans="1:12" ht="5.0999999999999996" customHeight="1" x14ac:dyDescent="0.25">
      <c r="A89" s="2"/>
      <c r="B89" s="118"/>
      <c r="C89" s="124"/>
      <c r="D89" s="2"/>
      <c r="E89" s="12"/>
      <c r="F89" s="33"/>
      <c r="G89" s="12"/>
      <c r="H89" s="9"/>
      <c r="I89" s="12"/>
      <c r="J89" s="33"/>
      <c r="K89" s="12"/>
      <c r="L89" s="10"/>
    </row>
    <row r="90" spans="1:12" ht="16.350000000000001" customHeight="1" x14ac:dyDescent="0.2">
      <c r="A90" s="2"/>
      <c r="B90" s="118"/>
      <c r="C90" s="124"/>
      <c r="D90" s="53" t="s">
        <v>11</v>
      </c>
      <c r="E90" s="12"/>
      <c r="F90" s="59">
        <v>10000</v>
      </c>
      <c r="G90" s="12"/>
      <c r="H90" s="49" t="s">
        <v>20</v>
      </c>
      <c r="I90" s="12"/>
      <c r="J90" s="38" t="s">
        <v>7</v>
      </c>
      <c r="K90" s="12"/>
      <c r="L90" s="13" t="s">
        <v>19</v>
      </c>
    </row>
    <row r="91" spans="1:12" ht="5.0999999999999996" customHeight="1" x14ac:dyDescent="0.25">
      <c r="A91" s="2"/>
      <c r="B91" s="118"/>
      <c r="C91" s="127"/>
      <c r="D91" s="50"/>
      <c r="E91" s="7"/>
      <c r="F91" s="34"/>
      <c r="G91" s="7"/>
      <c r="H91" s="6"/>
      <c r="I91" s="7"/>
      <c r="J91" s="34"/>
      <c r="K91" s="7"/>
      <c r="L91" s="51"/>
    </row>
    <row r="92" spans="1:12" ht="5.0999999999999996" customHeight="1" x14ac:dyDescent="0.25">
      <c r="A92" s="2"/>
      <c r="B92" s="118"/>
      <c r="C92" s="124"/>
      <c r="D92" s="2"/>
      <c r="E92" s="12"/>
      <c r="F92" s="33"/>
      <c r="G92" s="12"/>
      <c r="H92" s="9"/>
      <c r="I92" s="12"/>
      <c r="J92" s="33"/>
      <c r="K92" s="12"/>
      <c r="L92" s="10"/>
    </row>
    <row r="93" spans="1:12" ht="16.350000000000001" customHeight="1" x14ac:dyDescent="0.25">
      <c r="A93" s="2"/>
      <c r="B93" s="118"/>
      <c r="C93" s="124"/>
      <c r="D93" s="53" t="s">
        <v>12</v>
      </c>
      <c r="E93" s="12"/>
      <c r="F93" s="33"/>
      <c r="G93" s="12"/>
      <c r="H93" s="9"/>
      <c r="I93" s="12"/>
      <c r="J93" s="33"/>
      <c r="K93" s="12"/>
      <c r="L93" s="10"/>
    </row>
    <row r="94" spans="1:12" ht="5.0999999999999996" customHeight="1" x14ac:dyDescent="0.25">
      <c r="A94" s="2"/>
      <c r="B94" s="118"/>
      <c r="C94" s="48"/>
      <c r="D94" s="53"/>
      <c r="E94" s="12"/>
      <c r="F94" s="33"/>
      <c r="G94" s="12"/>
      <c r="H94" s="9"/>
      <c r="I94" s="12"/>
      <c r="J94" s="33"/>
      <c r="K94" s="12"/>
      <c r="L94" s="10"/>
    </row>
    <row r="95" spans="1:12" ht="16.350000000000001" customHeight="1" x14ac:dyDescent="0.2">
      <c r="A95" s="2"/>
      <c r="B95" s="118"/>
      <c r="C95" s="48"/>
      <c r="D95" s="29" t="s">
        <v>22</v>
      </c>
      <c r="E95" s="12"/>
      <c r="F95" s="58">
        <v>10000</v>
      </c>
      <c r="G95" s="12"/>
      <c r="H95" s="49" t="s">
        <v>21</v>
      </c>
      <c r="I95" s="12"/>
      <c r="J95" s="38" t="s">
        <v>7</v>
      </c>
      <c r="K95" s="12"/>
      <c r="L95" s="13" t="s">
        <v>19</v>
      </c>
    </row>
    <row r="96" spans="1:12" ht="5.0999999999999996" customHeight="1" x14ac:dyDescent="0.25">
      <c r="A96" s="2"/>
      <c r="B96" s="118"/>
      <c r="C96" s="48"/>
      <c r="D96" s="28"/>
      <c r="E96" s="7"/>
      <c r="F96" s="34"/>
      <c r="G96" s="7"/>
      <c r="H96" s="6"/>
      <c r="I96" s="7"/>
      <c r="J96" s="34"/>
      <c r="K96" s="7"/>
      <c r="L96" s="51"/>
    </row>
    <row r="97" spans="1:12" ht="5.0999999999999996" customHeight="1" x14ac:dyDescent="0.25">
      <c r="A97" s="2"/>
      <c r="B97" s="118"/>
      <c r="C97" s="48"/>
      <c r="D97" s="53"/>
      <c r="E97" s="12"/>
      <c r="F97" s="33"/>
      <c r="G97" s="12"/>
      <c r="H97" s="9"/>
      <c r="I97" s="12"/>
      <c r="J97" s="33"/>
      <c r="K97" s="12"/>
      <c r="L97" s="10"/>
    </row>
    <row r="98" spans="1:12" ht="16.350000000000001" customHeight="1" x14ac:dyDescent="0.2">
      <c r="A98" s="2"/>
      <c r="B98" s="118"/>
      <c r="C98" s="48"/>
      <c r="D98" s="29" t="s">
        <v>389</v>
      </c>
      <c r="E98" s="12"/>
      <c r="F98" s="81">
        <v>10000</v>
      </c>
      <c r="G98" s="12"/>
      <c r="H98" s="49" t="s">
        <v>21</v>
      </c>
      <c r="I98" s="12"/>
      <c r="J98" s="38" t="s">
        <v>7</v>
      </c>
      <c r="K98" s="12"/>
      <c r="L98" s="13" t="s">
        <v>19</v>
      </c>
    </row>
    <row r="99" spans="1:12" ht="5.0999999999999996" customHeight="1" x14ac:dyDescent="0.25">
      <c r="A99" s="2"/>
      <c r="B99" s="118"/>
      <c r="C99" s="48"/>
      <c r="D99" s="28"/>
      <c r="E99" s="7"/>
      <c r="F99" s="34"/>
      <c r="G99" s="7"/>
      <c r="H99" s="6"/>
      <c r="I99" s="7"/>
      <c r="J99" s="34"/>
      <c r="K99" s="7"/>
      <c r="L99" s="51"/>
    </row>
    <row r="100" spans="1:12" ht="5.0999999999999996" customHeight="1" x14ac:dyDescent="0.25">
      <c r="A100" s="2"/>
      <c r="B100" s="118"/>
      <c r="C100" s="48"/>
      <c r="D100" s="53"/>
      <c r="E100" s="12"/>
      <c r="F100" s="33"/>
      <c r="G100" s="12"/>
      <c r="H100" s="9"/>
      <c r="I100" s="12"/>
      <c r="J100" s="33"/>
      <c r="K100" s="12"/>
      <c r="L100" s="10"/>
    </row>
    <row r="101" spans="1:12" ht="16.350000000000001" customHeight="1" x14ac:dyDescent="0.2">
      <c r="A101" s="2"/>
      <c r="B101" s="118"/>
      <c r="C101" s="48"/>
      <c r="D101" s="29" t="s">
        <v>390</v>
      </c>
      <c r="E101" s="12"/>
      <c r="F101" s="81">
        <v>10000</v>
      </c>
      <c r="G101" s="12"/>
      <c r="H101" s="49" t="s">
        <v>21</v>
      </c>
      <c r="I101" s="12"/>
      <c r="J101" s="38" t="s">
        <v>7</v>
      </c>
      <c r="K101" s="12"/>
      <c r="L101" s="13" t="s">
        <v>19</v>
      </c>
    </row>
    <row r="102" spans="1:12" ht="5.0999999999999996" customHeight="1" x14ac:dyDescent="0.25">
      <c r="A102" s="2"/>
      <c r="B102" s="118"/>
      <c r="C102" s="48"/>
      <c r="D102" s="28"/>
      <c r="E102" s="7"/>
      <c r="F102" s="34"/>
      <c r="G102" s="7"/>
      <c r="H102" s="6"/>
      <c r="I102" s="7"/>
      <c r="J102" s="34"/>
      <c r="K102" s="7"/>
      <c r="L102" s="51"/>
    </row>
    <row r="103" spans="1:12" ht="5.0999999999999996" customHeight="1" x14ac:dyDescent="0.25">
      <c r="A103" s="2"/>
      <c r="B103" s="118"/>
      <c r="C103" s="48"/>
      <c r="D103" s="53"/>
      <c r="E103" s="12"/>
      <c r="F103" s="33"/>
      <c r="G103" s="12"/>
      <c r="H103" s="9"/>
      <c r="I103" s="12"/>
      <c r="J103" s="33"/>
      <c r="K103" s="12"/>
      <c r="L103" s="10"/>
    </row>
    <row r="104" spans="1:12" ht="16.350000000000001" customHeight="1" x14ac:dyDescent="0.2">
      <c r="A104" s="2"/>
      <c r="B104" s="118"/>
      <c r="C104" s="48"/>
      <c r="D104" s="29" t="s">
        <v>391</v>
      </c>
      <c r="E104" s="12"/>
      <c r="F104" s="81">
        <v>10000</v>
      </c>
      <c r="G104" s="12"/>
      <c r="H104" s="49" t="s">
        <v>21</v>
      </c>
      <c r="I104" s="12"/>
      <c r="J104" s="38" t="s">
        <v>7</v>
      </c>
      <c r="K104" s="12"/>
      <c r="L104" s="13" t="s">
        <v>19</v>
      </c>
    </row>
    <row r="105" spans="1:12" ht="5.0999999999999996" customHeight="1" x14ac:dyDescent="0.25">
      <c r="A105" s="2"/>
      <c r="B105" s="118"/>
      <c r="C105" s="48"/>
      <c r="D105" s="28"/>
      <c r="E105" s="7"/>
      <c r="F105" s="34"/>
      <c r="G105" s="7"/>
      <c r="H105" s="6"/>
      <c r="I105" s="7"/>
      <c r="J105" s="34"/>
      <c r="K105" s="7"/>
      <c r="L105" s="51"/>
    </row>
    <row r="106" spans="1:12" ht="5.0999999999999996" customHeight="1" x14ac:dyDescent="0.25">
      <c r="A106" s="2"/>
      <c r="B106" s="118"/>
      <c r="C106" s="48"/>
      <c r="D106" s="53"/>
      <c r="E106" s="12"/>
      <c r="F106" s="33"/>
      <c r="G106" s="12"/>
      <c r="H106" s="9"/>
      <c r="I106" s="12"/>
      <c r="J106" s="33"/>
      <c r="K106" s="12"/>
      <c r="L106" s="10"/>
    </row>
    <row r="107" spans="1:12" ht="16.350000000000001" customHeight="1" x14ac:dyDescent="0.2">
      <c r="A107" s="2"/>
      <c r="B107" s="118"/>
      <c r="C107" s="48"/>
      <c r="D107" s="29" t="s">
        <v>392</v>
      </c>
      <c r="E107" s="12"/>
      <c r="F107" s="81">
        <v>10000</v>
      </c>
      <c r="G107" s="12"/>
      <c r="H107" s="49" t="s">
        <v>21</v>
      </c>
      <c r="I107" s="12"/>
      <c r="J107" s="38" t="s">
        <v>7</v>
      </c>
      <c r="K107" s="12"/>
      <c r="L107" s="13" t="s">
        <v>19</v>
      </c>
    </row>
    <row r="108" spans="1:12" ht="5.0999999999999996" customHeight="1" x14ac:dyDescent="0.25">
      <c r="A108" s="2"/>
      <c r="B108" s="118"/>
      <c r="C108" s="48"/>
      <c r="D108" s="28"/>
      <c r="E108" s="7"/>
      <c r="F108" s="34"/>
      <c r="G108" s="7"/>
      <c r="H108" s="6"/>
      <c r="I108" s="7"/>
      <c r="J108" s="34"/>
      <c r="K108" s="7"/>
      <c r="L108" s="51"/>
    </row>
    <row r="109" spans="1:12" ht="5.0999999999999996" customHeight="1" x14ac:dyDescent="0.25">
      <c r="A109" s="2"/>
      <c r="B109" s="118"/>
      <c r="C109" s="48"/>
      <c r="D109" s="53"/>
      <c r="E109" s="12"/>
      <c r="F109" s="33"/>
      <c r="G109" s="12"/>
      <c r="H109" s="9"/>
      <c r="I109" s="12"/>
      <c r="J109" s="33"/>
      <c r="K109" s="12"/>
      <c r="L109" s="10"/>
    </row>
    <row r="110" spans="1:12" ht="16.350000000000001" customHeight="1" x14ac:dyDescent="0.2">
      <c r="A110" s="2"/>
      <c r="B110" s="118"/>
      <c r="C110" s="48"/>
      <c r="D110" s="29" t="s">
        <v>393</v>
      </c>
      <c r="E110" s="12"/>
      <c r="F110" s="81">
        <v>10000</v>
      </c>
      <c r="G110" s="12"/>
      <c r="H110" s="49" t="s">
        <v>21</v>
      </c>
      <c r="I110" s="12"/>
      <c r="J110" s="38" t="s">
        <v>7</v>
      </c>
      <c r="K110" s="12"/>
      <c r="L110" s="13" t="s">
        <v>19</v>
      </c>
    </row>
    <row r="111" spans="1:12" ht="5.0999999999999996" customHeight="1" x14ac:dyDescent="0.25">
      <c r="A111" s="2"/>
      <c r="B111" s="118"/>
      <c r="C111" s="48"/>
      <c r="D111" s="28"/>
      <c r="E111" s="7"/>
      <c r="F111" s="34"/>
      <c r="G111" s="7"/>
      <c r="H111" s="6"/>
      <c r="I111" s="7"/>
      <c r="J111" s="34"/>
      <c r="K111" s="7"/>
      <c r="L111" s="51"/>
    </row>
    <row r="112" spans="1:12" ht="5.0999999999999996" customHeight="1" x14ac:dyDescent="0.25">
      <c r="A112" s="2"/>
      <c r="B112" s="118"/>
      <c r="C112" s="48"/>
      <c r="D112" s="53"/>
      <c r="E112" s="12"/>
      <c r="F112" s="33"/>
      <c r="G112" s="12"/>
      <c r="H112" s="9"/>
      <c r="I112" s="12"/>
      <c r="J112" s="33"/>
      <c r="K112" s="12"/>
      <c r="L112" s="10"/>
    </row>
    <row r="113" spans="1:12" ht="16.350000000000001" customHeight="1" x14ac:dyDescent="0.2">
      <c r="A113" s="2"/>
      <c r="B113" s="118"/>
      <c r="C113" s="48"/>
      <c r="D113" s="29" t="s">
        <v>394</v>
      </c>
      <c r="E113" s="12"/>
      <c r="F113" s="81">
        <v>10000</v>
      </c>
      <c r="G113" s="12"/>
      <c r="H113" s="49" t="s">
        <v>21</v>
      </c>
      <c r="I113" s="12"/>
      <c r="J113" s="38" t="s">
        <v>7</v>
      </c>
      <c r="K113" s="12"/>
      <c r="L113" s="13" t="s">
        <v>19</v>
      </c>
    </row>
    <row r="114" spans="1:12" ht="5.0999999999999996" customHeight="1" x14ac:dyDescent="0.25">
      <c r="A114" s="2"/>
      <c r="B114" s="118"/>
      <c r="C114" s="48"/>
      <c r="D114" s="28"/>
      <c r="E114" s="7"/>
      <c r="F114" s="34"/>
      <c r="G114" s="7"/>
      <c r="H114" s="6"/>
      <c r="I114" s="7"/>
      <c r="J114" s="34"/>
      <c r="K114" s="7"/>
      <c r="L114" s="51"/>
    </row>
    <row r="115" spans="1:12" ht="5.0999999999999996" customHeight="1" x14ac:dyDescent="0.25">
      <c r="A115" s="2"/>
      <c r="B115" s="118"/>
      <c r="C115" s="48"/>
      <c r="D115" s="53"/>
      <c r="E115" s="12"/>
      <c r="F115" s="33"/>
      <c r="G115" s="12"/>
      <c r="H115" s="9"/>
      <c r="I115" s="12"/>
      <c r="J115" s="33"/>
      <c r="K115" s="12"/>
      <c r="L115" s="10"/>
    </row>
    <row r="116" spans="1:12" ht="16.350000000000001" customHeight="1" x14ac:dyDescent="0.2">
      <c r="A116" s="2"/>
      <c r="B116" s="118"/>
      <c r="C116" s="48"/>
      <c r="D116" s="29" t="s">
        <v>395</v>
      </c>
      <c r="E116" s="12"/>
      <c r="F116" s="81">
        <v>10000</v>
      </c>
      <c r="G116" s="12"/>
      <c r="H116" s="49" t="s">
        <v>21</v>
      </c>
      <c r="I116" s="12"/>
      <c r="J116" s="38" t="s">
        <v>7</v>
      </c>
      <c r="K116" s="12"/>
      <c r="L116" s="13" t="s">
        <v>19</v>
      </c>
    </row>
    <row r="117" spans="1:12" ht="5.0999999999999996" customHeight="1" x14ac:dyDescent="0.25">
      <c r="A117" s="2"/>
      <c r="B117" s="118"/>
      <c r="C117" s="48"/>
      <c r="D117" s="28"/>
      <c r="E117" s="7"/>
      <c r="F117" s="34"/>
      <c r="G117" s="7"/>
      <c r="H117" s="6"/>
      <c r="I117" s="7"/>
      <c r="J117" s="34"/>
      <c r="K117" s="7"/>
      <c r="L117" s="51"/>
    </row>
    <row r="118" spans="1:12" ht="5.0999999999999996" customHeight="1" x14ac:dyDescent="0.25">
      <c r="A118" s="2"/>
      <c r="B118" s="118"/>
      <c r="C118" s="48"/>
      <c r="D118" s="53"/>
      <c r="E118" s="12"/>
      <c r="F118" s="33"/>
      <c r="G118" s="12"/>
      <c r="H118" s="9"/>
      <c r="I118" s="12"/>
      <c r="J118" s="33"/>
      <c r="K118" s="12"/>
      <c r="L118" s="10"/>
    </row>
    <row r="119" spans="1:12" ht="16.350000000000001" customHeight="1" x14ac:dyDescent="0.2">
      <c r="A119" s="2"/>
      <c r="B119" s="118"/>
      <c r="C119" s="48"/>
      <c r="D119" s="29" t="s">
        <v>396</v>
      </c>
      <c r="E119" s="12"/>
      <c r="F119" s="81">
        <v>10000</v>
      </c>
      <c r="G119" s="12"/>
      <c r="H119" s="49" t="s">
        <v>21</v>
      </c>
      <c r="I119" s="12"/>
      <c r="J119" s="38" t="s">
        <v>7</v>
      </c>
      <c r="K119" s="12"/>
      <c r="L119" s="13" t="s">
        <v>19</v>
      </c>
    </row>
    <row r="120" spans="1:12" ht="5.0999999999999996" customHeight="1" x14ac:dyDescent="0.25">
      <c r="A120" s="2"/>
      <c r="B120" s="118"/>
      <c r="C120" s="48"/>
      <c r="D120" s="28"/>
      <c r="E120" s="7"/>
      <c r="F120" s="34"/>
      <c r="G120" s="7"/>
      <c r="H120" s="6"/>
      <c r="I120" s="7"/>
      <c r="J120" s="34"/>
      <c r="K120" s="7"/>
      <c r="L120" s="51"/>
    </row>
    <row r="121" spans="1:12" ht="5.0999999999999996" customHeight="1" x14ac:dyDescent="0.25">
      <c r="A121" s="2"/>
      <c r="B121" s="118"/>
      <c r="C121" s="48"/>
      <c r="D121" s="53"/>
      <c r="E121" s="12"/>
      <c r="F121" s="33"/>
      <c r="G121" s="12"/>
      <c r="H121" s="9"/>
      <c r="I121" s="12"/>
      <c r="J121" s="33"/>
      <c r="K121" s="12"/>
      <c r="L121" s="10"/>
    </row>
    <row r="122" spans="1:12" ht="16.350000000000001" customHeight="1" x14ac:dyDescent="0.2">
      <c r="A122" s="2"/>
      <c r="B122" s="118"/>
      <c r="C122" s="48"/>
      <c r="D122" s="29" t="s">
        <v>397</v>
      </c>
      <c r="E122" s="12"/>
      <c r="F122" s="81">
        <v>10000</v>
      </c>
      <c r="G122" s="12"/>
      <c r="H122" s="49" t="s">
        <v>21</v>
      </c>
      <c r="I122" s="12"/>
      <c r="J122" s="38" t="s">
        <v>7</v>
      </c>
      <c r="K122" s="12"/>
      <c r="L122" s="13" t="s">
        <v>19</v>
      </c>
    </row>
    <row r="123" spans="1:12" ht="5.0999999999999996" customHeight="1" x14ac:dyDescent="0.25">
      <c r="A123" s="2"/>
      <c r="B123" s="118"/>
      <c r="C123" s="48"/>
      <c r="D123" s="28"/>
      <c r="E123" s="7"/>
      <c r="F123" s="34"/>
      <c r="G123" s="7"/>
      <c r="H123" s="6"/>
      <c r="I123" s="7"/>
      <c r="J123" s="34"/>
      <c r="K123" s="7"/>
      <c r="L123" s="51"/>
    </row>
    <row r="124" spans="1:12" ht="5.0999999999999996" customHeight="1" x14ac:dyDescent="0.25">
      <c r="A124" s="2"/>
      <c r="B124" s="118"/>
      <c r="C124" s="48"/>
      <c r="D124" s="53"/>
      <c r="E124" s="12"/>
      <c r="F124" s="33"/>
      <c r="G124" s="12"/>
      <c r="H124" s="9"/>
      <c r="I124" s="12"/>
      <c r="J124" s="33"/>
      <c r="K124" s="12"/>
      <c r="L124" s="10"/>
    </row>
    <row r="125" spans="1:12" ht="16.350000000000001" customHeight="1" x14ac:dyDescent="0.2">
      <c r="A125" s="2"/>
      <c r="B125" s="118"/>
      <c r="C125" s="48"/>
      <c r="D125" s="29" t="s">
        <v>398</v>
      </c>
      <c r="E125" s="12"/>
      <c r="F125" s="81">
        <v>10000</v>
      </c>
      <c r="G125" s="12"/>
      <c r="H125" s="49" t="s">
        <v>21</v>
      </c>
      <c r="I125" s="12"/>
      <c r="J125" s="38" t="s">
        <v>7</v>
      </c>
      <c r="K125" s="12"/>
      <c r="L125" s="13" t="s">
        <v>19</v>
      </c>
    </row>
    <row r="126" spans="1:12" ht="5.0999999999999996" customHeight="1" x14ac:dyDescent="0.25">
      <c r="A126" s="2"/>
      <c r="B126" s="118"/>
      <c r="C126" s="48"/>
      <c r="D126" s="28"/>
      <c r="E126" s="7"/>
      <c r="F126" s="34"/>
      <c r="G126" s="7"/>
      <c r="H126" s="6"/>
      <c r="I126" s="7"/>
      <c r="J126" s="34"/>
      <c r="K126" s="7"/>
      <c r="L126" s="51"/>
    </row>
    <row r="127" spans="1:12" ht="5.0999999999999996" customHeight="1" x14ac:dyDescent="0.25">
      <c r="A127" s="2"/>
      <c r="B127" s="118"/>
      <c r="C127" s="48"/>
      <c r="D127" s="53"/>
      <c r="E127" s="12"/>
      <c r="F127" s="33"/>
      <c r="G127" s="12"/>
      <c r="H127" s="9"/>
      <c r="I127" s="12"/>
      <c r="J127" s="33"/>
      <c r="K127" s="12"/>
      <c r="L127" s="10"/>
    </row>
    <row r="128" spans="1:12" ht="16.350000000000001" customHeight="1" x14ac:dyDescent="0.2">
      <c r="A128" s="2"/>
      <c r="B128" s="118"/>
      <c r="C128" s="48"/>
      <c r="D128" s="29" t="s">
        <v>399</v>
      </c>
      <c r="E128" s="12"/>
      <c r="F128" s="81">
        <v>10000</v>
      </c>
      <c r="G128" s="12"/>
      <c r="H128" s="49" t="s">
        <v>21</v>
      </c>
      <c r="I128" s="12"/>
      <c r="J128" s="38" t="s">
        <v>7</v>
      </c>
      <c r="K128" s="12"/>
      <c r="L128" s="13" t="s">
        <v>19</v>
      </c>
    </row>
    <row r="129" spans="1:12" ht="5.0999999999999996" customHeight="1" x14ac:dyDescent="0.25">
      <c r="A129" s="2"/>
      <c r="B129" s="118"/>
      <c r="C129" s="48"/>
      <c r="D129" s="28"/>
      <c r="E129" s="7"/>
      <c r="F129" s="34"/>
      <c r="G129" s="7"/>
      <c r="H129" s="6"/>
      <c r="I129" s="7"/>
      <c r="J129" s="34"/>
      <c r="K129" s="7"/>
      <c r="L129" s="51"/>
    </row>
    <row r="130" spans="1:12" ht="5.0999999999999996" customHeight="1" x14ac:dyDescent="0.25">
      <c r="A130" s="2"/>
      <c r="B130" s="118"/>
      <c r="C130" s="48"/>
      <c r="D130" s="53"/>
      <c r="E130" s="12"/>
      <c r="F130" s="33"/>
      <c r="G130" s="12"/>
      <c r="H130" s="9"/>
      <c r="I130" s="12"/>
      <c r="J130" s="33"/>
      <c r="K130" s="12"/>
      <c r="L130" s="10"/>
    </row>
    <row r="131" spans="1:12" ht="16.350000000000001" customHeight="1" x14ac:dyDescent="0.2">
      <c r="A131" s="2"/>
      <c r="B131" s="118"/>
      <c r="C131" s="48"/>
      <c r="D131" s="29" t="s">
        <v>400</v>
      </c>
      <c r="E131" s="12"/>
      <c r="F131" s="81">
        <v>10000</v>
      </c>
      <c r="G131" s="12"/>
      <c r="H131" s="49" t="s">
        <v>21</v>
      </c>
      <c r="I131" s="12"/>
      <c r="J131" s="38" t="s">
        <v>7</v>
      </c>
      <c r="K131" s="12"/>
      <c r="L131" s="13" t="s">
        <v>19</v>
      </c>
    </row>
    <row r="132" spans="1:12" ht="5.0999999999999996" customHeight="1" x14ac:dyDescent="0.25">
      <c r="A132" s="2"/>
      <c r="B132" s="118"/>
      <c r="C132" s="48"/>
      <c r="D132" s="28"/>
      <c r="E132" s="7"/>
      <c r="F132" s="34"/>
      <c r="G132" s="7"/>
      <c r="H132" s="6"/>
      <c r="I132" s="7"/>
      <c r="J132" s="34"/>
      <c r="K132" s="7"/>
      <c r="L132" s="51"/>
    </row>
    <row r="133" spans="1:12" ht="5.0999999999999996" customHeight="1" x14ac:dyDescent="0.25">
      <c r="A133" s="2"/>
      <c r="B133" s="118"/>
      <c r="C133" s="48"/>
      <c r="D133" s="53"/>
      <c r="E133" s="12"/>
      <c r="F133" s="33"/>
      <c r="G133" s="12"/>
      <c r="H133" s="9"/>
      <c r="I133" s="12"/>
      <c r="J133" s="33"/>
      <c r="K133" s="12"/>
      <c r="L133" s="10"/>
    </row>
    <row r="134" spans="1:12" ht="16.350000000000001" customHeight="1" x14ac:dyDescent="0.2">
      <c r="A134" s="2"/>
      <c r="B134" s="118"/>
      <c r="C134" s="48"/>
      <c r="D134" s="29" t="s">
        <v>401</v>
      </c>
      <c r="E134" s="12"/>
      <c r="F134" s="81">
        <v>10000</v>
      </c>
      <c r="G134" s="12"/>
      <c r="H134" s="49" t="s">
        <v>21</v>
      </c>
      <c r="I134" s="12"/>
      <c r="J134" s="38" t="s">
        <v>7</v>
      </c>
      <c r="K134" s="12"/>
      <c r="L134" s="13" t="s">
        <v>19</v>
      </c>
    </row>
    <row r="135" spans="1:12" ht="5.0999999999999996" customHeight="1" x14ac:dyDescent="0.25">
      <c r="A135" s="2"/>
      <c r="B135" s="118"/>
      <c r="C135" s="48"/>
      <c r="D135" s="28"/>
      <c r="E135" s="7"/>
      <c r="F135" s="34"/>
      <c r="G135" s="7"/>
      <c r="H135" s="6"/>
      <c r="I135" s="7"/>
      <c r="J135" s="34"/>
      <c r="K135" s="7"/>
      <c r="L135" s="51"/>
    </row>
    <row r="136" spans="1:12" ht="5.0999999999999996" customHeight="1" x14ac:dyDescent="0.25">
      <c r="A136" s="2"/>
      <c r="B136" s="118"/>
      <c r="C136" s="48"/>
      <c r="D136" s="53"/>
      <c r="E136" s="12"/>
      <c r="F136" s="33"/>
      <c r="G136" s="12"/>
      <c r="H136" s="9"/>
      <c r="I136" s="12"/>
      <c r="J136" s="33"/>
      <c r="K136" s="12"/>
      <c r="L136" s="10"/>
    </row>
    <row r="137" spans="1:12" ht="16.350000000000001" customHeight="1" x14ac:dyDescent="0.2">
      <c r="A137" s="2"/>
      <c r="B137" s="118"/>
      <c r="C137" s="48"/>
      <c r="D137" s="29" t="s">
        <v>402</v>
      </c>
      <c r="E137" s="12"/>
      <c r="F137" s="81">
        <v>10000</v>
      </c>
      <c r="G137" s="12"/>
      <c r="H137" s="49" t="s">
        <v>21</v>
      </c>
      <c r="I137" s="12"/>
      <c r="J137" s="38" t="s">
        <v>7</v>
      </c>
      <c r="K137" s="12"/>
      <c r="L137" s="13" t="s">
        <v>19</v>
      </c>
    </row>
    <row r="138" spans="1:12" ht="5.0999999999999996" customHeight="1" x14ac:dyDescent="0.25">
      <c r="A138" s="2"/>
      <c r="B138" s="118"/>
      <c r="C138" s="48"/>
      <c r="D138" s="28"/>
      <c r="E138" s="7"/>
      <c r="F138" s="34"/>
      <c r="G138" s="7"/>
      <c r="H138" s="6"/>
      <c r="I138" s="7"/>
      <c r="J138" s="34"/>
      <c r="K138" s="7"/>
      <c r="L138" s="51"/>
    </row>
    <row r="139" spans="1:12" ht="5.0999999999999996" customHeight="1" x14ac:dyDescent="0.25">
      <c r="A139" s="2"/>
      <c r="B139" s="118"/>
      <c r="C139" s="48"/>
      <c r="D139" s="53"/>
      <c r="E139" s="12"/>
      <c r="F139" s="33"/>
      <c r="G139" s="12"/>
      <c r="H139" s="9"/>
      <c r="I139" s="12"/>
      <c r="J139" s="33"/>
      <c r="K139" s="12"/>
      <c r="L139" s="10"/>
    </row>
    <row r="140" spans="1:12" ht="16.350000000000001" customHeight="1" x14ac:dyDescent="0.2">
      <c r="A140" s="2"/>
      <c r="B140" s="118"/>
      <c r="C140" s="48"/>
      <c r="D140" s="29" t="s">
        <v>403</v>
      </c>
      <c r="E140" s="12"/>
      <c r="F140" s="81">
        <v>10000</v>
      </c>
      <c r="G140" s="12"/>
      <c r="H140" s="49" t="s">
        <v>21</v>
      </c>
      <c r="I140" s="12"/>
      <c r="J140" s="38" t="s">
        <v>7</v>
      </c>
      <c r="K140" s="12"/>
      <c r="L140" s="13" t="s">
        <v>19</v>
      </c>
    </row>
    <row r="141" spans="1:12" ht="5.0999999999999996" customHeight="1" x14ac:dyDescent="0.25">
      <c r="A141" s="2"/>
      <c r="B141" s="118"/>
      <c r="C141" s="48"/>
      <c r="D141" s="28"/>
      <c r="E141" s="7"/>
      <c r="F141" s="34"/>
      <c r="G141" s="7"/>
      <c r="H141" s="6"/>
      <c r="I141" s="7"/>
      <c r="J141" s="34"/>
      <c r="K141" s="7"/>
      <c r="L141" s="51"/>
    </row>
    <row r="142" spans="1:12" ht="5.0999999999999996" customHeight="1" x14ac:dyDescent="0.25">
      <c r="A142" s="2"/>
      <c r="B142" s="118"/>
      <c r="C142" s="48"/>
      <c r="D142" s="53"/>
      <c r="E142" s="12"/>
      <c r="F142" s="33"/>
      <c r="G142" s="12"/>
      <c r="H142" s="9"/>
      <c r="I142" s="12"/>
      <c r="J142" s="33"/>
      <c r="K142" s="12"/>
      <c r="L142" s="10"/>
    </row>
    <row r="143" spans="1:12" ht="16.350000000000001" customHeight="1" x14ac:dyDescent="0.2">
      <c r="A143" s="2"/>
      <c r="B143" s="118"/>
      <c r="C143" s="48"/>
      <c r="D143" s="29" t="s">
        <v>404</v>
      </c>
      <c r="E143" s="12"/>
      <c r="F143" s="58">
        <v>10000</v>
      </c>
      <c r="G143" s="12"/>
      <c r="H143" s="49" t="s">
        <v>21</v>
      </c>
      <c r="I143" s="12"/>
      <c r="J143" s="38" t="s">
        <v>7</v>
      </c>
      <c r="K143" s="12"/>
      <c r="L143" s="13" t="s">
        <v>19</v>
      </c>
    </row>
    <row r="144" spans="1:12" ht="5.0999999999999996" customHeight="1" x14ac:dyDescent="0.25">
      <c r="A144" s="2"/>
      <c r="B144" s="118"/>
      <c r="C144" s="48"/>
      <c r="D144" s="28"/>
      <c r="E144" s="7"/>
      <c r="F144" s="34"/>
      <c r="G144" s="7"/>
      <c r="H144" s="6"/>
      <c r="I144" s="7"/>
      <c r="J144" s="34"/>
      <c r="K144" s="7"/>
      <c r="L144" s="51"/>
    </row>
    <row r="145" spans="1:12" ht="5.0999999999999996" customHeight="1" x14ac:dyDescent="0.25">
      <c r="A145" s="2"/>
      <c r="B145" s="118"/>
      <c r="C145" s="48"/>
      <c r="D145" s="53"/>
      <c r="E145" s="12"/>
      <c r="F145" s="33"/>
      <c r="G145" s="12"/>
      <c r="H145" s="9"/>
      <c r="I145" s="12"/>
      <c r="J145" s="33"/>
      <c r="K145" s="12"/>
      <c r="L145" s="10"/>
    </row>
    <row r="146" spans="1:12" ht="16.350000000000001" customHeight="1" x14ac:dyDescent="0.2">
      <c r="A146" s="2"/>
      <c r="B146" s="118"/>
      <c r="C146" s="48"/>
      <c r="D146" s="29" t="s">
        <v>405</v>
      </c>
      <c r="E146" s="12"/>
      <c r="F146" s="58">
        <v>10000</v>
      </c>
      <c r="G146" s="12"/>
      <c r="H146" s="49" t="s">
        <v>21</v>
      </c>
      <c r="I146" s="12"/>
      <c r="J146" s="38" t="s">
        <v>7</v>
      </c>
      <c r="K146" s="12"/>
      <c r="L146" s="13" t="s">
        <v>19</v>
      </c>
    </row>
    <row r="147" spans="1:12" ht="5.0999999999999996" customHeight="1" x14ac:dyDescent="0.25">
      <c r="A147" s="2"/>
      <c r="B147" s="118"/>
      <c r="C147" s="48"/>
      <c r="D147" s="28"/>
      <c r="E147" s="7"/>
      <c r="F147" s="34"/>
      <c r="G147" s="7"/>
      <c r="H147" s="6"/>
      <c r="I147" s="7"/>
      <c r="J147" s="34"/>
      <c r="K147" s="7"/>
      <c r="L147" s="51"/>
    </row>
    <row r="148" spans="1:12" ht="5.0999999999999996" customHeight="1" x14ac:dyDescent="0.25">
      <c r="A148" s="2"/>
      <c r="B148" s="118"/>
      <c r="C148" s="48"/>
      <c r="D148" s="53"/>
      <c r="E148" s="12"/>
      <c r="F148" s="33"/>
      <c r="G148" s="12"/>
      <c r="H148" s="9"/>
      <c r="I148" s="12"/>
      <c r="J148" s="33"/>
      <c r="K148" s="12"/>
      <c r="L148" s="10"/>
    </row>
    <row r="149" spans="1:12" ht="16.350000000000001" customHeight="1" x14ac:dyDescent="0.2">
      <c r="A149" s="2"/>
      <c r="B149" s="118"/>
      <c r="C149" s="48"/>
      <c r="D149" s="29" t="s">
        <v>406</v>
      </c>
      <c r="E149" s="12"/>
      <c r="F149" s="58">
        <v>10000</v>
      </c>
      <c r="G149" s="12"/>
      <c r="H149" s="49" t="s">
        <v>21</v>
      </c>
      <c r="I149" s="12"/>
      <c r="J149" s="38" t="s">
        <v>7</v>
      </c>
      <c r="K149" s="12"/>
      <c r="L149" s="13" t="s">
        <v>19</v>
      </c>
    </row>
    <row r="150" spans="1:12" ht="5.0999999999999996" customHeight="1" x14ac:dyDescent="0.25">
      <c r="A150" s="2"/>
      <c r="B150" s="118"/>
      <c r="C150" s="48"/>
      <c r="D150" s="28"/>
      <c r="E150" s="7"/>
      <c r="F150" s="34"/>
      <c r="G150" s="7"/>
      <c r="H150" s="6"/>
      <c r="I150" s="7"/>
      <c r="J150" s="34"/>
      <c r="K150" s="7"/>
      <c r="L150" s="51"/>
    </row>
    <row r="151" spans="1:12" ht="5.0999999999999996" customHeight="1" x14ac:dyDescent="0.25">
      <c r="A151" s="2"/>
      <c r="B151" s="118"/>
      <c r="C151" s="48"/>
      <c r="D151" s="53"/>
      <c r="E151" s="12"/>
      <c r="F151" s="33"/>
      <c r="G151" s="12"/>
      <c r="H151" s="9"/>
      <c r="I151" s="12"/>
      <c r="J151" s="33"/>
      <c r="K151" s="12"/>
      <c r="L151" s="10"/>
    </row>
    <row r="152" spans="1:12" ht="16.350000000000001" customHeight="1" x14ac:dyDescent="0.2">
      <c r="A152" s="2"/>
      <c r="B152" s="118"/>
      <c r="C152" s="48"/>
      <c r="D152" s="29" t="s">
        <v>407</v>
      </c>
      <c r="E152" s="12"/>
      <c r="F152" s="58">
        <v>10000</v>
      </c>
      <c r="G152" s="12"/>
      <c r="H152" s="49" t="s">
        <v>21</v>
      </c>
      <c r="I152" s="12"/>
      <c r="J152" s="38" t="s">
        <v>7</v>
      </c>
      <c r="K152" s="12"/>
      <c r="L152" s="13" t="s">
        <v>19</v>
      </c>
    </row>
    <row r="153" spans="1:12" ht="5.0999999999999996" customHeight="1" x14ac:dyDescent="0.25">
      <c r="A153" s="2"/>
      <c r="B153" s="118"/>
      <c r="C153" s="48"/>
      <c r="D153" s="28"/>
      <c r="E153" s="7"/>
      <c r="F153" s="34"/>
      <c r="G153" s="7"/>
      <c r="H153" s="6"/>
      <c r="I153" s="7"/>
      <c r="J153" s="34"/>
      <c r="K153" s="7"/>
      <c r="L153" s="51"/>
    </row>
    <row r="154" spans="1:12" ht="5.0999999999999996" customHeight="1" x14ac:dyDescent="0.25">
      <c r="A154" s="2"/>
      <c r="B154" s="118"/>
      <c r="C154" s="48"/>
      <c r="D154" s="53"/>
      <c r="E154" s="12"/>
      <c r="F154" s="33"/>
      <c r="G154" s="12"/>
      <c r="H154" s="9"/>
      <c r="I154" s="12"/>
      <c r="J154" s="33"/>
      <c r="K154" s="12"/>
      <c r="L154" s="10"/>
    </row>
    <row r="155" spans="1:12" ht="16.350000000000001" customHeight="1" x14ac:dyDescent="0.2">
      <c r="A155" s="2"/>
      <c r="B155" s="118"/>
      <c r="C155" s="48"/>
      <c r="D155" s="29" t="s">
        <v>408</v>
      </c>
      <c r="E155" s="12"/>
      <c r="F155" s="58">
        <v>10000</v>
      </c>
      <c r="G155" s="12"/>
      <c r="H155" s="49" t="s">
        <v>21</v>
      </c>
      <c r="I155" s="12"/>
      <c r="J155" s="38" t="s">
        <v>7</v>
      </c>
      <c r="K155" s="12"/>
      <c r="L155" s="13" t="s">
        <v>19</v>
      </c>
    </row>
    <row r="156" spans="1:12" ht="5.0999999999999996" customHeight="1" x14ac:dyDescent="0.25">
      <c r="A156" s="2"/>
      <c r="B156" s="118"/>
      <c r="C156" s="48"/>
      <c r="D156" s="28"/>
      <c r="E156" s="7"/>
      <c r="F156" s="34"/>
      <c r="G156" s="7"/>
      <c r="H156" s="6"/>
      <c r="I156" s="7"/>
      <c r="J156" s="34"/>
      <c r="K156" s="7"/>
      <c r="L156" s="51"/>
    </row>
    <row r="157" spans="1:12" ht="5.0999999999999996" customHeight="1" x14ac:dyDescent="0.25">
      <c r="A157" s="2"/>
      <c r="B157" s="118"/>
      <c r="C157" s="48"/>
      <c r="D157" s="53"/>
      <c r="E157" s="12"/>
      <c r="F157" s="33"/>
      <c r="G157" s="12"/>
      <c r="H157" s="9"/>
      <c r="I157" s="12"/>
      <c r="J157" s="33"/>
      <c r="K157" s="12"/>
      <c r="L157" s="10"/>
    </row>
    <row r="158" spans="1:12" ht="16.350000000000001" customHeight="1" x14ac:dyDescent="0.2">
      <c r="A158" s="2"/>
      <c r="B158" s="118"/>
      <c r="C158" s="48"/>
      <c r="D158" s="29" t="s">
        <v>409</v>
      </c>
      <c r="E158" s="12"/>
      <c r="F158" s="58">
        <v>10000</v>
      </c>
      <c r="G158" s="12"/>
      <c r="H158" s="49" t="s">
        <v>21</v>
      </c>
      <c r="I158" s="12"/>
      <c r="J158" s="38" t="s">
        <v>7</v>
      </c>
      <c r="K158" s="12"/>
      <c r="L158" s="13" t="s">
        <v>19</v>
      </c>
    </row>
    <row r="159" spans="1:12" ht="5.0999999999999996" customHeight="1" x14ac:dyDescent="0.25">
      <c r="A159" s="2"/>
      <c r="B159" s="118"/>
      <c r="C159" s="48"/>
      <c r="D159" s="28"/>
      <c r="E159" s="7"/>
      <c r="F159" s="34"/>
      <c r="G159" s="7"/>
      <c r="H159" s="6"/>
      <c r="I159" s="7"/>
      <c r="J159" s="34"/>
      <c r="K159" s="7"/>
      <c r="L159" s="51"/>
    </row>
    <row r="160" spans="1:12" ht="5.0999999999999996" customHeight="1" x14ac:dyDescent="0.25">
      <c r="A160" s="2"/>
      <c r="B160" s="118"/>
      <c r="C160" s="48"/>
      <c r="D160" s="53"/>
      <c r="E160" s="12"/>
      <c r="F160" s="33"/>
      <c r="G160" s="12"/>
      <c r="H160" s="9"/>
      <c r="I160" s="12"/>
      <c r="J160" s="33"/>
      <c r="K160" s="12"/>
      <c r="L160" s="10"/>
    </row>
    <row r="161" spans="1:12" ht="16.350000000000001" customHeight="1" x14ac:dyDescent="0.2">
      <c r="A161" s="2"/>
      <c r="B161" s="118"/>
      <c r="C161" s="48"/>
      <c r="D161" s="29" t="s">
        <v>410</v>
      </c>
      <c r="E161" s="12"/>
      <c r="F161" s="58">
        <v>10000</v>
      </c>
      <c r="G161" s="12"/>
      <c r="H161" s="49" t="s">
        <v>21</v>
      </c>
      <c r="I161" s="12"/>
      <c r="J161" s="38" t="s">
        <v>7</v>
      </c>
      <c r="K161" s="12"/>
      <c r="L161" s="13" t="s">
        <v>19</v>
      </c>
    </row>
    <row r="162" spans="1:12" ht="5.0999999999999996" customHeight="1" x14ac:dyDescent="0.25">
      <c r="A162" s="2"/>
      <c r="B162" s="118"/>
      <c r="C162" s="48"/>
      <c r="D162" s="28"/>
      <c r="E162" s="7"/>
      <c r="F162" s="34"/>
      <c r="G162" s="7"/>
      <c r="H162" s="6"/>
      <c r="I162" s="7"/>
      <c r="J162" s="34"/>
      <c r="K162" s="7"/>
      <c r="L162" s="51"/>
    </row>
    <row r="163" spans="1:12" ht="5.0999999999999996" customHeight="1" x14ac:dyDescent="0.25">
      <c r="A163" s="2"/>
      <c r="B163" s="118"/>
      <c r="C163" s="48"/>
      <c r="D163" s="53"/>
      <c r="E163" s="12"/>
      <c r="F163" s="33"/>
      <c r="G163" s="12"/>
      <c r="H163" s="9"/>
      <c r="I163" s="12"/>
      <c r="J163" s="33"/>
      <c r="K163" s="12"/>
      <c r="L163" s="10"/>
    </row>
    <row r="164" spans="1:12" ht="16.350000000000001" customHeight="1" x14ac:dyDescent="0.2">
      <c r="A164" s="2"/>
      <c r="B164" s="118"/>
      <c r="C164" s="48"/>
      <c r="D164" s="29" t="s">
        <v>31</v>
      </c>
      <c r="E164" s="12"/>
      <c r="F164" s="62">
        <v>10000</v>
      </c>
      <c r="G164" s="12"/>
      <c r="H164" s="49" t="s">
        <v>34</v>
      </c>
      <c r="I164" s="12"/>
      <c r="J164" s="40" t="s">
        <v>7</v>
      </c>
      <c r="K164" s="12"/>
      <c r="L164" s="13" t="s">
        <v>33</v>
      </c>
    </row>
    <row r="165" spans="1:12" ht="5.0999999999999996" customHeight="1" x14ac:dyDescent="0.25">
      <c r="A165" s="2"/>
      <c r="B165" s="118"/>
      <c r="C165" s="48"/>
      <c r="D165" s="28"/>
      <c r="E165" s="7"/>
      <c r="F165" s="34"/>
      <c r="G165" s="7"/>
      <c r="H165" s="6"/>
      <c r="I165" s="7"/>
      <c r="J165" s="34"/>
      <c r="K165" s="7"/>
      <c r="L165" s="51"/>
    </row>
    <row r="166" spans="1:12" ht="5.0999999999999996" customHeight="1" x14ac:dyDescent="0.25">
      <c r="A166" s="2"/>
      <c r="B166" s="118"/>
      <c r="C166" s="48"/>
      <c r="D166" s="53"/>
      <c r="E166" s="12"/>
      <c r="F166" s="33"/>
      <c r="G166" s="12"/>
      <c r="H166" s="9"/>
      <c r="I166" s="12"/>
      <c r="J166" s="33"/>
      <c r="K166" s="12"/>
      <c r="L166" s="10"/>
    </row>
    <row r="167" spans="1:12" ht="16.350000000000001" customHeight="1" x14ac:dyDescent="0.2">
      <c r="A167" s="2"/>
      <c r="B167" s="118"/>
      <c r="C167" s="48"/>
      <c r="D167" s="47" t="s">
        <v>45</v>
      </c>
      <c r="E167" s="12"/>
      <c r="F167" s="63">
        <v>10000</v>
      </c>
      <c r="G167" s="12"/>
      <c r="H167" s="49" t="s">
        <v>46</v>
      </c>
      <c r="I167" s="12"/>
      <c r="J167" s="38" t="s">
        <v>7</v>
      </c>
      <c r="K167" s="12"/>
      <c r="L167" s="13" t="s">
        <v>19</v>
      </c>
    </row>
    <row r="168" spans="1:12" ht="5.0999999999999996" customHeight="1" x14ac:dyDescent="0.25">
      <c r="A168" s="2"/>
      <c r="B168" s="118"/>
      <c r="C168" s="48"/>
      <c r="D168" s="28"/>
      <c r="E168" s="7"/>
      <c r="F168" s="34"/>
      <c r="G168" s="7"/>
      <c r="H168" s="6"/>
      <c r="I168" s="7"/>
      <c r="J168" s="34"/>
      <c r="K168" s="7"/>
      <c r="L168" s="51"/>
    </row>
    <row r="169" spans="1:12" ht="5.0999999999999996" customHeight="1" x14ac:dyDescent="0.25">
      <c r="A169" s="2"/>
      <c r="B169" s="118"/>
      <c r="C169" s="48"/>
      <c r="D169" s="53"/>
      <c r="E169" s="12"/>
      <c r="F169" s="33"/>
      <c r="G169" s="12"/>
      <c r="H169" s="9"/>
      <c r="I169" s="12"/>
      <c r="J169" s="33"/>
      <c r="K169" s="12"/>
      <c r="L169" s="10"/>
    </row>
    <row r="170" spans="1:12" ht="16.350000000000001" customHeight="1" x14ac:dyDescent="0.2">
      <c r="A170" s="2"/>
      <c r="B170" s="118"/>
      <c r="C170" s="48"/>
      <c r="D170" s="29" t="s">
        <v>411</v>
      </c>
      <c r="E170" s="12"/>
      <c r="F170" s="61">
        <v>10000</v>
      </c>
      <c r="G170" s="12"/>
      <c r="H170" s="49" t="s">
        <v>255</v>
      </c>
      <c r="I170" s="12"/>
      <c r="J170" s="38" t="s">
        <v>7</v>
      </c>
      <c r="K170" s="12"/>
      <c r="L170" s="13" t="s">
        <v>19</v>
      </c>
    </row>
    <row r="171" spans="1:12" ht="5.0999999999999996" customHeight="1" x14ac:dyDescent="0.25">
      <c r="A171" s="2"/>
      <c r="B171" s="118"/>
      <c r="C171" s="48"/>
      <c r="D171" s="28"/>
      <c r="E171" s="7"/>
      <c r="F171" s="34"/>
      <c r="G171" s="7"/>
      <c r="H171" s="6"/>
      <c r="I171" s="7"/>
      <c r="J171" s="34"/>
      <c r="K171" s="7"/>
      <c r="L171" s="51"/>
    </row>
    <row r="172" spans="1:12" ht="5.0999999999999996" customHeight="1" x14ac:dyDescent="0.25">
      <c r="A172" s="2"/>
      <c r="B172" s="118"/>
      <c r="C172" s="48"/>
      <c r="D172" s="53"/>
      <c r="E172" s="12"/>
      <c r="F172" s="33"/>
      <c r="G172" s="12"/>
      <c r="H172" s="9"/>
      <c r="I172" s="12"/>
      <c r="J172" s="33"/>
      <c r="K172" s="12"/>
      <c r="L172" s="10"/>
    </row>
    <row r="173" spans="1:12" ht="16.350000000000001" customHeight="1" x14ac:dyDescent="0.2">
      <c r="A173" s="2"/>
      <c r="B173" s="118"/>
      <c r="C173" s="48"/>
      <c r="D173" s="29" t="s">
        <v>412</v>
      </c>
      <c r="E173" s="12"/>
      <c r="F173" s="61">
        <v>10000</v>
      </c>
      <c r="G173" s="12"/>
      <c r="H173" s="49" t="s">
        <v>255</v>
      </c>
      <c r="I173" s="12"/>
      <c r="J173" s="38" t="s">
        <v>7</v>
      </c>
      <c r="K173" s="12"/>
      <c r="L173" s="13" t="s">
        <v>19</v>
      </c>
    </row>
    <row r="174" spans="1:12" ht="5.0999999999999996" customHeight="1" x14ac:dyDescent="0.25">
      <c r="A174" s="2"/>
      <c r="B174" s="118"/>
      <c r="C174" s="48"/>
      <c r="D174" s="28"/>
      <c r="E174" s="7"/>
      <c r="F174" s="34"/>
      <c r="G174" s="7"/>
      <c r="H174" s="6"/>
      <c r="I174" s="7"/>
      <c r="J174" s="34"/>
      <c r="K174" s="7"/>
      <c r="L174" s="51"/>
    </row>
    <row r="175" spans="1:12" ht="5.0999999999999996" customHeight="1" x14ac:dyDescent="0.25">
      <c r="A175" s="2"/>
      <c r="B175" s="118"/>
      <c r="C175" s="48"/>
      <c r="D175" s="53"/>
      <c r="E175" s="12"/>
      <c r="F175" s="33"/>
      <c r="G175" s="12"/>
      <c r="H175" s="9"/>
      <c r="I175" s="12"/>
      <c r="J175" s="33"/>
      <c r="K175" s="12"/>
      <c r="L175" s="10"/>
    </row>
    <row r="176" spans="1:12" ht="16.350000000000001" customHeight="1" x14ac:dyDescent="0.2">
      <c r="A176" s="2"/>
      <c r="B176" s="118"/>
      <c r="C176" s="48"/>
      <c r="D176" s="29" t="s">
        <v>413</v>
      </c>
      <c r="E176" s="12"/>
      <c r="F176" s="61">
        <v>10000</v>
      </c>
      <c r="G176" s="12"/>
      <c r="H176" s="49" t="s">
        <v>255</v>
      </c>
      <c r="I176" s="12"/>
      <c r="J176" s="38" t="s">
        <v>7</v>
      </c>
      <c r="K176" s="12"/>
      <c r="L176" s="13" t="s">
        <v>19</v>
      </c>
    </row>
    <row r="177" spans="1:12" ht="5.0999999999999996" customHeight="1" x14ac:dyDescent="0.25">
      <c r="A177" s="2"/>
      <c r="B177" s="118"/>
      <c r="C177" s="48"/>
      <c r="D177" s="28"/>
      <c r="E177" s="7"/>
      <c r="F177" s="34"/>
      <c r="G177" s="7"/>
      <c r="H177" s="6"/>
      <c r="I177" s="7"/>
      <c r="J177" s="34"/>
      <c r="K177" s="7"/>
      <c r="L177" s="51"/>
    </row>
    <row r="178" spans="1:12" ht="5.0999999999999996" customHeight="1" x14ac:dyDescent="0.25">
      <c r="A178" s="2"/>
      <c r="B178" s="118"/>
      <c r="C178" s="48"/>
      <c r="D178" s="53"/>
      <c r="E178" s="12"/>
      <c r="F178" s="33"/>
      <c r="G178" s="12"/>
      <c r="H178" s="9"/>
      <c r="I178" s="12"/>
      <c r="J178" s="33"/>
      <c r="K178" s="12"/>
      <c r="L178" s="10"/>
    </row>
    <row r="179" spans="1:12" ht="16.350000000000001" customHeight="1" x14ac:dyDescent="0.2">
      <c r="A179" s="2"/>
      <c r="B179" s="118"/>
      <c r="C179" s="48"/>
      <c r="D179" s="29" t="s">
        <v>254</v>
      </c>
      <c r="E179" s="12"/>
      <c r="F179" s="60">
        <v>10000</v>
      </c>
      <c r="G179" s="12"/>
      <c r="H179" s="49" t="s">
        <v>255</v>
      </c>
      <c r="I179" s="12"/>
      <c r="J179" s="56" t="s">
        <v>7</v>
      </c>
      <c r="K179" s="12"/>
      <c r="L179" s="13" t="s">
        <v>255</v>
      </c>
    </row>
    <row r="180" spans="1:12" ht="5.0999999999999996" customHeight="1" x14ac:dyDescent="0.25">
      <c r="A180" s="2"/>
      <c r="B180" s="118"/>
      <c r="C180" s="48"/>
      <c r="D180" s="28"/>
      <c r="E180" s="7"/>
      <c r="F180" s="34"/>
      <c r="G180" s="7"/>
      <c r="H180" s="6"/>
      <c r="I180" s="7"/>
      <c r="J180" s="34"/>
      <c r="K180" s="7"/>
      <c r="L180" s="51"/>
    </row>
    <row r="181" spans="1:12" ht="5.0999999999999996" customHeight="1" x14ac:dyDescent="0.25">
      <c r="A181" s="2"/>
      <c r="B181" s="118"/>
      <c r="C181" s="48"/>
      <c r="D181" s="53"/>
      <c r="E181" s="12"/>
      <c r="F181" s="33"/>
      <c r="G181" s="12"/>
      <c r="H181" s="9"/>
      <c r="I181" s="12"/>
      <c r="J181" s="33"/>
      <c r="K181" s="12"/>
      <c r="L181" s="10"/>
    </row>
    <row r="182" spans="1:12" ht="16.350000000000001" customHeight="1" x14ac:dyDescent="0.2">
      <c r="A182" s="2"/>
      <c r="B182" s="118"/>
      <c r="C182" s="48"/>
      <c r="D182" s="29" t="s">
        <v>270</v>
      </c>
      <c r="E182" s="12"/>
      <c r="F182" s="67">
        <v>10000</v>
      </c>
      <c r="G182" s="12"/>
      <c r="H182" s="49" t="s">
        <v>255</v>
      </c>
      <c r="I182" s="12"/>
      <c r="J182" s="68" t="s">
        <v>7</v>
      </c>
      <c r="K182" s="12"/>
      <c r="L182" s="13" t="s">
        <v>255</v>
      </c>
    </row>
    <row r="183" spans="1:12" ht="5.0999999999999996" customHeight="1" x14ac:dyDescent="0.25">
      <c r="A183" s="2"/>
      <c r="B183" s="118"/>
      <c r="C183" s="48"/>
      <c r="D183" s="28"/>
      <c r="E183" s="7"/>
      <c r="F183" s="34"/>
      <c r="G183" s="7"/>
      <c r="H183" s="6"/>
      <c r="I183" s="7"/>
      <c r="J183" s="34"/>
      <c r="K183" s="7"/>
      <c r="L183" s="51"/>
    </row>
    <row r="184" spans="1:12" ht="5.0999999999999996" customHeight="1" x14ac:dyDescent="0.25">
      <c r="A184" s="2"/>
      <c r="B184" s="118"/>
      <c r="C184" s="48"/>
      <c r="D184" s="53"/>
      <c r="E184" s="12"/>
      <c r="F184" s="33"/>
      <c r="G184" s="12"/>
      <c r="H184" s="9"/>
      <c r="I184" s="12"/>
      <c r="J184" s="33"/>
      <c r="K184" s="12"/>
      <c r="L184" s="10"/>
    </row>
    <row r="185" spans="1:12" ht="16.350000000000001" customHeight="1" x14ac:dyDescent="0.2">
      <c r="A185" s="2"/>
      <c r="B185" s="118"/>
      <c r="C185" s="48"/>
      <c r="D185" s="29" t="s">
        <v>414</v>
      </c>
      <c r="E185" s="12"/>
      <c r="F185" s="71">
        <v>10000</v>
      </c>
      <c r="G185" s="12"/>
      <c r="H185" s="49" t="s">
        <v>272</v>
      </c>
      <c r="I185" s="12"/>
      <c r="J185" s="70" t="s">
        <v>7</v>
      </c>
      <c r="K185" s="12"/>
      <c r="L185" s="49" t="s">
        <v>272</v>
      </c>
    </row>
    <row r="186" spans="1:12" ht="5.0999999999999996" customHeight="1" x14ac:dyDescent="0.25">
      <c r="A186" s="2"/>
      <c r="B186" s="118"/>
      <c r="C186" s="48"/>
      <c r="D186" s="28"/>
      <c r="E186" s="7"/>
      <c r="F186" s="34"/>
      <c r="G186" s="7"/>
      <c r="H186" s="6"/>
      <c r="I186" s="7"/>
      <c r="J186" s="34"/>
      <c r="K186" s="7"/>
      <c r="L186" s="51"/>
    </row>
    <row r="187" spans="1:12" ht="5.0999999999999996" customHeight="1" x14ac:dyDescent="0.25">
      <c r="A187" s="2"/>
      <c r="B187" s="118"/>
      <c r="C187" s="48"/>
      <c r="D187" s="53"/>
      <c r="E187" s="12"/>
      <c r="F187" s="33"/>
      <c r="G187" s="12"/>
      <c r="H187" s="9"/>
      <c r="I187" s="12"/>
      <c r="J187" s="33"/>
      <c r="K187" s="12"/>
      <c r="L187" s="10"/>
    </row>
    <row r="188" spans="1:12" ht="16.350000000000001" customHeight="1" x14ac:dyDescent="0.2">
      <c r="A188" s="2"/>
      <c r="B188" s="118"/>
      <c r="C188" s="48"/>
      <c r="D188" s="29" t="s">
        <v>273</v>
      </c>
      <c r="E188" s="12"/>
      <c r="F188" s="72">
        <v>2.1499999999999999E-4</v>
      </c>
      <c r="G188" s="12"/>
      <c r="H188" s="49" t="s">
        <v>274</v>
      </c>
      <c r="I188" s="12"/>
      <c r="J188" s="38" t="s">
        <v>7</v>
      </c>
      <c r="K188" s="12"/>
      <c r="L188" s="49" t="s">
        <v>19</v>
      </c>
    </row>
    <row r="189" spans="1:12" ht="5.0999999999999996" customHeight="1" x14ac:dyDescent="0.25">
      <c r="A189" s="2"/>
      <c r="B189" s="118"/>
      <c r="C189" s="48"/>
      <c r="D189" s="28"/>
      <c r="E189" s="7"/>
      <c r="F189" s="34"/>
      <c r="G189" s="7"/>
      <c r="H189" s="6"/>
      <c r="I189" s="7"/>
      <c r="J189" s="34"/>
      <c r="K189" s="7"/>
      <c r="L189" s="51"/>
    </row>
    <row r="190" spans="1:12" ht="5.0999999999999996" customHeight="1" x14ac:dyDescent="0.25">
      <c r="A190" s="2"/>
      <c r="B190" s="118"/>
      <c r="C190" s="48"/>
      <c r="D190" s="53"/>
      <c r="E190" s="12"/>
      <c r="F190" s="33"/>
      <c r="G190" s="12"/>
      <c r="H190" s="9"/>
      <c r="I190" s="12"/>
      <c r="J190" s="33"/>
      <c r="K190" s="12"/>
      <c r="L190" s="10"/>
    </row>
    <row r="191" spans="1:12" ht="16.350000000000001" customHeight="1" x14ac:dyDescent="0.2">
      <c r="A191" s="2"/>
      <c r="B191" s="118"/>
      <c r="C191" s="48"/>
      <c r="D191" s="29" t="s">
        <v>275</v>
      </c>
      <c r="E191" s="12"/>
      <c r="F191" s="73"/>
      <c r="G191" s="12"/>
      <c r="H191" s="49" t="s">
        <v>276</v>
      </c>
      <c r="I191" s="12"/>
      <c r="J191" s="74" t="s">
        <v>7</v>
      </c>
      <c r="K191" s="12"/>
      <c r="L191" s="13" t="s">
        <v>272</v>
      </c>
    </row>
    <row r="192" spans="1:12" ht="5.0999999999999996" customHeight="1" x14ac:dyDescent="0.25">
      <c r="A192" s="2"/>
      <c r="B192" s="118"/>
      <c r="C192" s="48"/>
      <c r="D192" s="28"/>
      <c r="E192" s="7"/>
      <c r="F192" s="34"/>
      <c r="G192" s="7"/>
      <c r="H192" s="6"/>
      <c r="I192" s="7"/>
      <c r="J192" s="34"/>
      <c r="K192" s="7"/>
      <c r="L192" s="51"/>
    </row>
    <row r="193" spans="1:12" ht="5.0999999999999996" customHeight="1" x14ac:dyDescent="0.25">
      <c r="A193" s="2"/>
      <c r="B193" s="118"/>
      <c r="C193" s="48"/>
      <c r="D193" s="53"/>
      <c r="E193" s="12"/>
      <c r="F193" s="33"/>
      <c r="G193" s="12"/>
      <c r="H193" s="9"/>
      <c r="I193" s="12"/>
      <c r="J193" s="33"/>
      <c r="K193" s="12"/>
      <c r="L193" s="10"/>
    </row>
    <row r="194" spans="1:12" ht="16.350000000000001" customHeight="1" x14ac:dyDescent="0.2">
      <c r="A194" s="2"/>
      <c r="B194" s="118"/>
      <c r="C194" s="48"/>
      <c r="D194" s="29" t="s">
        <v>277</v>
      </c>
      <c r="E194" s="12"/>
      <c r="F194" s="75">
        <v>10000</v>
      </c>
      <c r="G194" s="12"/>
      <c r="H194" s="49" t="s">
        <v>274</v>
      </c>
      <c r="I194" s="12"/>
      <c r="J194" s="38" t="s">
        <v>7</v>
      </c>
      <c r="K194" s="12"/>
      <c r="L194" s="13" t="s">
        <v>19</v>
      </c>
    </row>
    <row r="195" spans="1:12" ht="5.0999999999999996" customHeight="1" x14ac:dyDescent="0.25">
      <c r="A195" s="2"/>
      <c r="B195" s="118"/>
      <c r="C195" s="48"/>
      <c r="D195" s="28"/>
      <c r="E195" s="7"/>
      <c r="F195" s="34"/>
      <c r="G195" s="7"/>
      <c r="H195" s="6"/>
      <c r="I195" s="7"/>
      <c r="J195" s="34"/>
      <c r="K195" s="7"/>
      <c r="L195" s="51"/>
    </row>
    <row r="196" spans="1:12" ht="5.0999999999999996" customHeight="1" x14ac:dyDescent="0.25">
      <c r="A196" s="2"/>
      <c r="B196" s="118"/>
      <c r="C196" s="48"/>
      <c r="D196" s="53"/>
      <c r="E196" s="12"/>
      <c r="F196" s="33"/>
      <c r="G196" s="12"/>
      <c r="H196" s="9"/>
      <c r="I196" s="12"/>
      <c r="J196" s="33"/>
      <c r="K196" s="12"/>
      <c r="L196" s="10"/>
    </row>
    <row r="197" spans="1:12" ht="16.350000000000001" customHeight="1" x14ac:dyDescent="0.2">
      <c r="A197" s="2"/>
      <c r="B197" s="118"/>
      <c r="C197" s="48"/>
      <c r="D197" s="29" t="s">
        <v>415</v>
      </c>
      <c r="E197" s="12"/>
      <c r="F197" s="66">
        <v>10000</v>
      </c>
      <c r="G197" s="12"/>
      <c r="H197" s="49" t="s">
        <v>271</v>
      </c>
      <c r="I197" s="12"/>
      <c r="J197" s="69" t="s">
        <v>7</v>
      </c>
      <c r="K197" s="12"/>
      <c r="L197" s="49" t="s">
        <v>271</v>
      </c>
    </row>
    <row r="198" spans="1:12" ht="5.0999999999999996" customHeight="1" x14ac:dyDescent="0.25">
      <c r="A198" s="2"/>
      <c r="B198" s="118"/>
      <c r="C198" s="48"/>
      <c r="D198" s="28"/>
      <c r="E198" s="7"/>
      <c r="F198" s="34"/>
      <c r="G198" s="7"/>
      <c r="H198" s="6"/>
      <c r="I198" s="7"/>
      <c r="J198" s="34"/>
      <c r="K198" s="7"/>
      <c r="L198" s="51"/>
    </row>
    <row r="199" spans="1:12" ht="5.0999999999999996" customHeight="1" x14ac:dyDescent="0.25">
      <c r="A199" s="2"/>
      <c r="B199" s="118"/>
      <c r="C199" s="48"/>
      <c r="D199" s="53"/>
      <c r="E199" s="12"/>
      <c r="F199" s="33"/>
      <c r="G199" s="12"/>
      <c r="H199" s="9"/>
      <c r="I199" s="12"/>
      <c r="J199" s="33"/>
      <c r="K199" s="12"/>
      <c r="L199" s="10"/>
    </row>
    <row r="200" spans="1:12" ht="15.75" customHeight="1" x14ac:dyDescent="0.2">
      <c r="A200" s="2"/>
      <c r="B200" s="118"/>
      <c r="C200" s="48"/>
      <c r="D200" s="29" t="s">
        <v>288</v>
      </c>
      <c r="E200" s="12"/>
      <c r="F200" s="82">
        <v>0.8</v>
      </c>
      <c r="G200" s="12"/>
      <c r="H200" s="49" t="s">
        <v>289</v>
      </c>
      <c r="I200" s="12"/>
      <c r="J200" s="38" t="s">
        <v>7</v>
      </c>
      <c r="K200" s="12"/>
      <c r="L200" s="13" t="s">
        <v>19</v>
      </c>
    </row>
    <row r="201" spans="1:12" ht="5.0999999999999996" customHeight="1" x14ac:dyDescent="0.25">
      <c r="A201" s="2"/>
      <c r="B201" s="118"/>
      <c r="C201" s="48"/>
      <c r="D201" s="28"/>
      <c r="E201" s="7"/>
      <c r="F201" s="34"/>
      <c r="G201" s="7"/>
      <c r="H201" s="6"/>
      <c r="I201" s="7"/>
      <c r="J201" s="34"/>
      <c r="K201" s="7"/>
      <c r="L201" s="51"/>
    </row>
    <row r="202" spans="1:12" ht="5.0999999999999996" customHeight="1" x14ac:dyDescent="0.25">
      <c r="A202" s="2"/>
      <c r="B202" s="118"/>
      <c r="C202" s="48"/>
      <c r="D202" s="53"/>
      <c r="E202" s="12"/>
      <c r="F202" s="33"/>
      <c r="G202" s="12"/>
      <c r="H202" s="9"/>
      <c r="I202" s="12"/>
      <c r="J202" s="33"/>
      <c r="K202" s="12"/>
      <c r="L202" s="10"/>
    </row>
    <row r="203" spans="1:12" x14ac:dyDescent="0.2">
      <c r="A203" s="2"/>
      <c r="B203" s="118"/>
      <c r="C203" s="48"/>
      <c r="D203" s="29" t="s">
        <v>385</v>
      </c>
      <c r="E203" s="12"/>
      <c r="F203" s="75">
        <v>10000</v>
      </c>
      <c r="G203" s="12"/>
      <c r="H203" s="49" t="s">
        <v>274</v>
      </c>
      <c r="I203" s="12"/>
      <c r="J203" s="38" t="s">
        <v>7</v>
      </c>
      <c r="K203" s="12"/>
      <c r="L203" s="13" t="s">
        <v>19</v>
      </c>
    </row>
    <row r="204" spans="1:12" ht="5.0999999999999996" customHeight="1" x14ac:dyDescent="0.25">
      <c r="A204" s="2"/>
      <c r="B204" s="118"/>
      <c r="C204" s="48"/>
      <c r="D204" s="28"/>
      <c r="E204" s="7"/>
      <c r="F204" s="34"/>
      <c r="G204" s="7"/>
      <c r="H204" s="6"/>
      <c r="I204" s="7"/>
      <c r="J204" s="34"/>
      <c r="K204" s="7"/>
      <c r="L204" s="51"/>
    </row>
    <row r="205" spans="1:12" ht="5.0999999999999996" customHeight="1" x14ac:dyDescent="0.25">
      <c r="A205" s="2"/>
      <c r="B205" s="118"/>
      <c r="C205" s="48"/>
      <c r="D205" s="53"/>
      <c r="E205" s="12"/>
      <c r="F205" s="33"/>
      <c r="G205" s="12"/>
      <c r="H205" s="9"/>
      <c r="I205" s="12"/>
      <c r="J205" s="33"/>
      <c r="K205" s="12"/>
      <c r="L205" s="10"/>
    </row>
    <row r="206" spans="1:12" x14ac:dyDescent="0.2">
      <c r="A206" s="2"/>
      <c r="B206" s="118"/>
      <c r="C206" s="48"/>
      <c r="D206" s="29" t="s">
        <v>386</v>
      </c>
      <c r="E206" s="12"/>
      <c r="F206" s="75">
        <v>10000</v>
      </c>
      <c r="G206" s="12"/>
      <c r="H206" s="49" t="s">
        <v>274</v>
      </c>
      <c r="I206" s="12"/>
      <c r="J206" s="38" t="s">
        <v>7</v>
      </c>
      <c r="K206" s="12"/>
      <c r="L206" s="13" t="s">
        <v>19</v>
      </c>
    </row>
    <row r="207" spans="1:12" ht="5.0999999999999996" customHeight="1" x14ac:dyDescent="0.25">
      <c r="A207" s="2"/>
      <c r="B207" s="118"/>
      <c r="C207" s="48"/>
      <c r="D207" s="28"/>
      <c r="E207" s="7"/>
      <c r="F207" s="34"/>
      <c r="G207" s="7"/>
      <c r="H207" s="6"/>
      <c r="I207" s="7"/>
      <c r="J207" s="34"/>
      <c r="K207" s="7"/>
      <c r="L207" s="51"/>
    </row>
    <row r="208" spans="1:12" ht="5.0999999999999996" customHeight="1" x14ac:dyDescent="0.25">
      <c r="A208" s="2"/>
      <c r="B208" s="118"/>
      <c r="C208" s="48"/>
      <c r="D208" s="53"/>
      <c r="E208" s="12"/>
      <c r="F208" s="33"/>
      <c r="G208" s="12"/>
      <c r="H208" s="9"/>
      <c r="I208" s="12"/>
      <c r="J208" s="33"/>
      <c r="K208" s="12"/>
      <c r="L208" s="10"/>
    </row>
    <row r="209" spans="1:12" x14ac:dyDescent="0.2">
      <c r="A209" s="2"/>
      <c r="B209" s="118"/>
      <c r="C209" s="48"/>
      <c r="D209" s="29" t="s">
        <v>388</v>
      </c>
      <c r="E209" s="12"/>
      <c r="F209" s="88">
        <v>10000</v>
      </c>
      <c r="G209" s="12"/>
      <c r="H209" s="49" t="s">
        <v>6</v>
      </c>
      <c r="I209" s="12"/>
      <c r="J209" s="38" t="s">
        <v>7</v>
      </c>
      <c r="K209" s="12"/>
      <c r="L209" s="13" t="s">
        <v>6</v>
      </c>
    </row>
    <row r="210" spans="1:12" ht="5.0999999999999996" customHeight="1" x14ac:dyDescent="0.25">
      <c r="A210" s="2"/>
      <c r="B210" s="118"/>
      <c r="C210" s="48"/>
      <c r="D210" s="28"/>
      <c r="E210" s="7"/>
      <c r="F210" s="34"/>
      <c r="G210" s="7"/>
      <c r="H210" s="6"/>
      <c r="I210" s="7"/>
      <c r="J210" s="34"/>
      <c r="K210" s="7"/>
      <c r="L210" s="51"/>
    </row>
    <row r="211" spans="1:12" ht="5.0999999999999996" customHeight="1" x14ac:dyDescent="0.25">
      <c r="A211" s="2"/>
      <c r="B211" s="118"/>
      <c r="C211" s="48"/>
      <c r="D211" s="53"/>
      <c r="E211" s="12"/>
      <c r="F211" s="33"/>
      <c r="G211" s="12"/>
      <c r="H211" s="9"/>
      <c r="I211" s="12"/>
      <c r="J211" s="33"/>
      <c r="K211" s="12"/>
      <c r="L211" s="10"/>
    </row>
    <row r="212" spans="1:12" x14ac:dyDescent="0.2">
      <c r="A212" s="2"/>
      <c r="B212" s="118"/>
      <c r="C212" s="48"/>
      <c r="D212" s="29" t="s">
        <v>387</v>
      </c>
      <c r="E212" s="12"/>
      <c r="F212" s="89">
        <v>10000</v>
      </c>
      <c r="G212" s="12"/>
      <c r="H212" s="49" t="s">
        <v>6</v>
      </c>
      <c r="I212" s="12"/>
      <c r="J212" s="38" t="s">
        <v>7</v>
      </c>
      <c r="K212" s="12"/>
      <c r="L212" s="13" t="s">
        <v>6</v>
      </c>
    </row>
    <row r="213" spans="1:12" ht="5.0999999999999996" customHeight="1" x14ac:dyDescent="0.25">
      <c r="A213" s="2"/>
      <c r="B213" s="118"/>
      <c r="C213" s="48"/>
      <c r="D213" s="28"/>
      <c r="E213" s="7"/>
      <c r="F213" s="34"/>
      <c r="G213" s="7"/>
      <c r="H213" s="6"/>
      <c r="I213" s="7"/>
      <c r="J213" s="34"/>
      <c r="K213" s="7"/>
      <c r="L213" s="51"/>
    </row>
    <row r="214" spans="1:12" ht="5.0999999999999996" customHeight="1" x14ac:dyDescent="0.25">
      <c r="A214" s="2"/>
      <c r="B214" s="118"/>
      <c r="C214" s="90"/>
      <c r="D214" s="92"/>
      <c r="E214" s="93"/>
      <c r="F214" s="94"/>
      <c r="G214" s="93"/>
      <c r="H214" s="9"/>
      <c r="I214" s="93"/>
      <c r="J214" s="94"/>
      <c r="K214" s="93"/>
      <c r="L214" s="10"/>
    </row>
    <row r="215" spans="1:12" ht="15.75" thickBot="1" x14ac:dyDescent="0.25">
      <c r="A215" s="2"/>
      <c r="B215" s="118"/>
      <c r="C215" s="90"/>
      <c r="D215" s="95" t="s">
        <v>416</v>
      </c>
      <c r="E215" s="93"/>
      <c r="F215" s="98">
        <v>10000</v>
      </c>
      <c r="G215" s="93"/>
      <c r="H215" s="49" t="s">
        <v>418</v>
      </c>
      <c r="I215" s="93"/>
      <c r="J215" s="96" t="s">
        <v>7</v>
      </c>
      <c r="K215" s="93"/>
      <c r="L215" s="13" t="s">
        <v>6</v>
      </c>
    </row>
    <row r="216" spans="1:12" ht="5.0999999999999996" customHeight="1" x14ac:dyDescent="0.25">
      <c r="A216" s="2"/>
      <c r="B216" s="118"/>
      <c r="C216" s="90"/>
      <c r="D216" s="28"/>
      <c r="E216" s="7"/>
      <c r="F216" s="34"/>
      <c r="G216" s="7"/>
      <c r="H216" s="6"/>
      <c r="I216" s="7"/>
      <c r="J216" s="34"/>
      <c r="K216" s="7"/>
      <c r="L216" s="91"/>
    </row>
    <row r="217" spans="1:12" ht="5.0999999999999996" customHeight="1" thickBot="1" x14ac:dyDescent="0.3">
      <c r="A217" s="2"/>
      <c r="B217" s="118"/>
      <c r="C217" s="90"/>
      <c r="D217" s="92"/>
      <c r="E217" s="93"/>
      <c r="F217" s="94"/>
      <c r="G217" s="93"/>
      <c r="H217" s="9"/>
      <c r="I217" s="93"/>
      <c r="J217" s="94"/>
      <c r="K217" s="93"/>
      <c r="L217" s="10"/>
    </row>
    <row r="218" spans="1:12" ht="14.25" x14ac:dyDescent="0.2">
      <c r="A218" s="2"/>
      <c r="B218" s="118"/>
      <c r="C218" s="90"/>
      <c r="D218" s="95" t="s">
        <v>417</v>
      </c>
      <c r="E218" s="93"/>
      <c r="F218" s="99">
        <v>10000</v>
      </c>
      <c r="G218" s="93"/>
      <c r="H218" s="49" t="s">
        <v>6</v>
      </c>
      <c r="I218" s="93"/>
      <c r="J218" s="97" t="s">
        <v>7</v>
      </c>
      <c r="K218" s="93"/>
      <c r="L218" s="13" t="s">
        <v>6</v>
      </c>
    </row>
    <row r="219" spans="1:12" ht="5.0999999999999996" customHeight="1" x14ac:dyDescent="0.25">
      <c r="A219" s="2"/>
      <c r="B219" s="118"/>
      <c r="C219" s="90"/>
      <c r="D219" s="28"/>
      <c r="E219" s="7"/>
      <c r="F219" s="34"/>
      <c r="G219" s="7"/>
      <c r="H219" s="6"/>
      <c r="I219" s="7"/>
      <c r="J219" s="34"/>
      <c r="K219" s="7"/>
      <c r="L219" s="91"/>
    </row>
    <row r="220" spans="1:12" ht="22.35" customHeight="1" x14ac:dyDescent="0.25">
      <c r="A220" s="2"/>
      <c r="B220" s="118"/>
      <c r="C220" s="48"/>
      <c r="D220" s="2"/>
      <c r="E220" s="2"/>
      <c r="F220" s="31"/>
      <c r="G220" s="2"/>
      <c r="H220" s="9"/>
      <c r="I220" s="2"/>
      <c r="J220" s="31"/>
      <c r="K220" s="2"/>
      <c r="L220" s="10"/>
    </row>
    <row r="221" spans="1:12" ht="5.0999999999999996" customHeight="1" thickBot="1" x14ac:dyDescent="0.3">
      <c r="A221" s="2"/>
      <c r="B221" s="119"/>
      <c r="C221" s="52"/>
      <c r="D221" s="14"/>
      <c r="E221" s="14"/>
      <c r="F221" s="36"/>
      <c r="G221" s="14"/>
      <c r="H221" s="18"/>
      <c r="I221" s="14"/>
      <c r="J221" s="36"/>
      <c r="K221" s="14"/>
      <c r="L221" s="15"/>
    </row>
    <row r="222" spans="1:12" ht="24.6" customHeight="1" x14ac:dyDescent="0.25">
      <c r="A222" s="2"/>
      <c r="B222" s="2"/>
      <c r="C222" s="2"/>
      <c r="D222" s="2"/>
      <c r="E222" s="2"/>
      <c r="F222" s="31"/>
      <c r="G222" s="2"/>
      <c r="H222" s="2"/>
      <c r="I222" s="2"/>
      <c r="J222" s="31"/>
      <c r="K222" s="2"/>
      <c r="L222" s="2"/>
    </row>
    <row r="223" spans="1:12" ht="15.75" thickBot="1" x14ac:dyDescent="0.3">
      <c r="A223" s="2"/>
      <c r="B223" s="2"/>
      <c r="C223" s="2"/>
      <c r="D223" s="2"/>
      <c r="E223" s="2"/>
      <c r="F223" s="31"/>
      <c r="G223" s="2"/>
      <c r="H223" s="2"/>
      <c r="I223" s="2"/>
      <c r="J223" s="31"/>
      <c r="K223" s="2"/>
      <c r="L223" s="2"/>
    </row>
    <row r="224" spans="1:12" ht="28.35" customHeight="1" x14ac:dyDescent="0.2">
      <c r="A224" s="2"/>
      <c r="B224" s="128" t="s">
        <v>13</v>
      </c>
      <c r="C224" s="129"/>
      <c r="D224" s="129"/>
      <c r="E224" s="129"/>
      <c r="F224" s="129"/>
      <c r="G224" s="129"/>
      <c r="H224" s="129"/>
      <c r="I224" s="129"/>
      <c r="J224" s="129"/>
      <c r="K224" s="129"/>
      <c r="L224" s="130"/>
    </row>
    <row r="225" spans="1:12" ht="28.35" customHeight="1" x14ac:dyDescent="0.2">
      <c r="A225" s="2"/>
      <c r="B225" s="131"/>
      <c r="C225" s="132"/>
      <c r="D225" s="132"/>
      <c r="E225" s="132"/>
      <c r="F225" s="132"/>
      <c r="G225" s="132"/>
      <c r="H225" s="132"/>
      <c r="I225" s="132"/>
      <c r="J225" s="132"/>
      <c r="K225" s="132"/>
      <c r="L225" s="133"/>
    </row>
    <row r="226" spans="1:12" ht="22.35" customHeight="1" x14ac:dyDescent="0.25">
      <c r="A226" s="2"/>
      <c r="B226" s="126" t="s">
        <v>4</v>
      </c>
      <c r="C226" s="2"/>
      <c r="D226" s="2"/>
      <c r="E226" s="2"/>
      <c r="F226" s="31"/>
      <c r="G226" s="2"/>
      <c r="H226" s="2"/>
      <c r="I226" s="2"/>
      <c r="J226" s="31"/>
      <c r="K226" s="2"/>
      <c r="L226" s="10"/>
    </row>
    <row r="227" spans="1:12" ht="18" customHeight="1" x14ac:dyDescent="0.2">
      <c r="A227" s="2"/>
      <c r="B227" s="118"/>
      <c r="C227" s="5"/>
      <c r="D227" s="6"/>
      <c r="E227" s="120" t="s">
        <v>1</v>
      </c>
      <c r="F227" s="121"/>
      <c r="G227" s="122"/>
      <c r="H227" s="4" t="s">
        <v>2</v>
      </c>
      <c r="I227" s="120" t="s">
        <v>3</v>
      </c>
      <c r="J227" s="121"/>
      <c r="K227" s="122"/>
      <c r="L227" s="11" t="s">
        <v>2</v>
      </c>
    </row>
    <row r="228" spans="1:12" ht="5.0999999999999996" customHeight="1" x14ac:dyDescent="0.25">
      <c r="A228" s="2"/>
      <c r="B228" s="118"/>
      <c r="C228" s="123"/>
      <c r="D228" s="2"/>
      <c r="E228" s="12"/>
      <c r="F228" s="33"/>
      <c r="G228" s="12"/>
      <c r="H228" s="8"/>
      <c r="I228" s="12"/>
      <c r="J228" s="33"/>
      <c r="K228" s="12"/>
      <c r="L228" s="10"/>
    </row>
    <row r="229" spans="1:12" ht="16.350000000000001" customHeight="1" x14ac:dyDescent="0.2">
      <c r="A229" s="2"/>
      <c r="B229" s="118"/>
      <c r="C229" s="124"/>
      <c r="D229" s="53" t="s">
        <v>14</v>
      </c>
      <c r="E229" s="12"/>
      <c r="F229" s="35">
        <v>10000</v>
      </c>
      <c r="G229" s="12"/>
      <c r="H229" s="49" t="s">
        <v>6</v>
      </c>
      <c r="I229" s="12"/>
      <c r="J229" s="38" t="s">
        <v>7</v>
      </c>
      <c r="K229" s="12"/>
      <c r="L229" s="13" t="s">
        <v>6</v>
      </c>
    </row>
    <row r="230" spans="1:12" ht="5.0999999999999996" customHeight="1" x14ac:dyDescent="0.25">
      <c r="A230" s="2"/>
      <c r="B230" s="118"/>
      <c r="C230" s="127"/>
      <c r="D230" s="50"/>
      <c r="E230" s="7"/>
      <c r="F230" s="34"/>
      <c r="G230" s="7"/>
      <c r="H230" s="6"/>
      <c r="I230" s="7"/>
      <c r="J230" s="34"/>
      <c r="K230" s="7"/>
      <c r="L230" s="51"/>
    </row>
    <row r="231" spans="1:12" ht="5.0999999999999996" customHeight="1" x14ac:dyDescent="0.25">
      <c r="A231" s="2"/>
      <c r="B231" s="118"/>
      <c r="C231" s="124"/>
      <c r="D231" s="2"/>
      <c r="E231" s="12"/>
      <c r="F231" s="33"/>
      <c r="G231" s="12"/>
      <c r="H231" s="9"/>
      <c r="I231" s="12"/>
      <c r="J231" s="33"/>
      <c r="K231" s="12"/>
      <c r="L231" s="10"/>
    </row>
    <row r="232" spans="1:12" ht="16.350000000000001" customHeight="1" x14ac:dyDescent="0.2">
      <c r="A232" s="2"/>
      <c r="B232" s="118"/>
      <c r="C232" s="124"/>
      <c r="D232" s="53" t="s">
        <v>15</v>
      </c>
      <c r="E232" s="12"/>
      <c r="F232" s="35">
        <v>10000</v>
      </c>
      <c r="G232" s="12"/>
      <c r="H232" s="49" t="s">
        <v>6</v>
      </c>
      <c r="I232" s="12"/>
      <c r="J232" s="38" t="s">
        <v>7</v>
      </c>
      <c r="K232" s="12"/>
      <c r="L232" s="13" t="s">
        <v>6</v>
      </c>
    </row>
    <row r="233" spans="1:12" ht="5.0999999999999996" customHeight="1" x14ac:dyDescent="0.25">
      <c r="A233" s="2"/>
      <c r="B233" s="134"/>
      <c r="C233" s="127"/>
      <c r="D233" s="50"/>
      <c r="E233" s="7"/>
      <c r="F233" s="34"/>
      <c r="G233" s="7"/>
      <c r="H233" s="6"/>
      <c r="I233" s="7"/>
      <c r="J233" s="34"/>
      <c r="K233" s="7"/>
      <c r="L233" s="51"/>
    </row>
    <row r="234" spans="1:12" ht="22.35" customHeight="1" x14ac:dyDescent="0.25">
      <c r="A234" s="2"/>
      <c r="B234" s="126" t="s">
        <v>8</v>
      </c>
      <c r="C234" s="2"/>
      <c r="D234" s="2"/>
      <c r="E234" s="2"/>
      <c r="F234" s="31"/>
      <c r="G234" s="2"/>
      <c r="H234" s="2"/>
      <c r="I234" s="2"/>
      <c r="J234" s="31"/>
      <c r="K234" s="2"/>
      <c r="L234" s="10"/>
    </row>
    <row r="235" spans="1:12" ht="18" customHeight="1" x14ac:dyDescent="0.2">
      <c r="A235" s="2"/>
      <c r="B235" s="118"/>
      <c r="C235" s="5"/>
      <c r="D235" s="6"/>
      <c r="E235" s="120" t="s">
        <v>1</v>
      </c>
      <c r="F235" s="121"/>
      <c r="G235" s="122"/>
      <c r="H235" s="4" t="s">
        <v>2</v>
      </c>
      <c r="I235" s="120" t="s">
        <v>3</v>
      </c>
      <c r="J235" s="121"/>
      <c r="K235" s="122"/>
      <c r="L235" s="11" t="s">
        <v>2</v>
      </c>
    </row>
    <row r="236" spans="1:12" ht="5.0999999999999996" customHeight="1" x14ac:dyDescent="0.25">
      <c r="A236" s="2"/>
      <c r="B236" s="118"/>
      <c r="C236" s="123"/>
      <c r="D236" s="2"/>
      <c r="E236" s="12"/>
      <c r="F236" s="33"/>
      <c r="G236" s="12"/>
      <c r="H236" s="8"/>
      <c r="I236" s="12"/>
      <c r="J236" s="33"/>
      <c r="K236" s="12"/>
      <c r="L236" s="10"/>
    </row>
    <row r="237" spans="1:12" ht="16.350000000000001" customHeight="1" x14ac:dyDescent="0.2">
      <c r="A237" s="2"/>
      <c r="B237" s="118"/>
      <c r="C237" s="124"/>
      <c r="D237" s="53" t="s">
        <v>14</v>
      </c>
      <c r="E237" s="12"/>
      <c r="F237" s="35">
        <v>10000</v>
      </c>
      <c r="G237" s="12"/>
      <c r="H237" s="49" t="s">
        <v>6</v>
      </c>
      <c r="I237" s="12"/>
      <c r="J237" s="38" t="s">
        <v>7</v>
      </c>
      <c r="K237" s="12"/>
      <c r="L237" s="13" t="s">
        <v>6</v>
      </c>
    </row>
    <row r="238" spans="1:12" ht="5.0999999999999996" customHeight="1" x14ac:dyDescent="0.25">
      <c r="A238" s="2"/>
      <c r="B238" s="118"/>
      <c r="C238" s="127"/>
      <c r="D238" s="50"/>
      <c r="E238" s="7"/>
      <c r="F238" s="34"/>
      <c r="G238" s="7"/>
      <c r="H238" s="6"/>
      <c r="I238" s="7"/>
      <c r="J238" s="34"/>
      <c r="K238" s="7"/>
      <c r="L238" s="51"/>
    </row>
    <row r="239" spans="1:12" ht="5.0999999999999996" customHeight="1" x14ac:dyDescent="0.25">
      <c r="A239" s="2"/>
      <c r="B239" s="118"/>
      <c r="C239" s="124"/>
      <c r="D239" s="2"/>
      <c r="E239" s="12"/>
      <c r="F239" s="33"/>
      <c r="G239" s="12"/>
      <c r="H239" s="9"/>
      <c r="I239" s="12"/>
      <c r="J239" s="33"/>
      <c r="K239" s="12"/>
      <c r="L239" s="10"/>
    </row>
    <row r="240" spans="1:12" ht="16.350000000000001" customHeight="1" x14ac:dyDescent="0.2">
      <c r="A240" s="2"/>
      <c r="B240" s="118"/>
      <c r="C240" s="124"/>
      <c r="D240" s="53" t="s">
        <v>15</v>
      </c>
      <c r="E240" s="12"/>
      <c r="F240" s="35">
        <v>10000</v>
      </c>
      <c r="G240" s="12"/>
      <c r="H240" s="49" t="s">
        <v>6</v>
      </c>
      <c r="I240" s="12"/>
      <c r="J240" s="38" t="s">
        <v>7</v>
      </c>
      <c r="K240" s="12"/>
      <c r="L240" s="13" t="s">
        <v>6</v>
      </c>
    </row>
    <row r="241" spans="1:12" ht="5.0999999999999996" customHeight="1" thickBot="1" x14ac:dyDescent="0.3">
      <c r="A241" s="2"/>
      <c r="B241" s="119"/>
      <c r="C241" s="125"/>
      <c r="D241" s="14"/>
      <c r="E241" s="19"/>
      <c r="F241" s="37"/>
      <c r="G241" s="19"/>
      <c r="H241" s="18"/>
      <c r="I241" s="19"/>
      <c r="J241" s="37"/>
      <c r="K241" s="19"/>
      <c r="L241" s="15"/>
    </row>
    <row r="242" spans="1:12" ht="15" customHeight="1" x14ac:dyDescent="0.25">
      <c r="A242" s="2"/>
      <c r="B242" s="2"/>
      <c r="C242" s="2"/>
      <c r="D242" s="2"/>
      <c r="E242" s="2"/>
      <c r="F242" s="31"/>
      <c r="G242" s="2"/>
      <c r="H242" s="2"/>
      <c r="I242" s="2"/>
      <c r="J242" s="31"/>
      <c r="K242" s="2"/>
      <c r="L242" s="2"/>
    </row>
  </sheetData>
  <sheetProtection algorithmName="SHA-512" hashValue="SD9t3Isix9+5qXucNa5iJflbcts07lkF6dMttKQsC5dJPp4aBUOBZdd3hFPzwywZ/Y9/71YQu3IBN1N/wbwOAQ==" saltValue="Tmc01ap5BQIb81+PHtIY7g==" spinCount="100000" sheet="1" objects="1" scenarios="1" formatCells="0"/>
  <mergeCells count="43">
    <mergeCell ref="Q7:Q19"/>
    <mergeCell ref="Q22:Q29"/>
    <mergeCell ref="C32:C34"/>
    <mergeCell ref="C35:C37"/>
    <mergeCell ref="C38:C39"/>
    <mergeCell ref="B23:L23"/>
    <mergeCell ref="B24:B77"/>
    <mergeCell ref="E25:G25"/>
    <mergeCell ref="I25:K25"/>
    <mergeCell ref="C26:C28"/>
    <mergeCell ref="C29:C31"/>
    <mergeCell ref="B22:L22"/>
    <mergeCell ref="B13:B18"/>
    <mergeCell ref="E15:G15"/>
    <mergeCell ref="I15:K15"/>
    <mergeCell ref="C16:C18"/>
    <mergeCell ref="B224:L224"/>
    <mergeCell ref="B225:L225"/>
    <mergeCell ref="B226:B233"/>
    <mergeCell ref="E227:G227"/>
    <mergeCell ref="I227:K227"/>
    <mergeCell ref="C228:C230"/>
    <mergeCell ref="C231:C233"/>
    <mergeCell ref="B234:B241"/>
    <mergeCell ref="E235:G235"/>
    <mergeCell ref="I235:K235"/>
    <mergeCell ref="C236:C238"/>
    <mergeCell ref="C239:C241"/>
    <mergeCell ref="B78:B221"/>
    <mergeCell ref="E79:G79"/>
    <mergeCell ref="I79:K79"/>
    <mergeCell ref="C80:C82"/>
    <mergeCell ref="C83:C85"/>
    <mergeCell ref="C86:C88"/>
    <mergeCell ref="C89:C91"/>
    <mergeCell ref="C92:C93"/>
    <mergeCell ref="B1:L1"/>
    <mergeCell ref="B5:L5"/>
    <mergeCell ref="B6:L6"/>
    <mergeCell ref="B7:B12"/>
    <mergeCell ref="E9:G9"/>
    <mergeCell ref="I9:K9"/>
    <mergeCell ref="C10:C12"/>
  </mergeCells>
  <conditionalFormatting sqref="J179">
    <cfRule type="cellIs" dxfId="9" priority="40" stopIfTrue="1" operator="equal">
      <formula>""</formula>
    </cfRule>
  </conditionalFormatting>
  <conditionalFormatting sqref="J182">
    <cfRule type="cellIs" dxfId="8" priority="39" operator="equal">
      <formula>""</formula>
    </cfRule>
  </conditionalFormatting>
  <conditionalFormatting sqref="J185">
    <cfRule type="cellIs" dxfId="7" priority="32" stopIfTrue="1" operator="equal">
      <formula>""</formula>
    </cfRule>
  </conditionalFormatting>
  <conditionalFormatting sqref="J197">
    <cfRule type="cellIs" dxfId="6" priority="7" operator="equal">
      <formula>""</formula>
    </cfRule>
  </conditionalFormatting>
  <conditionalFormatting sqref="F191">
    <cfRule type="containsBlanks" dxfId="5" priority="5" stopIfTrue="1">
      <formula>LEN(TRIM(F191))=0</formula>
    </cfRule>
    <cfRule type="cellIs" dxfId="4" priority="6" operator="equal">
      <formula>0</formula>
    </cfRule>
  </conditionalFormatting>
  <conditionalFormatting sqref="F200">
    <cfRule type="cellIs" dxfId="3" priority="2" operator="greaterThan">
      <formula>1</formula>
    </cfRule>
    <cfRule type="cellIs" dxfId="2" priority="3" operator="between">
      <formula>0.8</formula>
      <formula>1</formula>
    </cfRule>
    <cfRule type="cellIs" dxfId="1" priority="4" operator="between">
      <formula>0.001</formula>
      <formula>0.7999</formula>
    </cfRule>
  </conditionalFormatting>
  <conditionalFormatting sqref="F212">
    <cfRule type="expression" dxfId="0" priority="1">
      <formula>IF(F224 &gt;= 1, 1, 0 )</formula>
    </cfRule>
  </conditionalFormatting>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13357" r:id="rId4" name="cbApplyOddEvenFormatting">
          <controlPr defaultSize="0" autoFill="0" autoLine="0" r:id="rId5">
            <anchor moveWithCells="1">
              <from>
                <xdr:col>7</xdr:col>
                <xdr:colOff>1676400</xdr:colOff>
                <xdr:row>223</xdr:row>
                <xdr:rowOff>66675</xdr:rowOff>
              </from>
              <to>
                <xdr:col>7</xdr:col>
                <xdr:colOff>1800225</xdr:colOff>
                <xdr:row>223</xdr:row>
                <xdr:rowOff>342900</xdr:rowOff>
              </to>
            </anchor>
          </controlPr>
        </control>
      </mc:Choice>
      <mc:Fallback>
        <control shapeId="13357" r:id="rId4" name="cbApplyOddEvenFormatting"/>
      </mc:Fallback>
    </mc:AlternateContent>
    <mc:AlternateContent xmlns:mc="http://schemas.openxmlformats.org/markup-compatibility/2006">
      <mc:Choice Requires="x14">
        <control shapeId="13339" r:id="rId6" name="cbApplyMemberFormatting">
          <controlPr defaultSize="0" autoFill="0" autoLine="0" r:id="rId7">
            <anchor moveWithCells="1">
              <from>
                <xdr:col>9</xdr:col>
                <xdr:colOff>485775</xdr:colOff>
                <xdr:row>21</xdr:row>
                <xdr:rowOff>66675</xdr:rowOff>
              </from>
              <to>
                <xdr:col>9</xdr:col>
                <xdr:colOff>609600</xdr:colOff>
                <xdr:row>21</xdr:row>
                <xdr:rowOff>342900</xdr:rowOff>
              </to>
            </anchor>
          </controlPr>
        </control>
      </mc:Choice>
      <mc:Fallback>
        <control shapeId="13339" r:id="rId6" name="cbApplyMemberFormatting"/>
      </mc:Fallback>
    </mc:AlternateContent>
    <mc:AlternateContent xmlns:mc="http://schemas.openxmlformats.org/markup-compatibility/2006">
      <mc:Choice Requires="x14">
        <control shapeId="13313" r:id="rId8" name="cbApplyLevelFormatting">
          <controlPr defaultSize="0" autoFill="0" autoLine="0" r:id="rId9">
            <anchor moveWithCells="1">
              <from>
                <xdr:col>7</xdr:col>
                <xdr:colOff>1485900</xdr:colOff>
                <xdr:row>4</xdr:row>
                <xdr:rowOff>66675</xdr:rowOff>
              </from>
              <to>
                <xdr:col>7</xdr:col>
                <xdr:colOff>1609725</xdr:colOff>
                <xdr:row>4</xdr:row>
                <xdr:rowOff>342900</xdr:rowOff>
              </to>
            </anchor>
          </controlPr>
        </control>
      </mc:Choice>
      <mc:Fallback>
        <control shapeId="13313" r:id="rId8" name="cbApplyLevelFormatting"/>
      </mc:Fallback>
    </mc:AlternateContent>
    <mc:AlternateContent xmlns:mc="http://schemas.openxmlformats.org/markup-compatibility/2006">
      <mc:Choice Requires="x14">
        <control shapeId="13314" r:id="rId10" name="Group Box 2">
          <controlPr defaultSize="0" autoPict="0">
            <anchor moveWithCells="1">
              <from>
                <xdr:col>1</xdr:col>
                <xdr:colOff>0</xdr:colOff>
                <xdr:row>5</xdr:row>
                <xdr:rowOff>0</xdr:rowOff>
              </from>
              <to>
                <xdr:col>3</xdr:col>
                <xdr:colOff>2809875</xdr:colOff>
                <xdr:row>6</xdr:row>
                <xdr:rowOff>0</xdr:rowOff>
              </to>
            </anchor>
          </controlPr>
        </control>
      </mc:Choice>
    </mc:AlternateContent>
    <mc:AlternateContent xmlns:mc="http://schemas.openxmlformats.org/markup-compatibility/2006">
      <mc:Choice Requires="x14">
        <control shapeId="13315" r:id="rId11" name="obLevelRowFirst">
          <controlPr defaultSize="0" autoFill="0" autoLine="0" autoPict="0" macro="_xll.IBPXLClient.TechnicalCategory.ButtonActionInIBPClientFormattingSheet">
            <anchor moveWithCells="1">
              <from>
                <xdr:col>3</xdr:col>
                <xdr:colOff>485775</xdr:colOff>
                <xdr:row>5</xdr:row>
                <xdr:rowOff>66675</xdr:rowOff>
              </from>
              <to>
                <xdr:col>3</xdr:col>
                <xdr:colOff>2619375</xdr:colOff>
                <xdr:row>5</xdr:row>
                <xdr:rowOff>295275</xdr:rowOff>
              </to>
            </anchor>
          </controlPr>
        </control>
      </mc:Choice>
    </mc:AlternateContent>
    <mc:AlternateContent xmlns:mc="http://schemas.openxmlformats.org/markup-compatibility/2006">
      <mc:Choice Requires="x14">
        <control shapeId="13316"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447675</xdr:colOff>
                <xdr:row>5</xdr:row>
                <xdr:rowOff>295275</xdr:rowOff>
              </to>
            </anchor>
          </controlPr>
        </control>
      </mc:Choice>
    </mc:AlternateContent>
    <mc:AlternateContent xmlns:mc="http://schemas.openxmlformats.org/markup-compatibility/2006">
      <mc:Choice Requires="x14">
        <control shapeId="13317" r:id="rId13" name="Group Box 5">
          <controlPr defaultSize="0" autoPict="0">
            <anchor moveWithCells="1">
              <from>
                <xdr:col>3</xdr:col>
                <xdr:colOff>2771775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3322" r:id="rId14" name="Group Box 10">
          <controlPr defaultSize="0" autoPict="0">
            <anchor moveWithCells="1">
              <from>
                <xdr:col>10</xdr:col>
                <xdr:colOff>219075</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13325" r:id="rId15" name="cbUseDefaultLevelFirst">
          <controlPr defaultSize="0" autoFill="0" autoLine="0" autoPict="0">
            <anchor moveWithCells="1">
              <from>
                <xdr:col>2</xdr:col>
                <xdr:colOff>142875</xdr:colOff>
                <xdr:row>14</xdr:row>
                <xdr:rowOff>219075</xdr:rowOff>
              </from>
              <to>
                <xdr:col>2</xdr:col>
                <xdr:colOff>1019175</xdr:colOff>
                <xdr:row>17</xdr:row>
                <xdr:rowOff>38100</xdr:rowOff>
              </to>
            </anchor>
          </controlPr>
        </control>
      </mc:Choice>
    </mc:AlternateContent>
    <mc:AlternateContent xmlns:mc="http://schemas.openxmlformats.org/markup-compatibility/2006">
      <mc:Choice Requires="x14">
        <control shapeId="13331" r:id="rId16" name="Group Box 19">
          <controlPr defaultSize="0" autoPict="0">
            <anchor moveWithCells="1">
              <from>
                <xdr:col>10</xdr:col>
                <xdr:colOff>219075</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4" r:id="rId17" name="cbUseDefaultLevelSecond">
          <controlPr defaultSize="0" autoFill="0" autoLine="0" autoPict="0">
            <anchor moveWithCells="1">
              <from>
                <xdr:col>2</xdr:col>
                <xdr:colOff>142875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3340" r:id="rId18" name="Group Box 28">
          <controlPr defaultSize="0" autoPict="0">
            <anchor moveWithCells="1">
              <from>
                <xdr:col>1</xdr:col>
                <xdr:colOff>0</xdr:colOff>
                <xdr:row>22</xdr:row>
                <xdr:rowOff>0</xdr:rowOff>
              </from>
              <to>
                <xdr:col>11</xdr:col>
                <xdr:colOff>1285875</xdr:colOff>
                <xdr:row>23</xdr:row>
                <xdr:rowOff>0</xdr:rowOff>
              </to>
            </anchor>
          </controlPr>
        </control>
      </mc:Choice>
    </mc:AlternateContent>
    <mc:AlternateContent xmlns:mc="http://schemas.openxmlformats.org/markup-compatibility/2006">
      <mc:Choice Requires="x14">
        <control shapeId="13341" r:id="rId19" name="obMemberRowFirst">
          <controlPr defaultSize="0" autoFill="0" autoLine="0" autoPict="0" macro="_xll.IBPXLClient.TechnicalCategory.ButtonActionInIBPClientFormattingSheet">
            <anchor moveWithCells="1">
              <from>
                <xdr:col>3</xdr:col>
                <xdr:colOff>485775</xdr:colOff>
                <xdr:row>22</xdr:row>
                <xdr:rowOff>66675</xdr:rowOff>
              </from>
              <to>
                <xdr:col>3</xdr:col>
                <xdr:colOff>2619375</xdr:colOff>
                <xdr:row>22</xdr:row>
                <xdr:rowOff>295275</xdr:rowOff>
              </to>
            </anchor>
          </controlPr>
        </control>
      </mc:Choice>
    </mc:AlternateContent>
    <mc:AlternateContent xmlns:mc="http://schemas.openxmlformats.org/markup-compatibility/2006">
      <mc:Choice Requires="x14">
        <control shapeId="13342" r:id="rId20" name="obMemberColumnFirst">
          <controlPr defaultSize="0" autoFill="0" autoLine="0" autoPict="0" macro="_xll.IBPXLClient.TechnicalCategory.ButtonActionInIBPClientFormattingSheet">
            <anchor moveWithCells="1">
              <from>
                <xdr:col>1</xdr:col>
                <xdr:colOff>219075</xdr:colOff>
                <xdr:row>22</xdr:row>
                <xdr:rowOff>66675</xdr:rowOff>
              </from>
              <to>
                <xdr:col>3</xdr:col>
                <xdr:colOff>447675</xdr:colOff>
                <xdr:row>22</xdr:row>
                <xdr:rowOff>295275</xdr:rowOff>
              </to>
            </anchor>
          </controlPr>
        </control>
      </mc:Choice>
    </mc:AlternateContent>
    <mc:AlternateContent xmlns:mc="http://schemas.openxmlformats.org/markup-compatibility/2006">
      <mc:Choice Requires="x14">
        <control shapeId="13344" r:id="rId21" name="cbApplyCalculatedMemberFirst">
          <controlPr defaultSize="0" autoFill="0" autoLine="0" autoPict="0">
            <anchor moveWithCells="1">
              <from>
                <xdr:col>2</xdr:col>
                <xdr:colOff>142875</xdr:colOff>
                <xdr:row>79</xdr:row>
                <xdr:rowOff>0</xdr:rowOff>
              </from>
              <to>
                <xdr:col>2</xdr:col>
                <xdr:colOff>1019175</xdr:colOff>
                <xdr:row>82</xdr:row>
                <xdr:rowOff>0</xdr:rowOff>
              </to>
            </anchor>
          </controlPr>
        </control>
      </mc:Choice>
    </mc:AlternateContent>
    <mc:AlternateContent xmlns:mc="http://schemas.openxmlformats.org/markup-compatibility/2006">
      <mc:Choice Requires="x14">
        <control shapeId="13345" r:id="rId22" name="cbApplyImputableMemberFirst">
          <controlPr defaultSize="0" autoFill="0" autoLine="0" autoPict="0">
            <anchor moveWithCells="1">
              <from>
                <xdr:col>2</xdr:col>
                <xdr:colOff>142875</xdr:colOff>
                <xdr:row>82</xdr:row>
                <xdr:rowOff>0</xdr:rowOff>
              </from>
              <to>
                <xdr:col>2</xdr:col>
                <xdr:colOff>1019175</xdr:colOff>
                <xdr:row>84</xdr:row>
                <xdr:rowOff>38100</xdr:rowOff>
              </to>
            </anchor>
          </controlPr>
        </control>
      </mc:Choice>
    </mc:AlternateContent>
    <mc:AlternateContent xmlns:mc="http://schemas.openxmlformats.org/markup-compatibility/2006">
      <mc:Choice Requires="x14">
        <control shapeId="13346" r:id="rId23" name="cbApplyLocalMemberFirst">
          <controlPr defaultSize="0" autoFill="0" autoLine="0" autoPict="0">
            <anchor moveWithCells="1">
              <from>
                <xdr:col>2</xdr:col>
                <xdr:colOff>142875</xdr:colOff>
                <xdr:row>85</xdr:row>
                <xdr:rowOff>0</xdr:rowOff>
              </from>
              <to>
                <xdr:col>2</xdr:col>
                <xdr:colOff>1019175</xdr:colOff>
                <xdr:row>87</xdr:row>
                <xdr:rowOff>38100</xdr:rowOff>
              </to>
            </anchor>
          </controlPr>
        </control>
      </mc:Choice>
    </mc:AlternateContent>
    <mc:AlternateContent xmlns:mc="http://schemas.openxmlformats.org/markup-compatibility/2006">
      <mc:Choice Requires="x14">
        <control shapeId="13347" r:id="rId24" name="cbApplyChangedMemberFirst">
          <controlPr defaultSize="0" autoFill="0" autoLine="0" autoPict="0">
            <anchor moveWithCells="1">
              <from>
                <xdr:col>2</xdr:col>
                <xdr:colOff>142875</xdr:colOff>
                <xdr:row>88</xdr:row>
                <xdr:rowOff>0</xdr:rowOff>
              </from>
              <to>
                <xdr:col>2</xdr:col>
                <xdr:colOff>1019175</xdr:colOff>
                <xdr:row>90</xdr:row>
                <xdr:rowOff>38100</xdr:rowOff>
              </to>
            </anchor>
          </controlPr>
        </control>
      </mc:Choice>
    </mc:AlternateContent>
    <mc:AlternateContent xmlns:mc="http://schemas.openxmlformats.org/markup-compatibility/2006">
      <mc:Choice Requires="x14">
        <control shapeId="13348" r:id="rId25" name="cbApplySpecificMemberFirst">
          <controlPr defaultSize="0" autoFill="0" autoLine="0" autoPict="0">
            <anchor moveWithCells="1">
              <from>
                <xdr:col>2</xdr:col>
                <xdr:colOff>142875</xdr:colOff>
                <xdr:row>91</xdr:row>
                <xdr:rowOff>66675</xdr:rowOff>
              </from>
              <to>
                <xdr:col>2</xdr:col>
                <xdr:colOff>1019175</xdr:colOff>
                <xdr:row>93</xdr:row>
                <xdr:rowOff>0</xdr:rowOff>
              </to>
            </anchor>
          </controlPr>
        </control>
      </mc:Choice>
    </mc:AlternateContent>
    <mc:AlternateContent xmlns:mc="http://schemas.openxmlformats.org/markup-compatibility/2006">
      <mc:Choice Requires="x14">
        <control shapeId="13349" r:id="rId26" name="AddMemberFirst">
          <controlPr defaultSize="0" print="0" autoFill="0" autoPict="0" macro="_xll.IBPXLClient.TechnicalCategory.ButtonActionInIBPClientFormattingSheet">
            <anchor moveWithCells="1" sizeWithCells="1">
              <from>
                <xdr:col>3</xdr:col>
                <xdr:colOff>66675</xdr:colOff>
                <xdr:row>219</xdr:row>
                <xdr:rowOff>28575</xdr:rowOff>
              </from>
              <to>
                <xdr:col>3</xdr:col>
                <xdr:colOff>4295775</xdr:colOff>
                <xdr:row>219</xdr:row>
                <xdr:rowOff>266700</xdr:rowOff>
              </to>
            </anchor>
          </controlPr>
        </control>
      </mc:Choice>
    </mc:AlternateContent>
    <mc:AlternateContent xmlns:mc="http://schemas.openxmlformats.org/markup-compatibility/2006">
      <mc:Choice Requires="x14">
        <control shapeId="13351" r:id="rId27" name="cbApplyCalculatedMemberSecond">
          <controlPr defaultSize="0" autoFill="0" autoLine="0" autoPict="0">
            <anchor moveWithCells="1">
              <from>
                <xdr:col>2</xdr:col>
                <xdr:colOff>142875</xdr:colOff>
                <xdr:row>25</xdr:row>
                <xdr:rowOff>0</xdr:rowOff>
              </from>
              <to>
                <xdr:col>2</xdr:col>
                <xdr:colOff>1019175</xdr:colOff>
                <xdr:row>27</xdr:row>
                <xdr:rowOff>66675</xdr:rowOff>
              </to>
            </anchor>
          </controlPr>
        </control>
      </mc:Choice>
    </mc:AlternateContent>
    <mc:AlternateContent xmlns:mc="http://schemas.openxmlformats.org/markup-compatibility/2006">
      <mc:Choice Requires="x14">
        <control shapeId="13352" r:id="rId28" name="cbApplyImputableMemberSecond">
          <controlPr defaultSize="0" autoFill="0" autoLine="0" autoPict="0">
            <anchor moveWithCells="1">
              <from>
                <xdr:col>2</xdr:col>
                <xdr:colOff>142875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13353" r:id="rId29" name="cbApplyLocalMemberSecond">
          <controlPr defaultSize="0" autoFill="0" autoLine="0" autoPict="0">
            <anchor moveWithCells="1">
              <from>
                <xdr:col>2</xdr:col>
                <xdr:colOff>142875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13354" r:id="rId30" name="cbApplyChangedMemberSecond">
          <controlPr defaultSize="0" autoFill="0" autoLine="0" autoPict="0">
            <anchor moveWithCells="1">
              <from>
                <xdr:col>2</xdr:col>
                <xdr:colOff>142875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13355" r:id="rId31" name="cbApplySpecificMemberSecond">
          <controlPr defaultSize="0" autoFill="0" autoLine="0" autoPict="0">
            <anchor moveWithCells="1">
              <from>
                <xdr:col>2</xdr:col>
                <xdr:colOff>142875</xdr:colOff>
                <xdr:row>37</xdr:row>
                <xdr:rowOff>66675</xdr:rowOff>
              </from>
              <to>
                <xdr:col>2</xdr:col>
                <xdr:colOff>1019175</xdr:colOff>
                <xdr:row>39</xdr:row>
                <xdr:rowOff>0</xdr:rowOff>
              </to>
            </anchor>
          </controlPr>
        </control>
      </mc:Choice>
    </mc:AlternateContent>
    <mc:AlternateContent xmlns:mc="http://schemas.openxmlformats.org/markup-compatibility/2006">
      <mc:Choice Requires="x14">
        <control shapeId="13356" r:id="rId32" name="AddMemberSecond">
          <controlPr defaultSize="0" print="0" autoFill="0" autoPict="0" macro="_xll.IBPXLClient.TechnicalCategory.ButtonActionInIBPClientFormattingSheet">
            <anchor moveWithCells="1" sizeWithCells="1">
              <from>
                <xdr:col>3</xdr:col>
                <xdr:colOff>66675</xdr:colOff>
                <xdr:row>75</xdr:row>
                <xdr:rowOff>28575</xdr:rowOff>
              </from>
              <to>
                <xdr:col>3</xdr:col>
                <xdr:colOff>4295775</xdr:colOff>
                <xdr:row>75</xdr:row>
                <xdr:rowOff>266700</xdr:rowOff>
              </to>
            </anchor>
          </controlPr>
        </control>
      </mc:Choice>
    </mc:AlternateContent>
    <mc:AlternateContent xmlns:mc="http://schemas.openxmlformats.org/markup-compatibility/2006">
      <mc:Choice Requires="x14">
        <control shapeId="13358" r:id="rId33" name="Group Box 46">
          <controlPr defaultSize="0" autoPict="0">
            <anchor moveWithCells="1">
              <from>
                <xdr:col>1</xdr:col>
                <xdr:colOff>0</xdr:colOff>
                <xdr:row>224</xdr:row>
                <xdr:rowOff>0</xdr:rowOff>
              </from>
              <to>
                <xdr:col>11</xdr:col>
                <xdr:colOff>1285875</xdr:colOff>
                <xdr:row>225</xdr:row>
                <xdr:rowOff>0</xdr:rowOff>
              </to>
            </anchor>
          </controlPr>
        </control>
      </mc:Choice>
    </mc:AlternateContent>
    <mc:AlternateContent xmlns:mc="http://schemas.openxmlformats.org/markup-compatibility/2006">
      <mc:Choice Requires="x14">
        <control shapeId="13359" r:id="rId34" name="obOddEvenRowFirst">
          <controlPr defaultSize="0" autoFill="0" autoLine="0" autoPict="0" macro="_xll.IBPXLClient.TechnicalCategory.ButtonActionInIBPClientFormattingSheet">
            <anchor moveWithCells="1">
              <from>
                <xdr:col>3</xdr:col>
                <xdr:colOff>485775</xdr:colOff>
                <xdr:row>224</xdr:row>
                <xdr:rowOff>66675</xdr:rowOff>
              </from>
              <to>
                <xdr:col>3</xdr:col>
                <xdr:colOff>2619375</xdr:colOff>
                <xdr:row>224</xdr:row>
                <xdr:rowOff>295275</xdr:rowOff>
              </to>
            </anchor>
          </controlPr>
        </control>
      </mc:Choice>
    </mc:AlternateContent>
    <mc:AlternateContent xmlns:mc="http://schemas.openxmlformats.org/markup-compatibility/2006">
      <mc:Choice Requires="x14">
        <control shapeId="13360" r:id="rId35" name="obOddEvenColumnFirst">
          <controlPr defaultSize="0" autoFill="0" autoLine="0" autoPict="0" macro="_xll.IBPXLClient.TechnicalCategory.ButtonActionInIBPClientFormattingSheet">
            <anchor moveWithCells="1">
              <from>
                <xdr:col>1</xdr:col>
                <xdr:colOff>219075</xdr:colOff>
                <xdr:row>224</xdr:row>
                <xdr:rowOff>66675</xdr:rowOff>
              </from>
              <to>
                <xdr:col>3</xdr:col>
                <xdr:colOff>447675</xdr:colOff>
                <xdr:row>224</xdr:row>
                <xdr:rowOff>295275</xdr:rowOff>
              </to>
            </anchor>
          </controlPr>
        </control>
      </mc:Choice>
    </mc:AlternateContent>
    <mc:AlternateContent xmlns:mc="http://schemas.openxmlformats.org/markup-compatibility/2006">
      <mc:Choice Requires="x14">
        <control shapeId="13361" r:id="rId36" name="cbUseOddFirst">
          <controlPr defaultSize="0" autoFill="0" autoLine="0" autoPict="0">
            <anchor moveWithCells="1">
              <from>
                <xdr:col>2</xdr:col>
                <xdr:colOff>142875</xdr:colOff>
                <xdr:row>227</xdr:row>
                <xdr:rowOff>0</xdr:rowOff>
              </from>
              <to>
                <xdr:col>2</xdr:col>
                <xdr:colOff>1019175</xdr:colOff>
                <xdr:row>229</xdr:row>
                <xdr:rowOff>38100</xdr:rowOff>
              </to>
            </anchor>
          </controlPr>
        </control>
      </mc:Choice>
    </mc:AlternateContent>
    <mc:AlternateContent xmlns:mc="http://schemas.openxmlformats.org/markup-compatibility/2006">
      <mc:Choice Requires="x14">
        <control shapeId="13362" r:id="rId37" name="cbUseEvenFirst">
          <controlPr defaultSize="0" autoFill="0" autoLine="0" autoPict="0">
            <anchor moveWithCells="1">
              <from>
                <xdr:col>2</xdr:col>
                <xdr:colOff>142875</xdr:colOff>
                <xdr:row>230</xdr:row>
                <xdr:rowOff>0</xdr:rowOff>
              </from>
              <to>
                <xdr:col>2</xdr:col>
                <xdr:colOff>1019175</xdr:colOff>
                <xdr:row>232</xdr:row>
                <xdr:rowOff>38100</xdr:rowOff>
              </to>
            </anchor>
          </controlPr>
        </control>
      </mc:Choice>
    </mc:AlternateContent>
    <mc:AlternateContent xmlns:mc="http://schemas.openxmlformats.org/markup-compatibility/2006">
      <mc:Choice Requires="x14">
        <control shapeId="13363" r:id="rId38" name="cbUseOddSecond">
          <controlPr defaultSize="0" autoFill="0" autoLine="0" autoPict="0">
            <anchor moveWithCells="1">
              <from>
                <xdr:col>2</xdr:col>
                <xdr:colOff>142875</xdr:colOff>
                <xdr:row>235</xdr:row>
                <xdr:rowOff>0</xdr:rowOff>
              </from>
              <to>
                <xdr:col>2</xdr:col>
                <xdr:colOff>1019175</xdr:colOff>
                <xdr:row>237</xdr:row>
                <xdr:rowOff>38100</xdr:rowOff>
              </to>
            </anchor>
          </controlPr>
        </control>
      </mc:Choice>
    </mc:AlternateContent>
    <mc:AlternateContent xmlns:mc="http://schemas.openxmlformats.org/markup-compatibility/2006">
      <mc:Choice Requires="x14">
        <control shapeId="13364" r:id="rId39" name="cbUseEvenSecond">
          <controlPr defaultSize="0" autoFill="0" autoLine="0" autoPict="0">
            <anchor moveWithCells="1">
              <from>
                <xdr:col>2</xdr:col>
                <xdr:colOff>142875</xdr:colOff>
                <xdr:row>237</xdr:row>
                <xdr:rowOff>66675</xdr:rowOff>
              </from>
              <to>
                <xdr:col>2</xdr:col>
                <xdr:colOff>1019175</xdr:colOff>
                <xdr:row>240</xdr:row>
                <xdr:rowOff>38100</xdr:rowOff>
              </to>
            </anchor>
          </controlPr>
        </control>
      </mc:Choice>
    </mc:AlternateContent>
    <mc:AlternateContent xmlns:mc="http://schemas.openxmlformats.org/markup-compatibility/2006">
      <mc:Choice Requires="x14">
        <control shapeId="13369" r:id="rId40" name="AddedMember1_1">
          <controlPr defaultSize="0" print="0" autoFill="0" autoPict="0" macro="_xll.IBPXLClient.TechnicalCategory.ButtonActionInIBPClientFormattingSheet">
            <anchor moveWithCells="1" sizeWithCells="1">
              <from>
                <xdr:col>11</xdr:col>
                <xdr:colOff>2438400</xdr:colOff>
                <xdr:row>93</xdr:row>
                <xdr:rowOff>66675</xdr:rowOff>
              </from>
              <to>
                <xdr:col>12</xdr:col>
                <xdr:colOff>676275</xdr:colOff>
                <xdr:row>94</xdr:row>
                <xdr:rowOff>190500</xdr:rowOff>
              </to>
            </anchor>
          </controlPr>
        </control>
      </mc:Choice>
    </mc:AlternateContent>
    <mc:AlternateContent xmlns:mc="http://schemas.openxmlformats.org/markup-compatibility/2006">
      <mc:Choice Requires="x14">
        <control shapeId="13370" r:id="rId41" name="ChangeMember1_1">
          <controlPr defaultSize="0" print="0" autoFill="0" autoPict="0" macro="_xll.IBPXLClient.TechnicalCategory.ButtonActionInIBPClientFormattingSheet">
            <anchor moveWithCells="1" sizeWithCells="1">
              <from>
                <xdr:col>13</xdr:col>
                <xdr:colOff>0</xdr:colOff>
                <xdr:row>93</xdr:row>
                <xdr:rowOff>66675</xdr:rowOff>
              </from>
              <to>
                <xdr:col>13</xdr:col>
                <xdr:colOff>685800</xdr:colOff>
                <xdr:row>94</xdr:row>
                <xdr:rowOff>190500</xdr:rowOff>
              </to>
            </anchor>
          </controlPr>
        </control>
      </mc:Choice>
    </mc:AlternateContent>
    <mc:AlternateContent xmlns:mc="http://schemas.openxmlformats.org/markup-compatibility/2006">
      <mc:Choice Requires="x14">
        <control shapeId="13371" r:id="rId42" name="UpMember1_1">
          <controlPr defaultSize="0" print="0" autoFill="0" autoPict="0" macro="_xll.IBPXLClient.TechnicalCategory.ButtonActionInIBPClientFormattingSheet">
            <anchor moveWithCells="1" sizeWithCells="1">
              <from>
                <xdr:col>14</xdr:col>
                <xdr:colOff>0</xdr:colOff>
                <xdr:row>93</xdr:row>
                <xdr:rowOff>66675</xdr:rowOff>
              </from>
              <to>
                <xdr:col>14</xdr:col>
                <xdr:colOff>685800</xdr:colOff>
                <xdr:row>94</xdr:row>
                <xdr:rowOff>190500</xdr:rowOff>
              </to>
            </anchor>
          </controlPr>
        </control>
      </mc:Choice>
    </mc:AlternateContent>
    <mc:AlternateContent xmlns:mc="http://schemas.openxmlformats.org/markup-compatibility/2006">
      <mc:Choice Requires="x14">
        <control shapeId="13372" r:id="rId43" name="DownMember1_1">
          <controlPr defaultSize="0" print="0" autoFill="0" autoPict="0" macro="_xll.IBPXLClient.TechnicalCategory.ButtonActionInIBPClientFormattingSheet">
            <anchor moveWithCells="1" sizeWithCells="1">
              <from>
                <xdr:col>14</xdr:col>
                <xdr:colOff>714375</xdr:colOff>
                <xdr:row>93</xdr:row>
                <xdr:rowOff>66675</xdr:rowOff>
              </from>
              <to>
                <xdr:col>15</xdr:col>
                <xdr:colOff>676275</xdr:colOff>
                <xdr:row>94</xdr:row>
                <xdr:rowOff>190500</xdr:rowOff>
              </to>
            </anchor>
          </controlPr>
        </control>
      </mc:Choice>
    </mc:AlternateContent>
    <mc:AlternateContent xmlns:mc="http://schemas.openxmlformats.org/markup-compatibility/2006">
      <mc:Choice Requires="x14">
        <control shapeId="13373" r:id="rId44" name="AddedMember1_2">
          <controlPr defaultSize="0" print="0" autoFill="0" autoPict="0" macro="_xll.IBPXLClient.TechnicalCategory.ButtonActionInIBPClientFormattingSheet">
            <anchor moveWithCells="1" sizeWithCells="1">
              <from>
                <xdr:col>11</xdr:col>
                <xdr:colOff>2438400</xdr:colOff>
                <xdr:row>96</xdr:row>
                <xdr:rowOff>66675</xdr:rowOff>
              </from>
              <to>
                <xdr:col>12</xdr:col>
                <xdr:colOff>676275</xdr:colOff>
                <xdr:row>98</xdr:row>
                <xdr:rowOff>0</xdr:rowOff>
              </to>
            </anchor>
          </controlPr>
        </control>
      </mc:Choice>
    </mc:AlternateContent>
    <mc:AlternateContent xmlns:mc="http://schemas.openxmlformats.org/markup-compatibility/2006">
      <mc:Choice Requires="x14">
        <control shapeId="13374" r:id="rId45" name="ChangeMember1_2">
          <controlPr defaultSize="0" print="0" autoFill="0" autoPict="0" macro="_xll.IBPXLClient.TechnicalCategory.ButtonActionInIBPClientFormattingSheet">
            <anchor moveWithCells="1" sizeWithCells="1">
              <from>
                <xdr:col>13</xdr:col>
                <xdr:colOff>0</xdr:colOff>
                <xdr:row>96</xdr:row>
                <xdr:rowOff>66675</xdr:rowOff>
              </from>
              <to>
                <xdr:col>13</xdr:col>
                <xdr:colOff>685800</xdr:colOff>
                <xdr:row>98</xdr:row>
                <xdr:rowOff>0</xdr:rowOff>
              </to>
            </anchor>
          </controlPr>
        </control>
      </mc:Choice>
    </mc:AlternateContent>
    <mc:AlternateContent xmlns:mc="http://schemas.openxmlformats.org/markup-compatibility/2006">
      <mc:Choice Requires="x14">
        <control shapeId="13375" r:id="rId46" name="UpMember1_2">
          <controlPr defaultSize="0" print="0" autoFill="0" autoPict="0" macro="_xll.IBPXLClient.TechnicalCategory.ButtonActionInIBPClientFormattingSheet">
            <anchor moveWithCells="1" sizeWithCells="1">
              <from>
                <xdr:col>14</xdr:col>
                <xdr:colOff>0</xdr:colOff>
                <xdr:row>96</xdr:row>
                <xdr:rowOff>66675</xdr:rowOff>
              </from>
              <to>
                <xdr:col>14</xdr:col>
                <xdr:colOff>685800</xdr:colOff>
                <xdr:row>98</xdr:row>
                <xdr:rowOff>0</xdr:rowOff>
              </to>
            </anchor>
          </controlPr>
        </control>
      </mc:Choice>
    </mc:AlternateContent>
    <mc:AlternateContent xmlns:mc="http://schemas.openxmlformats.org/markup-compatibility/2006">
      <mc:Choice Requires="x14">
        <control shapeId="13376" r:id="rId47" name="DownMember1_2">
          <controlPr defaultSize="0" print="0" autoFill="0" autoPict="0" macro="_xll.IBPXLClient.TechnicalCategory.ButtonActionInIBPClientFormattingSheet">
            <anchor moveWithCells="1" sizeWithCells="1">
              <from>
                <xdr:col>14</xdr:col>
                <xdr:colOff>714375</xdr:colOff>
                <xdr:row>96</xdr:row>
                <xdr:rowOff>66675</xdr:rowOff>
              </from>
              <to>
                <xdr:col>15</xdr:col>
                <xdr:colOff>676275</xdr:colOff>
                <xdr:row>98</xdr:row>
                <xdr:rowOff>0</xdr:rowOff>
              </to>
            </anchor>
          </controlPr>
        </control>
      </mc:Choice>
    </mc:AlternateContent>
    <mc:AlternateContent xmlns:mc="http://schemas.openxmlformats.org/markup-compatibility/2006">
      <mc:Choice Requires="x14">
        <control shapeId="13377" r:id="rId48" name="AddedMember1_3">
          <controlPr defaultSize="0" print="0" autoFill="0" autoPict="0" macro="_xll.IBPXLClient.TechnicalCategory.ButtonActionInIBPClientFormattingSheet">
            <anchor moveWithCells="1" sizeWithCells="1">
              <from>
                <xdr:col>11</xdr:col>
                <xdr:colOff>2438400</xdr:colOff>
                <xdr:row>100</xdr:row>
                <xdr:rowOff>0</xdr:rowOff>
              </from>
              <to>
                <xdr:col>12</xdr:col>
                <xdr:colOff>676275</xdr:colOff>
                <xdr:row>101</xdr:row>
                <xdr:rowOff>0</xdr:rowOff>
              </to>
            </anchor>
          </controlPr>
        </control>
      </mc:Choice>
    </mc:AlternateContent>
    <mc:AlternateContent xmlns:mc="http://schemas.openxmlformats.org/markup-compatibility/2006">
      <mc:Choice Requires="x14">
        <control shapeId="13378" r:id="rId49" name="ChangeMember1_3">
          <controlPr defaultSize="0" print="0" autoFill="0" autoPict="0" macro="_xll.IBPXLClient.TechnicalCategory.ButtonActionInIBPClientFormattingSheet">
            <anchor moveWithCells="1" sizeWithCells="1">
              <from>
                <xdr:col>13</xdr:col>
                <xdr:colOff>0</xdr:colOff>
                <xdr:row>100</xdr:row>
                <xdr:rowOff>0</xdr:rowOff>
              </from>
              <to>
                <xdr:col>13</xdr:col>
                <xdr:colOff>685800</xdr:colOff>
                <xdr:row>101</xdr:row>
                <xdr:rowOff>0</xdr:rowOff>
              </to>
            </anchor>
          </controlPr>
        </control>
      </mc:Choice>
    </mc:AlternateContent>
    <mc:AlternateContent xmlns:mc="http://schemas.openxmlformats.org/markup-compatibility/2006">
      <mc:Choice Requires="x14">
        <control shapeId="13379" r:id="rId50" name="UpMember1_3">
          <controlPr defaultSize="0" print="0" autoFill="0" autoPict="0" macro="_xll.IBPXLClient.TechnicalCategory.ButtonActionInIBPClientFormattingSheet">
            <anchor moveWithCells="1" sizeWithCells="1">
              <from>
                <xdr:col>14</xdr:col>
                <xdr:colOff>0</xdr:colOff>
                <xdr:row>100</xdr:row>
                <xdr:rowOff>0</xdr:rowOff>
              </from>
              <to>
                <xdr:col>14</xdr:col>
                <xdr:colOff>685800</xdr:colOff>
                <xdr:row>101</xdr:row>
                <xdr:rowOff>0</xdr:rowOff>
              </to>
            </anchor>
          </controlPr>
        </control>
      </mc:Choice>
    </mc:AlternateContent>
    <mc:AlternateContent xmlns:mc="http://schemas.openxmlformats.org/markup-compatibility/2006">
      <mc:Choice Requires="x14">
        <control shapeId="13380" r:id="rId51" name="DownMember1_3">
          <controlPr defaultSize="0" print="0" autoFill="0" autoPict="0" macro="_xll.IBPXLClient.TechnicalCategory.ButtonActionInIBPClientFormattingSheet">
            <anchor moveWithCells="1" sizeWithCells="1">
              <from>
                <xdr:col>14</xdr:col>
                <xdr:colOff>714375</xdr:colOff>
                <xdr:row>100</xdr:row>
                <xdr:rowOff>0</xdr:rowOff>
              </from>
              <to>
                <xdr:col>15</xdr:col>
                <xdr:colOff>676275</xdr:colOff>
                <xdr:row>101</xdr:row>
                <xdr:rowOff>0</xdr:rowOff>
              </to>
            </anchor>
          </controlPr>
        </control>
      </mc:Choice>
    </mc:AlternateContent>
    <mc:AlternateContent xmlns:mc="http://schemas.openxmlformats.org/markup-compatibility/2006">
      <mc:Choice Requires="x14">
        <control shapeId="13381" r:id="rId52" name="AddedMember1_4">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676275</xdr:colOff>
                <xdr:row>104</xdr:row>
                <xdr:rowOff>0</xdr:rowOff>
              </to>
            </anchor>
          </controlPr>
        </control>
      </mc:Choice>
    </mc:AlternateContent>
    <mc:AlternateContent xmlns:mc="http://schemas.openxmlformats.org/markup-compatibility/2006">
      <mc:Choice Requires="x14">
        <control shapeId="13382" r:id="rId53" name="ChangeMember1_4">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383" r:id="rId54" name="UpMember1_4">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384" r:id="rId55" name="DownMember1_4">
          <controlPr defaultSize="0" print="0" autoFill="0" autoPict="0" macro="_xll.IBPXLClient.TechnicalCategory.ButtonActionInIBPClientFormattingSheet">
            <anchor moveWithCells="1" sizeWithCells="1">
              <from>
                <xdr:col>14</xdr:col>
                <xdr:colOff>714375</xdr:colOff>
                <xdr:row>103</xdr:row>
                <xdr:rowOff>0</xdr:rowOff>
              </from>
              <to>
                <xdr:col>15</xdr:col>
                <xdr:colOff>676275</xdr:colOff>
                <xdr:row>104</xdr:row>
                <xdr:rowOff>0</xdr:rowOff>
              </to>
            </anchor>
          </controlPr>
        </control>
      </mc:Choice>
    </mc:AlternateContent>
    <mc:AlternateContent xmlns:mc="http://schemas.openxmlformats.org/markup-compatibility/2006">
      <mc:Choice Requires="x14">
        <control shapeId="13385" r:id="rId56" name="AddedMember1_5">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676275</xdr:colOff>
                <xdr:row>107</xdr:row>
                <xdr:rowOff>28575</xdr:rowOff>
              </to>
            </anchor>
          </controlPr>
        </control>
      </mc:Choice>
    </mc:AlternateContent>
    <mc:AlternateContent xmlns:mc="http://schemas.openxmlformats.org/markup-compatibility/2006">
      <mc:Choice Requires="x14">
        <control shapeId="13386" r:id="rId57" name="ChangeMember1_5">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28575</xdr:rowOff>
              </to>
            </anchor>
          </controlPr>
        </control>
      </mc:Choice>
    </mc:AlternateContent>
    <mc:AlternateContent xmlns:mc="http://schemas.openxmlformats.org/markup-compatibility/2006">
      <mc:Choice Requires="x14">
        <control shapeId="13387" r:id="rId58" name="UpMember1_5">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28575</xdr:rowOff>
              </to>
            </anchor>
          </controlPr>
        </control>
      </mc:Choice>
    </mc:AlternateContent>
    <mc:AlternateContent xmlns:mc="http://schemas.openxmlformats.org/markup-compatibility/2006">
      <mc:Choice Requires="x14">
        <control shapeId="13388" r:id="rId59" name="DownMember1_5">
          <controlPr defaultSize="0" print="0" autoFill="0" autoPict="0" macro="_xll.IBPXLClient.TechnicalCategory.ButtonActionInIBPClientFormattingSheet">
            <anchor moveWithCells="1" sizeWithCells="1">
              <from>
                <xdr:col>14</xdr:col>
                <xdr:colOff>714375</xdr:colOff>
                <xdr:row>106</xdr:row>
                <xdr:rowOff>0</xdr:rowOff>
              </from>
              <to>
                <xdr:col>15</xdr:col>
                <xdr:colOff>676275</xdr:colOff>
                <xdr:row>107</xdr:row>
                <xdr:rowOff>28575</xdr:rowOff>
              </to>
            </anchor>
          </controlPr>
        </control>
      </mc:Choice>
    </mc:AlternateContent>
    <mc:AlternateContent xmlns:mc="http://schemas.openxmlformats.org/markup-compatibility/2006">
      <mc:Choice Requires="x14">
        <control shapeId="13389" r:id="rId60" name="AddedMember1_6">
          <controlPr defaultSize="0" print="0" autoFill="0" autoPict="0" macro="_xll.IBPXLClient.TechnicalCategory.ButtonActionInIBPClientFormattingSheet">
            <anchor moveWithCells="1" sizeWithCells="1">
              <from>
                <xdr:col>11</xdr:col>
                <xdr:colOff>2438400</xdr:colOff>
                <xdr:row>108</xdr:row>
                <xdr:rowOff>66675</xdr:rowOff>
              </from>
              <to>
                <xdr:col>12</xdr:col>
                <xdr:colOff>676275</xdr:colOff>
                <xdr:row>110</xdr:row>
                <xdr:rowOff>0</xdr:rowOff>
              </to>
            </anchor>
          </controlPr>
        </control>
      </mc:Choice>
    </mc:AlternateContent>
    <mc:AlternateContent xmlns:mc="http://schemas.openxmlformats.org/markup-compatibility/2006">
      <mc:Choice Requires="x14">
        <control shapeId="13390" r:id="rId61" name="ChangeMember1_6">
          <controlPr defaultSize="0" print="0" autoFill="0" autoPict="0" macro="_xll.IBPXLClient.TechnicalCategory.ButtonActionInIBPClientFormattingSheet">
            <anchor moveWithCells="1" sizeWithCells="1">
              <from>
                <xdr:col>13</xdr:col>
                <xdr:colOff>0</xdr:colOff>
                <xdr:row>108</xdr:row>
                <xdr:rowOff>66675</xdr:rowOff>
              </from>
              <to>
                <xdr:col>13</xdr:col>
                <xdr:colOff>685800</xdr:colOff>
                <xdr:row>110</xdr:row>
                <xdr:rowOff>0</xdr:rowOff>
              </to>
            </anchor>
          </controlPr>
        </control>
      </mc:Choice>
    </mc:AlternateContent>
    <mc:AlternateContent xmlns:mc="http://schemas.openxmlformats.org/markup-compatibility/2006">
      <mc:Choice Requires="x14">
        <control shapeId="13391" r:id="rId62" name="UpMember1_6">
          <controlPr defaultSize="0" print="0" autoFill="0" autoPict="0" macro="_xll.IBPXLClient.TechnicalCategory.ButtonActionInIBPClientFormattingSheet">
            <anchor moveWithCells="1" sizeWithCells="1">
              <from>
                <xdr:col>14</xdr:col>
                <xdr:colOff>0</xdr:colOff>
                <xdr:row>108</xdr:row>
                <xdr:rowOff>66675</xdr:rowOff>
              </from>
              <to>
                <xdr:col>14</xdr:col>
                <xdr:colOff>685800</xdr:colOff>
                <xdr:row>110</xdr:row>
                <xdr:rowOff>0</xdr:rowOff>
              </to>
            </anchor>
          </controlPr>
        </control>
      </mc:Choice>
    </mc:AlternateContent>
    <mc:AlternateContent xmlns:mc="http://schemas.openxmlformats.org/markup-compatibility/2006">
      <mc:Choice Requires="x14">
        <control shapeId="13392" r:id="rId63" name="DownMember1_6">
          <controlPr defaultSize="0" print="0" autoFill="0" autoPict="0" macro="_xll.IBPXLClient.TechnicalCategory.ButtonActionInIBPClientFormattingSheet">
            <anchor moveWithCells="1" sizeWithCells="1">
              <from>
                <xdr:col>14</xdr:col>
                <xdr:colOff>714375</xdr:colOff>
                <xdr:row>108</xdr:row>
                <xdr:rowOff>66675</xdr:rowOff>
              </from>
              <to>
                <xdr:col>15</xdr:col>
                <xdr:colOff>676275</xdr:colOff>
                <xdr:row>110</xdr:row>
                <xdr:rowOff>0</xdr:rowOff>
              </to>
            </anchor>
          </controlPr>
        </control>
      </mc:Choice>
    </mc:AlternateContent>
    <mc:AlternateContent xmlns:mc="http://schemas.openxmlformats.org/markup-compatibility/2006">
      <mc:Choice Requires="x14">
        <control shapeId="13393" r:id="rId64" name="AddedMember1_7">
          <controlPr defaultSize="0" print="0" autoFill="0" autoPict="0" macro="_xll.IBPXLClient.TechnicalCategory.ButtonActionInIBPClientFormattingSheet">
            <anchor moveWithCells="1" sizeWithCells="1">
              <from>
                <xdr:col>11</xdr:col>
                <xdr:colOff>2438400</xdr:colOff>
                <xdr:row>112</xdr:row>
                <xdr:rowOff>0</xdr:rowOff>
              </from>
              <to>
                <xdr:col>12</xdr:col>
                <xdr:colOff>676275</xdr:colOff>
                <xdr:row>113</xdr:row>
                <xdr:rowOff>0</xdr:rowOff>
              </to>
            </anchor>
          </controlPr>
        </control>
      </mc:Choice>
    </mc:AlternateContent>
    <mc:AlternateContent xmlns:mc="http://schemas.openxmlformats.org/markup-compatibility/2006">
      <mc:Choice Requires="x14">
        <control shapeId="13394" r:id="rId65" name="ChangeMember1_7">
          <controlPr defaultSize="0" print="0" autoFill="0" autoPict="0" macro="_xll.IBPXLClient.TechnicalCategory.ButtonActionInIBPClientFormattingSheet">
            <anchor moveWithCells="1" sizeWithCells="1">
              <from>
                <xdr:col>13</xdr:col>
                <xdr:colOff>0</xdr:colOff>
                <xdr:row>112</xdr:row>
                <xdr:rowOff>0</xdr:rowOff>
              </from>
              <to>
                <xdr:col>13</xdr:col>
                <xdr:colOff>685800</xdr:colOff>
                <xdr:row>113</xdr:row>
                <xdr:rowOff>0</xdr:rowOff>
              </to>
            </anchor>
          </controlPr>
        </control>
      </mc:Choice>
    </mc:AlternateContent>
    <mc:AlternateContent xmlns:mc="http://schemas.openxmlformats.org/markup-compatibility/2006">
      <mc:Choice Requires="x14">
        <control shapeId="13395" r:id="rId66" name="UpMember1_7">
          <controlPr defaultSize="0" print="0" autoFill="0" autoPict="0" macro="_xll.IBPXLClient.TechnicalCategory.ButtonActionInIBPClientFormattingSheet">
            <anchor moveWithCells="1" sizeWithCells="1">
              <from>
                <xdr:col>14</xdr:col>
                <xdr:colOff>0</xdr:colOff>
                <xdr:row>112</xdr:row>
                <xdr:rowOff>0</xdr:rowOff>
              </from>
              <to>
                <xdr:col>14</xdr:col>
                <xdr:colOff>685800</xdr:colOff>
                <xdr:row>113</xdr:row>
                <xdr:rowOff>0</xdr:rowOff>
              </to>
            </anchor>
          </controlPr>
        </control>
      </mc:Choice>
    </mc:AlternateContent>
    <mc:AlternateContent xmlns:mc="http://schemas.openxmlformats.org/markup-compatibility/2006">
      <mc:Choice Requires="x14">
        <control shapeId="13396" r:id="rId67" name="DownMember1_7">
          <controlPr defaultSize="0" print="0" autoFill="0" autoPict="0" macro="_xll.IBPXLClient.TechnicalCategory.ButtonActionInIBPClientFormattingSheet">
            <anchor moveWithCells="1" sizeWithCells="1">
              <from>
                <xdr:col>14</xdr:col>
                <xdr:colOff>714375</xdr:colOff>
                <xdr:row>112</xdr:row>
                <xdr:rowOff>0</xdr:rowOff>
              </from>
              <to>
                <xdr:col>15</xdr:col>
                <xdr:colOff>676275</xdr:colOff>
                <xdr:row>113</xdr:row>
                <xdr:rowOff>0</xdr:rowOff>
              </to>
            </anchor>
          </controlPr>
        </control>
      </mc:Choice>
    </mc:AlternateContent>
    <mc:AlternateContent xmlns:mc="http://schemas.openxmlformats.org/markup-compatibility/2006">
      <mc:Choice Requires="x14">
        <control shapeId="13397" r:id="rId68" name="AddedMember1_8">
          <controlPr defaultSize="0" print="0" autoFill="0" autoPict="0" macro="_xll.IBPXLClient.TechnicalCategory.ButtonActionInIBPClientFormattingSheet">
            <anchor moveWithCells="1" sizeWithCells="1">
              <from>
                <xdr:col>11</xdr:col>
                <xdr:colOff>2438400</xdr:colOff>
                <xdr:row>115</xdr:row>
                <xdr:rowOff>0</xdr:rowOff>
              </from>
              <to>
                <xdr:col>12</xdr:col>
                <xdr:colOff>676275</xdr:colOff>
                <xdr:row>116</xdr:row>
                <xdr:rowOff>0</xdr:rowOff>
              </to>
            </anchor>
          </controlPr>
        </control>
      </mc:Choice>
    </mc:AlternateContent>
    <mc:AlternateContent xmlns:mc="http://schemas.openxmlformats.org/markup-compatibility/2006">
      <mc:Choice Requires="x14">
        <control shapeId="13398" r:id="rId69" name="ChangeMember1_8">
          <controlPr defaultSize="0" print="0" autoFill="0" autoPict="0" macro="_xll.IBPXLClient.TechnicalCategory.ButtonActionInIBPClientFormattingSheet">
            <anchor moveWithCells="1" sizeWithCells="1">
              <from>
                <xdr:col>13</xdr:col>
                <xdr:colOff>0</xdr:colOff>
                <xdr:row>115</xdr:row>
                <xdr:rowOff>0</xdr:rowOff>
              </from>
              <to>
                <xdr:col>13</xdr:col>
                <xdr:colOff>685800</xdr:colOff>
                <xdr:row>116</xdr:row>
                <xdr:rowOff>0</xdr:rowOff>
              </to>
            </anchor>
          </controlPr>
        </control>
      </mc:Choice>
    </mc:AlternateContent>
    <mc:AlternateContent xmlns:mc="http://schemas.openxmlformats.org/markup-compatibility/2006">
      <mc:Choice Requires="x14">
        <control shapeId="13399" r:id="rId70" name="UpMember1_8">
          <controlPr defaultSize="0" print="0" autoFill="0" autoPict="0" macro="_xll.IBPXLClient.TechnicalCategory.ButtonActionInIBPClientFormattingSheet">
            <anchor moveWithCells="1" sizeWithCells="1">
              <from>
                <xdr:col>14</xdr:col>
                <xdr:colOff>0</xdr:colOff>
                <xdr:row>115</xdr:row>
                <xdr:rowOff>0</xdr:rowOff>
              </from>
              <to>
                <xdr:col>14</xdr:col>
                <xdr:colOff>685800</xdr:colOff>
                <xdr:row>116</xdr:row>
                <xdr:rowOff>0</xdr:rowOff>
              </to>
            </anchor>
          </controlPr>
        </control>
      </mc:Choice>
    </mc:AlternateContent>
    <mc:AlternateContent xmlns:mc="http://schemas.openxmlformats.org/markup-compatibility/2006">
      <mc:Choice Requires="x14">
        <control shapeId="13400" r:id="rId71" name="DownMember1_8">
          <controlPr defaultSize="0" print="0" autoFill="0" autoPict="0" macro="_xll.IBPXLClient.TechnicalCategory.ButtonActionInIBPClientFormattingSheet">
            <anchor moveWithCells="1" sizeWithCells="1">
              <from>
                <xdr:col>14</xdr:col>
                <xdr:colOff>714375</xdr:colOff>
                <xdr:row>115</xdr:row>
                <xdr:rowOff>0</xdr:rowOff>
              </from>
              <to>
                <xdr:col>15</xdr:col>
                <xdr:colOff>676275</xdr:colOff>
                <xdr:row>116</xdr:row>
                <xdr:rowOff>0</xdr:rowOff>
              </to>
            </anchor>
          </controlPr>
        </control>
      </mc:Choice>
    </mc:AlternateContent>
    <mc:AlternateContent xmlns:mc="http://schemas.openxmlformats.org/markup-compatibility/2006">
      <mc:Choice Requires="x14">
        <control shapeId="13401" r:id="rId72" name="AddedMember1_9">
          <controlPr defaultSize="0" print="0" autoFill="0" autoPict="0" macro="_xll.IBPXLClient.TechnicalCategory.ButtonActionInIBPClientFormattingSheet">
            <anchor moveWithCells="1" sizeWithCells="1">
              <from>
                <xdr:col>11</xdr:col>
                <xdr:colOff>2438400</xdr:colOff>
                <xdr:row>117</xdr:row>
                <xdr:rowOff>66675</xdr:rowOff>
              </from>
              <to>
                <xdr:col>12</xdr:col>
                <xdr:colOff>676275</xdr:colOff>
                <xdr:row>118</xdr:row>
                <xdr:rowOff>190500</xdr:rowOff>
              </to>
            </anchor>
          </controlPr>
        </control>
      </mc:Choice>
    </mc:AlternateContent>
    <mc:AlternateContent xmlns:mc="http://schemas.openxmlformats.org/markup-compatibility/2006">
      <mc:Choice Requires="x14">
        <control shapeId="13402" r:id="rId73" name="ChangeMember1_9">
          <controlPr defaultSize="0" print="0" autoFill="0" autoPict="0" macro="_xll.IBPXLClient.TechnicalCategory.ButtonActionInIBPClientFormattingSheet">
            <anchor moveWithCells="1" sizeWithCells="1">
              <from>
                <xdr:col>13</xdr:col>
                <xdr:colOff>0</xdr:colOff>
                <xdr:row>117</xdr:row>
                <xdr:rowOff>66675</xdr:rowOff>
              </from>
              <to>
                <xdr:col>13</xdr:col>
                <xdr:colOff>685800</xdr:colOff>
                <xdr:row>118</xdr:row>
                <xdr:rowOff>190500</xdr:rowOff>
              </to>
            </anchor>
          </controlPr>
        </control>
      </mc:Choice>
    </mc:AlternateContent>
    <mc:AlternateContent xmlns:mc="http://schemas.openxmlformats.org/markup-compatibility/2006">
      <mc:Choice Requires="x14">
        <control shapeId="13403" r:id="rId74" name="UpMember1_9">
          <controlPr defaultSize="0" print="0" autoFill="0" autoPict="0" macro="_xll.IBPXLClient.TechnicalCategory.ButtonActionInIBPClientFormattingSheet">
            <anchor moveWithCells="1" sizeWithCells="1">
              <from>
                <xdr:col>14</xdr:col>
                <xdr:colOff>0</xdr:colOff>
                <xdr:row>117</xdr:row>
                <xdr:rowOff>66675</xdr:rowOff>
              </from>
              <to>
                <xdr:col>14</xdr:col>
                <xdr:colOff>685800</xdr:colOff>
                <xdr:row>118</xdr:row>
                <xdr:rowOff>190500</xdr:rowOff>
              </to>
            </anchor>
          </controlPr>
        </control>
      </mc:Choice>
    </mc:AlternateContent>
    <mc:AlternateContent xmlns:mc="http://schemas.openxmlformats.org/markup-compatibility/2006">
      <mc:Choice Requires="x14">
        <control shapeId="13404" r:id="rId75" name="DownMember1_9">
          <controlPr defaultSize="0" print="0" autoFill="0" autoPict="0" macro="_xll.IBPXLClient.TechnicalCategory.ButtonActionInIBPClientFormattingSheet">
            <anchor moveWithCells="1" sizeWithCells="1">
              <from>
                <xdr:col>14</xdr:col>
                <xdr:colOff>714375</xdr:colOff>
                <xdr:row>117</xdr:row>
                <xdr:rowOff>66675</xdr:rowOff>
              </from>
              <to>
                <xdr:col>15</xdr:col>
                <xdr:colOff>676275</xdr:colOff>
                <xdr:row>118</xdr:row>
                <xdr:rowOff>190500</xdr:rowOff>
              </to>
            </anchor>
          </controlPr>
        </control>
      </mc:Choice>
    </mc:AlternateContent>
    <mc:AlternateContent xmlns:mc="http://schemas.openxmlformats.org/markup-compatibility/2006">
      <mc:Choice Requires="x14">
        <control shapeId="13405" r:id="rId76" name="AddedMember1_10">
          <controlPr defaultSize="0" print="0" autoFill="0" autoPict="0" macro="_xll.IBPXLClient.TechnicalCategory.ButtonActionInIBPClientFormattingSheet">
            <anchor moveWithCells="1" sizeWithCells="1">
              <from>
                <xdr:col>11</xdr:col>
                <xdr:colOff>2438400</xdr:colOff>
                <xdr:row>120</xdr:row>
                <xdr:rowOff>66675</xdr:rowOff>
              </from>
              <to>
                <xdr:col>12</xdr:col>
                <xdr:colOff>676275</xdr:colOff>
                <xdr:row>122</xdr:row>
                <xdr:rowOff>0</xdr:rowOff>
              </to>
            </anchor>
          </controlPr>
        </control>
      </mc:Choice>
    </mc:AlternateContent>
    <mc:AlternateContent xmlns:mc="http://schemas.openxmlformats.org/markup-compatibility/2006">
      <mc:Choice Requires="x14">
        <control shapeId="13406" r:id="rId77" name="ChangeMember1_10">
          <controlPr defaultSize="0" print="0" autoFill="0" autoPict="0" macro="_xll.IBPXLClient.TechnicalCategory.ButtonActionInIBPClientFormattingSheet">
            <anchor moveWithCells="1" sizeWithCells="1">
              <from>
                <xdr:col>13</xdr:col>
                <xdr:colOff>0</xdr:colOff>
                <xdr:row>120</xdr:row>
                <xdr:rowOff>66675</xdr:rowOff>
              </from>
              <to>
                <xdr:col>13</xdr:col>
                <xdr:colOff>685800</xdr:colOff>
                <xdr:row>122</xdr:row>
                <xdr:rowOff>0</xdr:rowOff>
              </to>
            </anchor>
          </controlPr>
        </control>
      </mc:Choice>
    </mc:AlternateContent>
    <mc:AlternateContent xmlns:mc="http://schemas.openxmlformats.org/markup-compatibility/2006">
      <mc:Choice Requires="x14">
        <control shapeId="13407" r:id="rId78" name="UpMember1_10">
          <controlPr defaultSize="0" print="0" autoFill="0" autoPict="0" macro="_xll.IBPXLClient.TechnicalCategory.ButtonActionInIBPClientFormattingSheet">
            <anchor moveWithCells="1" sizeWithCells="1">
              <from>
                <xdr:col>14</xdr:col>
                <xdr:colOff>0</xdr:colOff>
                <xdr:row>120</xdr:row>
                <xdr:rowOff>66675</xdr:rowOff>
              </from>
              <to>
                <xdr:col>14</xdr:col>
                <xdr:colOff>685800</xdr:colOff>
                <xdr:row>122</xdr:row>
                <xdr:rowOff>0</xdr:rowOff>
              </to>
            </anchor>
          </controlPr>
        </control>
      </mc:Choice>
    </mc:AlternateContent>
    <mc:AlternateContent xmlns:mc="http://schemas.openxmlformats.org/markup-compatibility/2006">
      <mc:Choice Requires="x14">
        <control shapeId="13408" r:id="rId79" name="DownMember1_10">
          <controlPr defaultSize="0" print="0" autoFill="0" autoPict="0" macro="_xll.IBPXLClient.TechnicalCategory.ButtonActionInIBPClientFormattingSheet">
            <anchor moveWithCells="1" sizeWithCells="1">
              <from>
                <xdr:col>14</xdr:col>
                <xdr:colOff>714375</xdr:colOff>
                <xdr:row>120</xdr:row>
                <xdr:rowOff>66675</xdr:rowOff>
              </from>
              <to>
                <xdr:col>15</xdr:col>
                <xdr:colOff>676275</xdr:colOff>
                <xdr:row>122</xdr:row>
                <xdr:rowOff>0</xdr:rowOff>
              </to>
            </anchor>
          </controlPr>
        </control>
      </mc:Choice>
    </mc:AlternateContent>
    <mc:AlternateContent xmlns:mc="http://schemas.openxmlformats.org/markup-compatibility/2006">
      <mc:Choice Requires="x14">
        <control shapeId="13409" r:id="rId80" name="AddedMember1_11">
          <controlPr defaultSize="0" print="0" autoFill="0" autoPict="0" macro="_xll.IBPXLClient.TechnicalCategory.ButtonActionInIBPClientFormattingSheet">
            <anchor moveWithCells="1" sizeWithCells="1">
              <from>
                <xdr:col>11</xdr:col>
                <xdr:colOff>2438400</xdr:colOff>
                <xdr:row>124</xdr:row>
                <xdr:rowOff>0</xdr:rowOff>
              </from>
              <to>
                <xdr:col>12</xdr:col>
                <xdr:colOff>676275</xdr:colOff>
                <xdr:row>125</xdr:row>
                <xdr:rowOff>0</xdr:rowOff>
              </to>
            </anchor>
          </controlPr>
        </control>
      </mc:Choice>
    </mc:AlternateContent>
    <mc:AlternateContent xmlns:mc="http://schemas.openxmlformats.org/markup-compatibility/2006">
      <mc:Choice Requires="x14">
        <control shapeId="13410" r:id="rId81" name="ChangeMember1_11">
          <controlPr defaultSize="0" print="0" autoFill="0" autoPict="0" macro="_xll.IBPXLClient.TechnicalCategory.ButtonActionInIBPClientFormattingSheet">
            <anchor moveWithCells="1" sizeWithCells="1">
              <from>
                <xdr:col>13</xdr:col>
                <xdr:colOff>0</xdr:colOff>
                <xdr:row>124</xdr:row>
                <xdr:rowOff>0</xdr:rowOff>
              </from>
              <to>
                <xdr:col>13</xdr:col>
                <xdr:colOff>685800</xdr:colOff>
                <xdr:row>125</xdr:row>
                <xdr:rowOff>0</xdr:rowOff>
              </to>
            </anchor>
          </controlPr>
        </control>
      </mc:Choice>
    </mc:AlternateContent>
    <mc:AlternateContent xmlns:mc="http://schemas.openxmlformats.org/markup-compatibility/2006">
      <mc:Choice Requires="x14">
        <control shapeId="13411" r:id="rId82" name="UpMember1_11">
          <controlPr defaultSize="0" print="0" autoFill="0" autoPict="0" macro="_xll.IBPXLClient.TechnicalCategory.ButtonActionInIBPClientFormattingSheet">
            <anchor moveWithCells="1" sizeWithCells="1">
              <from>
                <xdr:col>14</xdr:col>
                <xdr:colOff>0</xdr:colOff>
                <xdr:row>124</xdr:row>
                <xdr:rowOff>0</xdr:rowOff>
              </from>
              <to>
                <xdr:col>14</xdr:col>
                <xdr:colOff>685800</xdr:colOff>
                <xdr:row>125</xdr:row>
                <xdr:rowOff>0</xdr:rowOff>
              </to>
            </anchor>
          </controlPr>
        </control>
      </mc:Choice>
    </mc:AlternateContent>
    <mc:AlternateContent xmlns:mc="http://schemas.openxmlformats.org/markup-compatibility/2006">
      <mc:Choice Requires="x14">
        <control shapeId="13412" r:id="rId83" name="DownMember1_11">
          <controlPr defaultSize="0" print="0" autoFill="0" autoPict="0" macro="_xll.IBPXLClient.TechnicalCategory.ButtonActionInIBPClientFormattingSheet">
            <anchor moveWithCells="1" sizeWithCells="1">
              <from>
                <xdr:col>14</xdr:col>
                <xdr:colOff>714375</xdr:colOff>
                <xdr:row>124</xdr:row>
                <xdr:rowOff>0</xdr:rowOff>
              </from>
              <to>
                <xdr:col>15</xdr:col>
                <xdr:colOff>676275</xdr:colOff>
                <xdr:row>125</xdr:row>
                <xdr:rowOff>0</xdr:rowOff>
              </to>
            </anchor>
          </controlPr>
        </control>
      </mc:Choice>
    </mc:AlternateContent>
    <mc:AlternateContent xmlns:mc="http://schemas.openxmlformats.org/markup-compatibility/2006">
      <mc:Choice Requires="x14">
        <control shapeId="13413" r:id="rId84" name="AddedMember1_12">
          <controlPr defaultSize="0" print="0" autoFill="0" autoPict="0" macro="_xll.IBPXLClient.TechnicalCategory.ButtonActionInIBPClientFormattingSheet">
            <anchor moveWithCells="1" sizeWithCells="1">
              <from>
                <xdr:col>11</xdr:col>
                <xdr:colOff>2438400</xdr:colOff>
                <xdr:row>127</xdr:row>
                <xdr:rowOff>0</xdr:rowOff>
              </from>
              <to>
                <xdr:col>12</xdr:col>
                <xdr:colOff>676275</xdr:colOff>
                <xdr:row>128</xdr:row>
                <xdr:rowOff>0</xdr:rowOff>
              </to>
            </anchor>
          </controlPr>
        </control>
      </mc:Choice>
    </mc:AlternateContent>
    <mc:AlternateContent xmlns:mc="http://schemas.openxmlformats.org/markup-compatibility/2006">
      <mc:Choice Requires="x14">
        <control shapeId="13414" r:id="rId85" name="ChangeMember1_12">
          <controlPr defaultSize="0" print="0" autoFill="0" autoPict="0" macro="_xll.IBPXLClient.TechnicalCategory.ButtonActionInIBPClientFormattingSheet">
            <anchor moveWithCells="1" sizeWithCells="1">
              <from>
                <xdr:col>13</xdr:col>
                <xdr:colOff>0</xdr:colOff>
                <xdr:row>127</xdr:row>
                <xdr:rowOff>0</xdr:rowOff>
              </from>
              <to>
                <xdr:col>13</xdr:col>
                <xdr:colOff>685800</xdr:colOff>
                <xdr:row>128</xdr:row>
                <xdr:rowOff>0</xdr:rowOff>
              </to>
            </anchor>
          </controlPr>
        </control>
      </mc:Choice>
    </mc:AlternateContent>
    <mc:AlternateContent xmlns:mc="http://schemas.openxmlformats.org/markup-compatibility/2006">
      <mc:Choice Requires="x14">
        <control shapeId="13415" r:id="rId86" name="UpMember1_12">
          <controlPr defaultSize="0" print="0" autoFill="0" autoPict="0" macro="_xll.IBPXLClient.TechnicalCategory.ButtonActionInIBPClientFormattingSheet">
            <anchor moveWithCells="1" sizeWithCells="1">
              <from>
                <xdr:col>14</xdr:col>
                <xdr:colOff>0</xdr:colOff>
                <xdr:row>127</xdr:row>
                <xdr:rowOff>0</xdr:rowOff>
              </from>
              <to>
                <xdr:col>14</xdr:col>
                <xdr:colOff>685800</xdr:colOff>
                <xdr:row>128</xdr:row>
                <xdr:rowOff>0</xdr:rowOff>
              </to>
            </anchor>
          </controlPr>
        </control>
      </mc:Choice>
    </mc:AlternateContent>
    <mc:AlternateContent xmlns:mc="http://schemas.openxmlformats.org/markup-compatibility/2006">
      <mc:Choice Requires="x14">
        <control shapeId="13416" r:id="rId87" name="DownMember1_12">
          <controlPr defaultSize="0" print="0" autoFill="0" autoPict="0" macro="_xll.IBPXLClient.TechnicalCategory.ButtonActionInIBPClientFormattingSheet">
            <anchor moveWithCells="1" sizeWithCells="1">
              <from>
                <xdr:col>14</xdr:col>
                <xdr:colOff>714375</xdr:colOff>
                <xdr:row>127</xdr:row>
                <xdr:rowOff>0</xdr:rowOff>
              </from>
              <to>
                <xdr:col>15</xdr:col>
                <xdr:colOff>676275</xdr:colOff>
                <xdr:row>128</xdr:row>
                <xdr:rowOff>0</xdr:rowOff>
              </to>
            </anchor>
          </controlPr>
        </control>
      </mc:Choice>
    </mc:AlternateContent>
    <mc:AlternateContent xmlns:mc="http://schemas.openxmlformats.org/markup-compatibility/2006">
      <mc:Choice Requires="x14">
        <control shapeId="13417" r:id="rId88" name="AddedMember1_13">
          <controlPr defaultSize="0" print="0" autoFill="0" autoPict="0" macro="_xll.IBPXLClient.TechnicalCategory.ButtonActionInIBPClientFormattingSheet">
            <anchor moveWithCells="1" sizeWithCells="1">
              <from>
                <xdr:col>11</xdr:col>
                <xdr:colOff>2438400</xdr:colOff>
                <xdr:row>130</xdr:row>
                <xdr:rowOff>0</xdr:rowOff>
              </from>
              <to>
                <xdr:col>12</xdr:col>
                <xdr:colOff>676275</xdr:colOff>
                <xdr:row>131</xdr:row>
                <xdr:rowOff>28575</xdr:rowOff>
              </to>
            </anchor>
          </controlPr>
        </control>
      </mc:Choice>
    </mc:AlternateContent>
    <mc:AlternateContent xmlns:mc="http://schemas.openxmlformats.org/markup-compatibility/2006">
      <mc:Choice Requires="x14">
        <control shapeId="13418" r:id="rId89" name="ChangeMember1_13">
          <controlPr defaultSize="0" print="0" autoFill="0" autoPict="0" macro="_xll.IBPXLClient.TechnicalCategory.ButtonActionInIBPClientFormattingSheet">
            <anchor moveWithCells="1" sizeWithCells="1">
              <from>
                <xdr:col>13</xdr:col>
                <xdr:colOff>0</xdr:colOff>
                <xdr:row>130</xdr:row>
                <xdr:rowOff>0</xdr:rowOff>
              </from>
              <to>
                <xdr:col>13</xdr:col>
                <xdr:colOff>685800</xdr:colOff>
                <xdr:row>131</xdr:row>
                <xdr:rowOff>28575</xdr:rowOff>
              </to>
            </anchor>
          </controlPr>
        </control>
      </mc:Choice>
    </mc:AlternateContent>
    <mc:AlternateContent xmlns:mc="http://schemas.openxmlformats.org/markup-compatibility/2006">
      <mc:Choice Requires="x14">
        <control shapeId="13419" r:id="rId90" name="UpMember1_13">
          <controlPr defaultSize="0" print="0" autoFill="0" autoPict="0" macro="_xll.IBPXLClient.TechnicalCategory.ButtonActionInIBPClientFormattingSheet">
            <anchor moveWithCells="1" sizeWithCells="1">
              <from>
                <xdr:col>14</xdr:col>
                <xdr:colOff>0</xdr:colOff>
                <xdr:row>130</xdr:row>
                <xdr:rowOff>0</xdr:rowOff>
              </from>
              <to>
                <xdr:col>14</xdr:col>
                <xdr:colOff>685800</xdr:colOff>
                <xdr:row>131</xdr:row>
                <xdr:rowOff>28575</xdr:rowOff>
              </to>
            </anchor>
          </controlPr>
        </control>
      </mc:Choice>
    </mc:AlternateContent>
    <mc:AlternateContent xmlns:mc="http://schemas.openxmlformats.org/markup-compatibility/2006">
      <mc:Choice Requires="x14">
        <control shapeId="13420" r:id="rId91" name="DownMember1_13">
          <controlPr defaultSize="0" print="0" autoFill="0" autoPict="0" macro="_xll.IBPXLClient.TechnicalCategory.ButtonActionInIBPClientFormattingSheet">
            <anchor moveWithCells="1" sizeWithCells="1">
              <from>
                <xdr:col>14</xdr:col>
                <xdr:colOff>714375</xdr:colOff>
                <xdr:row>130</xdr:row>
                <xdr:rowOff>0</xdr:rowOff>
              </from>
              <to>
                <xdr:col>15</xdr:col>
                <xdr:colOff>676275</xdr:colOff>
                <xdr:row>131</xdr:row>
                <xdr:rowOff>28575</xdr:rowOff>
              </to>
            </anchor>
          </controlPr>
        </control>
      </mc:Choice>
    </mc:AlternateContent>
    <mc:AlternateContent xmlns:mc="http://schemas.openxmlformats.org/markup-compatibility/2006">
      <mc:Choice Requires="x14">
        <control shapeId="13421" r:id="rId92" name="AddedMember1_14">
          <controlPr defaultSize="0" print="0" autoFill="0" autoPict="0" macro="_xll.IBPXLClient.TechnicalCategory.ButtonActionInIBPClientFormattingSheet">
            <anchor moveWithCells="1">
              <from>
                <xdr:col>12</xdr:col>
                <xdr:colOff>0</xdr:colOff>
                <xdr:row>133</xdr:row>
                <xdr:rowOff>0</xdr:rowOff>
              </from>
              <to>
                <xdr:col>12</xdr:col>
                <xdr:colOff>714375</xdr:colOff>
                <xdr:row>134</xdr:row>
                <xdr:rowOff>28575</xdr:rowOff>
              </to>
            </anchor>
          </controlPr>
        </control>
      </mc:Choice>
    </mc:AlternateContent>
    <mc:AlternateContent xmlns:mc="http://schemas.openxmlformats.org/markup-compatibility/2006">
      <mc:Choice Requires="x14">
        <control shapeId="13422" r:id="rId93" name="ChangeMember1_14">
          <controlPr defaultSize="0" print="0" autoFill="0" autoPict="0" macro="_xll.IBPXLClient.TechnicalCategory.ButtonActionInIBPClientFormattingSheet">
            <anchor moveWithCells="1">
              <from>
                <xdr:col>12</xdr:col>
                <xdr:colOff>723900</xdr:colOff>
                <xdr:row>133</xdr:row>
                <xdr:rowOff>0</xdr:rowOff>
              </from>
              <to>
                <xdr:col>13</xdr:col>
                <xdr:colOff>714375</xdr:colOff>
                <xdr:row>134</xdr:row>
                <xdr:rowOff>28575</xdr:rowOff>
              </to>
            </anchor>
          </controlPr>
        </control>
      </mc:Choice>
    </mc:AlternateContent>
    <mc:AlternateContent xmlns:mc="http://schemas.openxmlformats.org/markup-compatibility/2006">
      <mc:Choice Requires="x14">
        <control shapeId="13423" r:id="rId94" name="UpMember1_14">
          <controlPr defaultSize="0" print="0" autoFill="0" autoPict="0" macro="_xll.IBPXLClient.TechnicalCategory.ButtonActionInIBPClientFormattingSheet">
            <anchor moveWithCells="1">
              <from>
                <xdr:col>14</xdr:col>
                <xdr:colOff>0</xdr:colOff>
                <xdr:row>133</xdr:row>
                <xdr:rowOff>0</xdr:rowOff>
              </from>
              <to>
                <xdr:col>14</xdr:col>
                <xdr:colOff>714375</xdr:colOff>
                <xdr:row>134</xdr:row>
                <xdr:rowOff>28575</xdr:rowOff>
              </to>
            </anchor>
          </controlPr>
        </control>
      </mc:Choice>
    </mc:AlternateContent>
    <mc:AlternateContent xmlns:mc="http://schemas.openxmlformats.org/markup-compatibility/2006">
      <mc:Choice Requires="x14">
        <control shapeId="13424" r:id="rId95" name="DownMember1_14">
          <controlPr defaultSize="0" print="0" autoFill="0" autoPict="0" macro="_xll.IBPXLClient.TechnicalCategory.ButtonActionInIBPClientFormattingSheet">
            <anchor moveWithCells="1">
              <from>
                <xdr:col>15</xdr:col>
                <xdr:colOff>0</xdr:colOff>
                <xdr:row>133</xdr:row>
                <xdr:rowOff>0</xdr:rowOff>
              </from>
              <to>
                <xdr:col>16</xdr:col>
                <xdr:colOff>0</xdr:colOff>
                <xdr:row>134</xdr:row>
                <xdr:rowOff>28575</xdr:rowOff>
              </to>
            </anchor>
          </controlPr>
        </control>
      </mc:Choice>
    </mc:AlternateContent>
    <mc:AlternateContent xmlns:mc="http://schemas.openxmlformats.org/markup-compatibility/2006">
      <mc:Choice Requires="x14">
        <control shapeId="13425" r:id="rId96" name="AddedMember1_15">
          <controlPr defaultSize="0" print="0" autoFill="0" autoPict="0" macro="_xll.IBPXLClient.TechnicalCategory.ButtonActionInIBPClientFormattingSheet">
            <anchor moveWithCells="1">
              <from>
                <xdr:col>12</xdr:col>
                <xdr:colOff>0</xdr:colOff>
                <xdr:row>136</xdr:row>
                <xdr:rowOff>0</xdr:rowOff>
              </from>
              <to>
                <xdr:col>12</xdr:col>
                <xdr:colOff>714375</xdr:colOff>
                <xdr:row>137</xdr:row>
                <xdr:rowOff>0</xdr:rowOff>
              </to>
            </anchor>
          </controlPr>
        </control>
      </mc:Choice>
    </mc:AlternateContent>
    <mc:AlternateContent xmlns:mc="http://schemas.openxmlformats.org/markup-compatibility/2006">
      <mc:Choice Requires="x14">
        <control shapeId="13426" r:id="rId97" name="ChangeMember1_15">
          <controlPr defaultSize="0" print="0" autoFill="0" autoPict="0" macro="_xll.IBPXLClient.TechnicalCategory.ButtonActionInIBPClientFormattingSheet">
            <anchor moveWithCells="1">
              <from>
                <xdr:col>12</xdr:col>
                <xdr:colOff>723900</xdr:colOff>
                <xdr:row>136</xdr:row>
                <xdr:rowOff>0</xdr:rowOff>
              </from>
              <to>
                <xdr:col>13</xdr:col>
                <xdr:colOff>714375</xdr:colOff>
                <xdr:row>137</xdr:row>
                <xdr:rowOff>0</xdr:rowOff>
              </to>
            </anchor>
          </controlPr>
        </control>
      </mc:Choice>
    </mc:AlternateContent>
    <mc:AlternateContent xmlns:mc="http://schemas.openxmlformats.org/markup-compatibility/2006">
      <mc:Choice Requires="x14">
        <control shapeId="13427" r:id="rId98" name="UpMember1_15">
          <controlPr defaultSize="0" print="0" autoFill="0" autoPict="0" macro="_xll.IBPXLClient.TechnicalCategory.ButtonActionInIBPClientFormattingSheet">
            <anchor moveWithCells="1">
              <from>
                <xdr:col>14</xdr:col>
                <xdr:colOff>0</xdr:colOff>
                <xdr:row>136</xdr:row>
                <xdr:rowOff>0</xdr:rowOff>
              </from>
              <to>
                <xdr:col>14</xdr:col>
                <xdr:colOff>714375</xdr:colOff>
                <xdr:row>137</xdr:row>
                <xdr:rowOff>0</xdr:rowOff>
              </to>
            </anchor>
          </controlPr>
        </control>
      </mc:Choice>
    </mc:AlternateContent>
    <mc:AlternateContent xmlns:mc="http://schemas.openxmlformats.org/markup-compatibility/2006">
      <mc:Choice Requires="x14">
        <control shapeId="13428" r:id="rId99" name="DownMember1_15">
          <controlPr defaultSize="0" print="0" autoFill="0" autoPict="0" macro="_xll.IBPXLClient.TechnicalCategory.ButtonActionInIBPClientFormattingSheet">
            <anchor moveWithCells="1">
              <from>
                <xdr:col>15</xdr:col>
                <xdr:colOff>0</xdr:colOff>
                <xdr:row>136</xdr:row>
                <xdr:rowOff>0</xdr:rowOff>
              </from>
              <to>
                <xdr:col>16</xdr:col>
                <xdr:colOff>0</xdr:colOff>
                <xdr:row>137</xdr:row>
                <xdr:rowOff>0</xdr:rowOff>
              </to>
            </anchor>
          </controlPr>
        </control>
      </mc:Choice>
    </mc:AlternateContent>
    <mc:AlternateContent xmlns:mc="http://schemas.openxmlformats.org/markup-compatibility/2006">
      <mc:Choice Requires="x14">
        <control shapeId="13429" r:id="rId100" name="AddedMember1_16">
          <controlPr defaultSize="0" print="0" autoFill="0" autoPict="0" macro="_xll.IBPXLClient.TechnicalCategory.ButtonActionInIBPClientFormattingSheet">
            <anchor moveWithCells="1">
              <from>
                <xdr:col>12</xdr:col>
                <xdr:colOff>0</xdr:colOff>
                <xdr:row>138</xdr:row>
                <xdr:rowOff>66675</xdr:rowOff>
              </from>
              <to>
                <xdr:col>12</xdr:col>
                <xdr:colOff>714375</xdr:colOff>
                <xdr:row>140</xdr:row>
                <xdr:rowOff>0</xdr:rowOff>
              </to>
            </anchor>
          </controlPr>
        </control>
      </mc:Choice>
    </mc:AlternateContent>
    <mc:AlternateContent xmlns:mc="http://schemas.openxmlformats.org/markup-compatibility/2006">
      <mc:Choice Requires="x14">
        <control shapeId="13430" r:id="rId101" name="ChangeMember1_16">
          <controlPr defaultSize="0" print="0" autoFill="0" autoPict="0" macro="_xll.IBPXLClient.TechnicalCategory.ButtonActionInIBPClientFormattingSheet">
            <anchor moveWithCells="1">
              <from>
                <xdr:col>12</xdr:col>
                <xdr:colOff>723900</xdr:colOff>
                <xdr:row>138</xdr:row>
                <xdr:rowOff>66675</xdr:rowOff>
              </from>
              <to>
                <xdr:col>13</xdr:col>
                <xdr:colOff>714375</xdr:colOff>
                <xdr:row>140</xdr:row>
                <xdr:rowOff>0</xdr:rowOff>
              </to>
            </anchor>
          </controlPr>
        </control>
      </mc:Choice>
    </mc:AlternateContent>
    <mc:AlternateContent xmlns:mc="http://schemas.openxmlformats.org/markup-compatibility/2006">
      <mc:Choice Requires="x14">
        <control shapeId="13431" r:id="rId102" name="UpMember1_16">
          <controlPr defaultSize="0" print="0" autoFill="0" autoPict="0" macro="_xll.IBPXLClient.TechnicalCategory.ButtonActionInIBPClientFormattingSheet">
            <anchor moveWithCells="1">
              <from>
                <xdr:col>14</xdr:col>
                <xdr:colOff>0</xdr:colOff>
                <xdr:row>138</xdr:row>
                <xdr:rowOff>66675</xdr:rowOff>
              </from>
              <to>
                <xdr:col>14</xdr:col>
                <xdr:colOff>714375</xdr:colOff>
                <xdr:row>140</xdr:row>
                <xdr:rowOff>0</xdr:rowOff>
              </to>
            </anchor>
          </controlPr>
        </control>
      </mc:Choice>
    </mc:AlternateContent>
    <mc:AlternateContent xmlns:mc="http://schemas.openxmlformats.org/markup-compatibility/2006">
      <mc:Choice Requires="x14">
        <control shapeId="13432" r:id="rId103" name="DownMember1_16">
          <controlPr defaultSize="0" print="0" autoFill="0" autoPict="0" macro="_xll.IBPXLClient.TechnicalCategory.ButtonActionInIBPClientFormattingSheet">
            <anchor moveWithCells="1">
              <from>
                <xdr:col>15</xdr:col>
                <xdr:colOff>0</xdr:colOff>
                <xdr:row>138</xdr:row>
                <xdr:rowOff>66675</xdr:rowOff>
              </from>
              <to>
                <xdr:col>16</xdr:col>
                <xdr:colOff>0</xdr:colOff>
                <xdr:row>140</xdr:row>
                <xdr:rowOff>0</xdr:rowOff>
              </to>
            </anchor>
          </controlPr>
        </control>
      </mc:Choice>
    </mc:AlternateContent>
    <mc:AlternateContent xmlns:mc="http://schemas.openxmlformats.org/markup-compatibility/2006">
      <mc:Choice Requires="x14">
        <control shapeId="13433" r:id="rId104" name="AddedMember1_17">
          <controlPr defaultSize="0" print="0" autoFill="0" autoPict="0" macro="_xll.IBPXLClient.TechnicalCategory.ButtonActionInIBPClientFormattingSheet">
            <anchor moveWithCells="1">
              <from>
                <xdr:col>12</xdr:col>
                <xdr:colOff>0</xdr:colOff>
                <xdr:row>141</xdr:row>
                <xdr:rowOff>66675</xdr:rowOff>
              </from>
              <to>
                <xdr:col>12</xdr:col>
                <xdr:colOff>714375</xdr:colOff>
                <xdr:row>143</xdr:row>
                <xdr:rowOff>0</xdr:rowOff>
              </to>
            </anchor>
          </controlPr>
        </control>
      </mc:Choice>
    </mc:AlternateContent>
    <mc:AlternateContent xmlns:mc="http://schemas.openxmlformats.org/markup-compatibility/2006">
      <mc:Choice Requires="x14">
        <control shapeId="13434" r:id="rId105" name="ChangeMember1_17">
          <controlPr defaultSize="0" print="0" autoFill="0" autoPict="0" macro="_xll.IBPXLClient.TechnicalCategory.ButtonActionInIBPClientFormattingSheet">
            <anchor moveWithCells="1">
              <from>
                <xdr:col>12</xdr:col>
                <xdr:colOff>723900</xdr:colOff>
                <xdr:row>141</xdr:row>
                <xdr:rowOff>66675</xdr:rowOff>
              </from>
              <to>
                <xdr:col>13</xdr:col>
                <xdr:colOff>714375</xdr:colOff>
                <xdr:row>143</xdr:row>
                <xdr:rowOff>0</xdr:rowOff>
              </to>
            </anchor>
          </controlPr>
        </control>
      </mc:Choice>
    </mc:AlternateContent>
    <mc:AlternateContent xmlns:mc="http://schemas.openxmlformats.org/markup-compatibility/2006">
      <mc:Choice Requires="x14">
        <control shapeId="13435" r:id="rId106" name="UpMember1_17">
          <controlPr defaultSize="0" print="0" autoFill="0" autoPict="0" macro="_xll.IBPXLClient.TechnicalCategory.ButtonActionInIBPClientFormattingSheet">
            <anchor moveWithCells="1">
              <from>
                <xdr:col>14</xdr:col>
                <xdr:colOff>0</xdr:colOff>
                <xdr:row>141</xdr:row>
                <xdr:rowOff>66675</xdr:rowOff>
              </from>
              <to>
                <xdr:col>14</xdr:col>
                <xdr:colOff>714375</xdr:colOff>
                <xdr:row>143</xdr:row>
                <xdr:rowOff>0</xdr:rowOff>
              </to>
            </anchor>
          </controlPr>
        </control>
      </mc:Choice>
    </mc:AlternateContent>
    <mc:AlternateContent xmlns:mc="http://schemas.openxmlformats.org/markup-compatibility/2006">
      <mc:Choice Requires="x14">
        <control shapeId="13436" r:id="rId107" name="DownMember1_17">
          <controlPr defaultSize="0" print="0" autoFill="0" autoPict="0" macro="_xll.IBPXLClient.TechnicalCategory.ButtonActionInIBPClientFormattingSheet">
            <anchor moveWithCells="1">
              <from>
                <xdr:col>15</xdr:col>
                <xdr:colOff>0</xdr:colOff>
                <xdr:row>141</xdr:row>
                <xdr:rowOff>66675</xdr:rowOff>
              </from>
              <to>
                <xdr:col>16</xdr:col>
                <xdr:colOff>0</xdr:colOff>
                <xdr:row>143</xdr:row>
                <xdr:rowOff>0</xdr:rowOff>
              </to>
            </anchor>
          </controlPr>
        </control>
      </mc:Choice>
    </mc:AlternateContent>
    <mc:AlternateContent xmlns:mc="http://schemas.openxmlformats.org/markup-compatibility/2006">
      <mc:Choice Requires="x14">
        <control shapeId="13437" r:id="rId108" name="AddedMember1_18">
          <controlPr defaultSize="0" print="0" autoFill="0" autoPict="0" macro="_xll.IBPXLClient.TechnicalCategory.ButtonActionInIBPClientFormattingSheet">
            <anchor moveWithCells="1">
              <from>
                <xdr:col>12</xdr:col>
                <xdr:colOff>0</xdr:colOff>
                <xdr:row>145</xdr:row>
                <xdr:rowOff>0</xdr:rowOff>
              </from>
              <to>
                <xdr:col>12</xdr:col>
                <xdr:colOff>714375</xdr:colOff>
                <xdr:row>146</xdr:row>
                <xdr:rowOff>28575</xdr:rowOff>
              </to>
            </anchor>
          </controlPr>
        </control>
      </mc:Choice>
    </mc:AlternateContent>
    <mc:AlternateContent xmlns:mc="http://schemas.openxmlformats.org/markup-compatibility/2006">
      <mc:Choice Requires="x14">
        <control shapeId="13438" r:id="rId109" name="ChangeMember1_18">
          <controlPr defaultSize="0" print="0" autoFill="0" autoPict="0" macro="_xll.IBPXLClient.TechnicalCategory.ButtonActionInIBPClientFormattingSheet">
            <anchor moveWithCells="1">
              <from>
                <xdr:col>12</xdr:col>
                <xdr:colOff>723900</xdr:colOff>
                <xdr:row>145</xdr:row>
                <xdr:rowOff>0</xdr:rowOff>
              </from>
              <to>
                <xdr:col>13</xdr:col>
                <xdr:colOff>714375</xdr:colOff>
                <xdr:row>146</xdr:row>
                <xdr:rowOff>28575</xdr:rowOff>
              </to>
            </anchor>
          </controlPr>
        </control>
      </mc:Choice>
    </mc:AlternateContent>
    <mc:AlternateContent xmlns:mc="http://schemas.openxmlformats.org/markup-compatibility/2006">
      <mc:Choice Requires="x14">
        <control shapeId="13439" r:id="rId110" name="UpMember1_18">
          <controlPr defaultSize="0" print="0" autoFill="0" autoPict="0" macro="_xll.IBPXLClient.TechnicalCategory.ButtonActionInIBPClientFormattingSheet">
            <anchor moveWithCells="1">
              <from>
                <xdr:col>14</xdr:col>
                <xdr:colOff>0</xdr:colOff>
                <xdr:row>145</xdr:row>
                <xdr:rowOff>0</xdr:rowOff>
              </from>
              <to>
                <xdr:col>14</xdr:col>
                <xdr:colOff>714375</xdr:colOff>
                <xdr:row>146</xdr:row>
                <xdr:rowOff>28575</xdr:rowOff>
              </to>
            </anchor>
          </controlPr>
        </control>
      </mc:Choice>
    </mc:AlternateContent>
    <mc:AlternateContent xmlns:mc="http://schemas.openxmlformats.org/markup-compatibility/2006">
      <mc:Choice Requires="x14">
        <control shapeId="13440" r:id="rId111" name="DownMember1_18">
          <controlPr defaultSize="0" print="0" autoFill="0" autoPict="0" macro="_xll.IBPXLClient.TechnicalCategory.ButtonActionInIBPClientFormattingSheet">
            <anchor moveWithCells="1">
              <from>
                <xdr:col>15</xdr:col>
                <xdr:colOff>0</xdr:colOff>
                <xdr:row>145</xdr:row>
                <xdr:rowOff>0</xdr:rowOff>
              </from>
              <to>
                <xdr:col>16</xdr:col>
                <xdr:colOff>0</xdr:colOff>
                <xdr:row>146</xdr:row>
                <xdr:rowOff>28575</xdr:rowOff>
              </to>
            </anchor>
          </controlPr>
        </control>
      </mc:Choice>
    </mc:AlternateContent>
    <mc:AlternateContent xmlns:mc="http://schemas.openxmlformats.org/markup-compatibility/2006">
      <mc:Choice Requires="x14">
        <control shapeId="13441" r:id="rId112" name="AddedMember2_1">
          <controlPr defaultSize="0" print="0" autoFill="0" autoPict="0" macro="_xll.IBPXLClient.TechnicalCategory.ButtonActionInIBPClientFormattingSheet">
            <anchor moveWithCells="1">
              <from>
                <xdr:col>11</xdr:col>
                <xdr:colOff>2438400</xdr:colOff>
                <xdr:row>39</xdr:row>
                <xdr:rowOff>66675</xdr:rowOff>
              </from>
              <to>
                <xdr:col>12</xdr:col>
                <xdr:colOff>676275</xdr:colOff>
                <xdr:row>40</xdr:row>
                <xdr:rowOff>190500</xdr:rowOff>
              </to>
            </anchor>
          </controlPr>
        </control>
      </mc:Choice>
    </mc:AlternateContent>
    <mc:AlternateContent xmlns:mc="http://schemas.openxmlformats.org/markup-compatibility/2006">
      <mc:Choice Requires="x14">
        <control shapeId="13442" r:id="rId113" name="ChangeMember2_1">
          <controlPr defaultSize="0" print="0" autoFill="0" autoPict="0" macro="_xll.IBPXLClient.TechnicalCategory.ButtonActionInIBPClientFormattingSheet">
            <anchor moveWithCells="1">
              <from>
                <xdr:col>13</xdr:col>
                <xdr:colOff>0</xdr:colOff>
                <xdr:row>39</xdr:row>
                <xdr:rowOff>66675</xdr:rowOff>
              </from>
              <to>
                <xdr:col>13</xdr:col>
                <xdr:colOff>714375</xdr:colOff>
                <xdr:row>40</xdr:row>
                <xdr:rowOff>190500</xdr:rowOff>
              </to>
            </anchor>
          </controlPr>
        </control>
      </mc:Choice>
    </mc:AlternateContent>
    <mc:AlternateContent xmlns:mc="http://schemas.openxmlformats.org/markup-compatibility/2006">
      <mc:Choice Requires="x14">
        <control shapeId="13443" r:id="rId114" name="UpMember2_1">
          <controlPr defaultSize="0" print="0" autoFill="0" autoPict="0" macro="_xll.IBPXLClient.TechnicalCategory.ButtonActionInIBPClientFormattingSheet">
            <anchor moveWithCells="1">
              <from>
                <xdr:col>14</xdr:col>
                <xdr:colOff>0</xdr:colOff>
                <xdr:row>39</xdr:row>
                <xdr:rowOff>66675</xdr:rowOff>
              </from>
              <to>
                <xdr:col>14</xdr:col>
                <xdr:colOff>714375</xdr:colOff>
                <xdr:row>40</xdr:row>
                <xdr:rowOff>190500</xdr:rowOff>
              </to>
            </anchor>
          </controlPr>
        </control>
      </mc:Choice>
    </mc:AlternateContent>
    <mc:AlternateContent xmlns:mc="http://schemas.openxmlformats.org/markup-compatibility/2006">
      <mc:Choice Requires="x14">
        <control shapeId="13444" r:id="rId115" name="DownMember2_1">
          <controlPr defaultSize="0" print="0" autoFill="0" autoPict="0" macro="_xll.IBPXLClient.TechnicalCategory.ButtonActionInIBPClientFormattingSheet">
            <anchor moveWithCells="1">
              <from>
                <xdr:col>14</xdr:col>
                <xdr:colOff>714375</xdr:colOff>
                <xdr:row>39</xdr:row>
                <xdr:rowOff>66675</xdr:rowOff>
              </from>
              <to>
                <xdr:col>15</xdr:col>
                <xdr:colOff>676275</xdr:colOff>
                <xdr:row>40</xdr:row>
                <xdr:rowOff>190500</xdr:rowOff>
              </to>
            </anchor>
          </controlPr>
        </control>
      </mc:Choice>
    </mc:AlternateContent>
    <mc:AlternateContent xmlns:mc="http://schemas.openxmlformats.org/markup-compatibility/2006">
      <mc:Choice Requires="x14">
        <control shapeId="13445" r:id="rId116" name="AddedMember2_2">
          <controlPr defaultSize="0" print="0" autoFill="0" autoPict="0" macro="_xll.IBPXLClient.TechnicalCategory.ButtonActionInIBPClientFormattingSheet">
            <anchor moveWithCells="1">
              <from>
                <xdr:col>12</xdr:col>
                <xdr:colOff>0</xdr:colOff>
                <xdr:row>43</xdr:row>
                <xdr:rowOff>0</xdr:rowOff>
              </from>
              <to>
                <xdr:col>12</xdr:col>
                <xdr:colOff>714375</xdr:colOff>
                <xdr:row>44</xdr:row>
                <xdr:rowOff>0</xdr:rowOff>
              </to>
            </anchor>
          </controlPr>
        </control>
      </mc:Choice>
    </mc:AlternateContent>
    <mc:AlternateContent xmlns:mc="http://schemas.openxmlformats.org/markup-compatibility/2006">
      <mc:Choice Requires="x14">
        <control shapeId="13446" r:id="rId117" name="ChangeMember2_2">
          <controlPr defaultSize="0" print="0" autoFill="0" autoPict="0" macro="_xll.IBPXLClient.TechnicalCategory.ButtonActionInIBPClientFormattingSheet">
            <anchor moveWithCells="1">
              <from>
                <xdr:col>12</xdr:col>
                <xdr:colOff>723900</xdr:colOff>
                <xdr:row>43</xdr:row>
                <xdr:rowOff>0</xdr:rowOff>
              </from>
              <to>
                <xdr:col>13</xdr:col>
                <xdr:colOff>714375</xdr:colOff>
                <xdr:row>44</xdr:row>
                <xdr:rowOff>0</xdr:rowOff>
              </to>
            </anchor>
          </controlPr>
        </control>
      </mc:Choice>
    </mc:AlternateContent>
    <mc:AlternateContent xmlns:mc="http://schemas.openxmlformats.org/markup-compatibility/2006">
      <mc:Choice Requires="x14">
        <control shapeId="13447" r:id="rId118" name="UpMember2_2">
          <controlPr defaultSize="0" print="0" autoFill="0" autoPict="0" macro="_xll.IBPXLClient.TechnicalCategory.ButtonActionInIBPClientFormattingSheet">
            <anchor moveWithCells="1">
              <from>
                <xdr:col>14</xdr:col>
                <xdr:colOff>0</xdr:colOff>
                <xdr:row>43</xdr:row>
                <xdr:rowOff>0</xdr:rowOff>
              </from>
              <to>
                <xdr:col>14</xdr:col>
                <xdr:colOff>714375</xdr:colOff>
                <xdr:row>44</xdr:row>
                <xdr:rowOff>0</xdr:rowOff>
              </to>
            </anchor>
          </controlPr>
        </control>
      </mc:Choice>
    </mc:AlternateContent>
    <mc:AlternateContent xmlns:mc="http://schemas.openxmlformats.org/markup-compatibility/2006">
      <mc:Choice Requires="x14">
        <control shapeId="13448" r:id="rId119" name="DownMember2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0</xdr:rowOff>
              </to>
            </anchor>
          </controlPr>
        </control>
      </mc:Choice>
    </mc:AlternateContent>
    <mc:AlternateContent xmlns:mc="http://schemas.openxmlformats.org/markup-compatibility/2006">
      <mc:Choice Requires="x14">
        <control shapeId="13449" r:id="rId120" name="AddedMember2_3">
          <controlPr defaultSize="0" print="0" autoFill="0" autoPict="0" macro="_xll.IBPXLClient.TechnicalCategory.ButtonActionInIBPClientFormattingSheet">
            <anchor moveWithCells="1">
              <from>
                <xdr:col>12</xdr:col>
                <xdr:colOff>0</xdr:colOff>
                <xdr:row>45</xdr:row>
                <xdr:rowOff>66675</xdr:rowOff>
              </from>
              <to>
                <xdr:col>12</xdr:col>
                <xdr:colOff>714375</xdr:colOff>
                <xdr:row>47</xdr:row>
                <xdr:rowOff>0</xdr:rowOff>
              </to>
            </anchor>
          </controlPr>
        </control>
      </mc:Choice>
    </mc:AlternateContent>
    <mc:AlternateContent xmlns:mc="http://schemas.openxmlformats.org/markup-compatibility/2006">
      <mc:Choice Requires="x14">
        <control shapeId="13450" r:id="rId121" name="ChangeMember2_3">
          <controlPr defaultSize="0" print="0" autoFill="0" autoPict="0" macro="_xll.IBPXLClient.TechnicalCategory.ButtonActionInIBPClientFormattingSheet">
            <anchor moveWithCells="1">
              <from>
                <xdr:col>12</xdr:col>
                <xdr:colOff>723900</xdr:colOff>
                <xdr:row>45</xdr:row>
                <xdr:rowOff>66675</xdr:rowOff>
              </from>
              <to>
                <xdr:col>13</xdr:col>
                <xdr:colOff>714375</xdr:colOff>
                <xdr:row>47</xdr:row>
                <xdr:rowOff>0</xdr:rowOff>
              </to>
            </anchor>
          </controlPr>
        </control>
      </mc:Choice>
    </mc:AlternateContent>
    <mc:AlternateContent xmlns:mc="http://schemas.openxmlformats.org/markup-compatibility/2006">
      <mc:Choice Requires="x14">
        <control shapeId="13451" r:id="rId122" name="UpMember2_3">
          <controlPr defaultSize="0" print="0" autoFill="0" autoPict="0" macro="_xll.IBPXLClient.TechnicalCategory.ButtonActionInIBPClientFormattingSheet">
            <anchor moveWithCells="1">
              <from>
                <xdr:col>14</xdr:col>
                <xdr:colOff>0</xdr:colOff>
                <xdr:row>45</xdr:row>
                <xdr:rowOff>66675</xdr:rowOff>
              </from>
              <to>
                <xdr:col>14</xdr:col>
                <xdr:colOff>714375</xdr:colOff>
                <xdr:row>47</xdr:row>
                <xdr:rowOff>0</xdr:rowOff>
              </to>
            </anchor>
          </controlPr>
        </control>
      </mc:Choice>
    </mc:AlternateContent>
    <mc:AlternateContent xmlns:mc="http://schemas.openxmlformats.org/markup-compatibility/2006">
      <mc:Choice Requires="x14">
        <control shapeId="13452" r:id="rId123" name="DownMember2_3">
          <controlPr defaultSize="0" print="0" autoFill="0" autoPict="0" macro="_xll.IBPXLClient.TechnicalCategory.ButtonActionInIBPClientFormattingSheet">
            <anchor moveWithCells="1">
              <from>
                <xdr:col>15</xdr:col>
                <xdr:colOff>0</xdr:colOff>
                <xdr:row>45</xdr:row>
                <xdr:rowOff>66675</xdr:rowOff>
              </from>
              <to>
                <xdr:col>16</xdr:col>
                <xdr:colOff>0</xdr:colOff>
                <xdr:row>47</xdr:row>
                <xdr:rowOff>0</xdr:rowOff>
              </to>
            </anchor>
          </controlPr>
        </control>
      </mc:Choice>
    </mc:AlternateContent>
    <mc:AlternateContent xmlns:mc="http://schemas.openxmlformats.org/markup-compatibility/2006">
      <mc:Choice Requires="x14">
        <control shapeId="13453" r:id="rId124" name="AddedMember2_4">
          <controlPr defaultSize="0" print="0" autoFill="0" autoPict="0" macro="_xll.IBPXLClient.TechnicalCategory.ButtonActionInIBPClientFormattingSheet">
            <anchor moveWithCells="1">
              <from>
                <xdr:col>12</xdr:col>
                <xdr:colOff>0</xdr:colOff>
                <xdr:row>48</xdr:row>
                <xdr:rowOff>66675</xdr:rowOff>
              </from>
              <to>
                <xdr:col>12</xdr:col>
                <xdr:colOff>714375</xdr:colOff>
                <xdr:row>50</xdr:row>
                <xdr:rowOff>0</xdr:rowOff>
              </to>
            </anchor>
          </controlPr>
        </control>
      </mc:Choice>
    </mc:AlternateContent>
    <mc:AlternateContent xmlns:mc="http://schemas.openxmlformats.org/markup-compatibility/2006">
      <mc:Choice Requires="x14">
        <control shapeId="13454" r:id="rId125" name="ChangeMember2_4">
          <controlPr defaultSize="0" print="0" autoFill="0" autoPict="0" macro="_xll.IBPXLClient.TechnicalCategory.ButtonActionInIBPClientFormattingSheet">
            <anchor moveWithCells="1">
              <from>
                <xdr:col>12</xdr:col>
                <xdr:colOff>723900</xdr:colOff>
                <xdr:row>48</xdr:row>
                <xdr:rowOff>66675</xdr:rowOff>
              </from>
              <to>
                <xdr:col>13</xdr:col>
                <xdr:colOff>714375</xdr:colOff>
                <xdr:row>50</xdr:row>
                <xdr:rowOff>0</xdr:rowOff>
              </to>
            </anchor>
          </controlPr>
        </control>
      </mc:Choice>
    </mc:AlternateContent>
    <mc:AlternateContent xmlns:mc="http://schemas.openxmlformats.org/markup-compatibility/2006">
      <mc:Choice Requires="x14">
        <control shapeId="13455" r:id="rId126" name="UpMember2_4">
          <controlPr defaultSize="0" print="0" autoFill="0" autoPict="0" macro="_xll.IBPXLClient.TechnicalCategory.ButtonActionInIBPClientFormattingSheet">
            <anchor moveWithCells="1">
              <from>
                <xdr:col>14</xdr:col>
                <xdr:colOff>0</xdr:colOff>
                <xdr:row>48</xdr:row>
                <xdr:rowOff>66675</xdr:rowOff>
              </from>
              <to>
                <xdr:col>14</xdr:col>
                <xdr:colOff>714375</xdr:colOff>
                <xdr:row>50</xdr:row>
                <xdr:rowOff>0</xdr:rowOff>
              </to>
            </anchor>
          </controlPr>
        </control>
      </mc:Choice>
    </mc:AlternateContent>
    <mc:AlternateContent xmlns:mc="http://schemas.openxmlformats.org/markup-compatibility/2006">
      <mc:Choice Requires="x14">
        <control shapeId="13456" r:id="rId127" name="DownMember2_4">
          <controlPr defaultSize="0" print="0" autoFill="0" autoPict="0" macro="_xll.IBPXLClient.TechnicalCategory.ButtonActionInIBPClientFormattingSheet">
            <anchor moveWithCells="1">
              <from>
                <xdr:col>15</xdr:col>
                <xdr:colOff>0</xdr:colOff>
                <xdr:row>48</xdr:row>
                <xdr:rowOff>66675</xdr:rowOff>
              </from>
              <to>
                <xdr:col>16</xdr:col>
                <xdr:colOff>0</xdr:colOff>
                <xdr:row>50</xdr:row>
                <xdr:rowOff>0</xdr:rowOff>
              </to>
            </anchor>
          </controlPr>
        </control>
      </mc:Choice>
    </mc:AlternateContent>
    <mc:AlternateContent xmlns:mc="http://schemas.openxmlformats.org/markup-compatibility/2006">
      <mc:Choice Requires="x14">
        <control shapeId="13457" r:id="rId128" name="AddedMember2_5">
          <controlPr defaultSize="0" print="0" autoFill="0" autoPict="0" macro="_xll.IBPXLClient.TechnicalCategory.ButtonActionInIBPClientFormattingSheet">
            <anchor moveWithCells="1">
              <from>
                <xdr:col>12</xdr:col>
                <xdr:colOff>0</xdr:colOff>
                <xdr:row>52</xdr:row>
                <xdr:rowOff>0</xdr:rowOff>
              </from>
              <to>
                <xdr:col>12</xdr:col>
                <xdr:colOff>714375</xdr:colOff>
                <xdr:row>53</xdr:row>
                <xdr:rowOff>28575</xdr:rowOff>
              </to>
            </anchor>
          </controlPr>
        </control>
      </mc:Choice>
    </mc:AlternateContent>
    <mc:AlternateContent xmlns:mc="http://schemas.openxmlformats.org/markup-compatibility/2006">
      <mc:Choice Requires="x14">
        <control shapeId="13458" r:id="rId129" name="ChangeMember2_5">
          <controlPr defaultSize="0" print="0" autoFill="0" autoPict="0" macro="_xll.IBPXLClient.TechnicalCategory.ButtonActionInIBPClientFormattingSheet">
            <anchor moveWithCells="1">
              <from>
                <xdr:col>12</xdr:col>
                <xdr:colOff>723900</xdr:colOff>
                <xdr:row>52</xdr:row>
                <xdr:rowOff>0</xdr:rowOff>
              </from>
              <to>
                <xdr:col>13</xdr:col>
                <xdr:colOff>714375</xdr:colOff>
                <xdr:row>53</xdr:row>
                <xdr:rowOff>28575</xdr:rowOff>
              </to>
            </anchor>
          </controlPr>
        </control>
      </mc:Choice>
    </mc:AlternateContent>
    <mc:AlternateContent xmlns:mc="http://schemas.openxmlformats.org/markup-compatibility/2006">
      <mc:Choice Requires="x14">
        <control shapeId="13459" r:id="rId130" name="UpMember2_5">
          <controlPr defaultSize="0" print="0" autoFill="0" autoPict="0" macro="_xll.IBPXLClient.TechnicalCategory.ButtonActionInIBPClientFormattingSheet">
            <anchor moveWithCells="1">
              <from>
                <xdr:col>14</xdr:col>
                <xdr:colOff>0</xdr:colOff>
                <xdr:row>52</xdr:row>
                <xdr:rowOff>0</xdr:rowOff>
              </from>
              <to>
                <xdr:col>14</xdr:col>
                <xdr:colOff>714375</xdr:colOff>
                <xdr:row>53</xdr:row>
                <xdr:rowOff>28575</xdr:rowOff>
              </to>
            </anchor>
          </controlPr>
        </control>
      </mc:Choice>
    </mc:AlternateContent>
    <mc:AlternateContent xmlns:mc="http://schemas.openxmlformats.org/markup-compatibility/2006">
      <mc:Choice Requires="x14">
        <control shapeId="13460" r:id="rId131" name="DownMember2_5">
          <controlPr defaultSize="0" print="0" autoFill="0" autoPict="0" macro="_xll.IBPXLClient.TechnicalCategory.ButtonActionInIBPClientFormattingSheet">
            <anchor moveWithCells="1">
              <from>
                <xdr:col>15</xdr:col>
                <xdr:colOff>0</xdr:colOff>
                <xdr:row>52</xdr:row>
                <xdr:rowOff>0</xdr:rowOff>
              </from>
              <to>
                <xdr:col>16</xdr:col>
                <xdr:colOff>0</xdr:colOff>
                <xdr:row>53</xdr:row>
                <xdr:rowOff>28575</xdr:rowOff>
              </to>
            </anchor>
          </controlPr>
        </control>
      </mc:Choice>
    </mc:AlternateContent>
    <mc:AlternateContent xmlns:mc="http://schemas.openxmlformats.org/markup-compatibility/2006">
      <mc:Choice Requires="x14">
        <control shapeId="13461" r:id="rId132" name="AddedMember2_6">
          <controlPr defaultSize="0" print="0" autoFill="0" autoPict="0" macro="_xll.IBPXLClient.TechnicalCategory.ButtonActionInIBPClientFormattingSheet">
            <anchor moveWithCells="1">
              <from>
                <xdr:col>12</xdr:col>
                <xdr:colOff>0</xdr:colOff>
                <xdr:row>55</xdr:row>
                <xdr:rowOff>0</xdr:rowOff>
              </from>
              <to>
                <xdr:col>12</xdr:col>
                <xdr:colOff>714375</xdr:colOff>
                <xdr:row>56</xdr:row>
                <xdr:rowOff>28575</xdr:rowOff>
              </to>
            </anchor>
          </controlPr>
        </control>
      </mc:Choice>
    </mc:AlternateContent>
    <mc:AlternateContent xmlns:mc="http://schemas.openxmlformats.org/markup-compatibility/2006">
      <mc:Choice Requires="x14">
        <control shapeId="13462" r:id="rId133" name="ChangeMember2_6">
          <controlPr defaultSize="0" print="0" autoFill="0" autoPict="0" macro="_xll.IBPXLClient.TechnicalCategory.ButtonActionInIBPClientFormattingSheet">
            <anchor moveWithCells="1">
              <from>
                <xdr:col>12</xdr:col>
                <xdr:colOff>723900</xdr:colOff>
                <xdr:row>55</xdr:row>
                <xdr:rowOff>0</xdr:rowOff>
              </from>
              <to>
                <xdr:col>13</xdr:col>
                <xdr:colOff>714375</xdr:colOff>
                <xdr:row>56</xdr:row>
                <xdr:rowOff>28575</xdr:rowOff>
              </to>
            </anchor>
          </controlPr>
        </control>
      </mc:Choice>
    </mc:AlternateContent>
    <mc:AlternateContent xmlns:mc="http://schemas.openxmlformats.org/markup-compatibility/2006">
      <mc:Choice Requires="x14">
        <control shapeId="13463" r:id="rId134" name="UpMember2_6">
          <controlPr defaultSize="0" print="0" autoFill="0" autoPict="0" macro="_xll.IBPXLClient.TechnicalCategory.ButtonActionInIBPClientFormattingSheet">
            <anchor moveWithCells="1">
              <from>
                <xdr:col>14</xdr:col>
                <xdr:colOff>0</xdr:colOff>
                <xdr:row>55</xdr:row>
                <xdr:rowOff>0</xdr:rowOff>
              </from>
              <to>
                <xdr:col>14</xdr:col>
                <xdr:colOff>714375</xdr:colOff>
                <xdr:row>56</xdr:row>
                <xdr:rowOff>28575</xdr:rowOff>
              </to>
            </anchor>
          </controlPr>
        </control>
      </mc:Choice>
    </mc:AlternateContent>
    <mc:AlternateContent xmlns:mc="http://schemas.openxmlformats.org/markup-compatibility/2006">
      <mc:Choice Requires="x14">
        <control shapeId="13464" r:id="rId135" name="DownMember2_6">
          <controlPr defaultSize="0" print="0" autoFill="0" autoPict="0" macro="_xll.IBPXLClient.TechnicalCategory.ButtonActionInIBPClientFormattingSheet">
            <anchor moveWithCells="1">
              <from>
                <xdr:col>15</xdr:col>
                <xdr:colOff>0</xdr:colOff>
                <xdr:row>55</xdr:row>
                <xdr:rowOff>0</xdr:rowOff>
              </from>
              <to>
                <xdr:col>16</xdr:col>
                <xdr:colOff>0</xdr:colOff>
                <xdr:row>56</xdr:row>
                <xdr:rowOff>28575</xdr:rowOff>
              </to>
            </anchor>
          </controlPr>
        </control>
      </mc:Choice>
    </mc:AlternateContent>
    <mc:AlternateContent xmlns:mc="http://schemas.openxmlformats.org/markup-compatibility/2006">
      <mc:Choice Requires="x14">
        <control shapeId="13465" r:id="rId136" name="AddedMember2_7">
          <controlPr defaultSize="0" print="0" autoFill="0" autoPict="0" macro="_xll.IBPXLClient.TechnicalCategory.ButtonActionInIBPClientFormattingSheet">
            <anchor moveWithCells="1">
              <from>
                <xdr:col>12</xdr:col>
                <xdr:colOff>0</xdr:colOff>
                <xdr:row>58</xdr:row>
                <xdr:rowOff>0</xdr:rowOff>
              </from>
              <to>
                <xdr:col>12</xdr:col>
                <xdr:colOff>714375</xdr:colOff>
                <xdr:row>59</xdr:row>
                <xdr:rowOff>0</xdr:rowOff>
              </to>
            </anchor>
          </controlPr>
        </control>
      </mc:Choice>
    </mc:AlternateContent>
    <mc:AlternateContent xmlns:mc="http://schemas.openxmlformats.org/markup-compatibility/2006">
      <mc:Choice Requires="x14">
        <control shapeId="13466" r:id="rId137" name="ChangeMember2_7">
          <controlPr defaultSize="0" print="0" autoFill="0" autoPict="0" macro="_xll.IBPXLClient.TechnicalCategory.ButtonActionInIBPClientFormattingSheet">
            <anchor moveWithCells="1">
              <from>
                <xdr:col>12</xdr:col>
                <xdr:colOff>723900</xdr:colOff>
                <xdr:row>58</xdr:row>
                <xdr:rowOff>0</xdr:rowOff>
              </from>
              <to>
                <xdr:col>13</xdr:col>
                <xdr:colOff>714375</xdr:colOff>
                <xdr:row>59</xdr:row>
                <xdr:rowOff>0</xdr:rowOff>
              </to>
            </anchor>
          </controlPr>
        </control>
      </mc:Choice>
    </mc:AlternateContent>
    <mc:AlternateContent xmlns:mc="http://schemas.openxmlformats.org/markup-compatibility/2006">
      <mc:Choice Requires="x14">
        <control shapeId="13467" r:id="rId138" name="UpMember2_7">
          <controlPr defaultSize="0" print="0" autoFill="0" autoPict="0" macro="_xll.IBPXLClient.TechnicalCategory.ButtonActionInIBPClientFormattingSheet">
            <anchor moveWithCells="1">
              <from>
                <xdr:col>14</xdr:col>
                <xdr:colOff>0</xdr:colOff>
                <xdr:row>58</xdr:row>
                <xdr:rowOff>0</xdr:rowOff>
              </from>
              <to>
                <xdr:col>14</xdr:col>
                <xdr:colOff>714375</xdr:colOff>
                <xdr:row>59</xdr:row>
                <xdr:rowOff>0</xdr:rowOff>
              </to>
            </anchor>
          </controlPr>
        </control>
      </mc:Choice>
    </mc:AlternateContent>
    <mc:AlternateContent xmlns:mc="http://schemas.openxmlformats.org/markup-compatibility/2006">
      <mc:Choice Requires="x14">
        <control shapeId="13468" r:id="rId139" name="DownMember2_7">
          <controlPr defaultSize="0" print="0" autoFill="0" autoPict="0" macro="_xll.IBPXLClient.TechnicalCategory.ButtonActionInIBPClientFormattingSheet">
            <anchor moveWithCells="1">
              <from>
                <xdr:col>15</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13469" r:id="rId140" name="AddedMember1_19">
          <controlPr defaultSize="0" print="0" autoFill="0" autoPict="0" macro="_xll.IBPXLClient.TechnicalCategory.ButtonActionInIBPClientFormattingSheet">
            <anchor moveWithCells="1">
              <from>
                <xdr:col>12</xdr:col>
                <xdr:colOff>0</xdr:colOff>
                <xdr:row>147</xdr:row>
                <xdr:rowOff>66675</xdr:rowOff>
              </from>
              <to>
                <xdr:col>12</xdr:col>
                <xdr:colOff>714375</xdr:colOff>
                <xdr:row>149</xdr:row>
                <xdr:rowOff>0</xdr:rowOff>
              </to>
            </anchor>
          </controlPr>
        </control>
      </mc:Choice>
    </mc:AlternateContent>
    <mc:AlternateContent xmlns:mc="http://schemas.openxmlformats.org/markup-compatibility/2006">
      <mc:Choice Requires="x14">
        <control shapeId="13470" r:id="rId141" name="ChangeMember1_19">
          <controlPr defaultSize="0" print="0" autoFill="0" autoPict="0" macro="_xll.IBPXLClient.TechnicalCategory.ButtonActionInIBPClientFormattingSheet">
            <anchor moveWithCells="1">
              <from>
                <xdr:col>12</xdr:col>
                <xdr:colOff>723900</xdr:colOff>
                <xdr:row>147</xdr:row>
                <xdr:rowOff>66675</xdr:rowOff>
              </from>
              <to>
                <xdr:col>13</xdr:col>
                <xdr:colOff>714375</xdr:colOff>
                <xdr:row>149</xdr:row>
                <xdr:rowOff>0</xdr:rowOff>
              </to>
            </anchor>
          </controlPr>
        </control>
      </mc:Choice>
    </mc:AlternateContent>
    <mc:AlternateContent xmlns:mc="http://schemas.openxmlformats.org/markup-compatibility/2006">
      <mc:Choice Requires="x14">
        <control shapeId="13471" r:id="rId142" name="UpMember1_19">
          <controlPr defaultSize="0" print="0" autoFill="0" autoPict="0" macro="_xll.IBPXLClient.TechnicalCategory.ButtonActionInIBPClientFormattingSheet">
            <anchor moveWithCells="1">
              <from>
                <xdr:col>14</xdr:col>
                <xdr:colOff>0</xdr:colOff>
                <xdr:row>147</xdr:row>
                <xdr:rowOff>66675</xdr:rowOff>
              </from>
              <to>
                <xdr:col>14</xdr:col>
                <xdr:colOff>714375</xdr:colOff>
                <xdr:row>149</xdr:row>
                <xdr:rowOff>0</xdr:rowOff>
              </to>
            </anchor>
          </controlPr>
        </control>
      </mc:Choice>
    </mc:AlternateContent>
    <mc:AlternateContent xmlns:mc="http://schemas.openxmlformats.org/markup-compatibility/2006">
      <mc:Choice Requires="x14">
        <control shapeId="13472" r:id="rId143" name="DownMember1_19">
          <controlPr defaultSize="0" print="0" autoFill="0" autoPict="0" macro="_xll.IBPXLClient.TechnicalCategory.ButtonActionInIBPClientFormattingSheet">
            <anchor moveWithCells="1">
              <from>
                <xdr:col>15</xdr:col>
                <xdr:colOff>0</xdr:colOff>
                <xdr:row>147</xdr:row>
                <xdr:rowOff>66675</xdr:rowOff>
              </from>
              <to>
                <xdr:col>16</xdr:col>
                <xdr:colOff>0</xdr:colOff>
                <xdr:row>149</xdr:row>
                <xdr:rowOff>0</xdr:rowOff>
              </to>
            </anchor>
          </controlPr>
        </control>
      </mc:Choice>
    </mc:AlternateContent>
    <mc:AlternateContent xmlns:mc="http://schemas.openxmlformats.org/markup-compatibility/2006">
      <mc:Choice Requires="x14">
        <control shapeId="13473" r:id="rId144" name="AddedMember1_20">
          <controlPr defaultSize="0" print="0" autoFill="0" autoPict="0" macro="_xll.IBPXLClient.TechnicalCategory.ButtonActionInIBPClientFormattingSheet">
            <anchor moveWithCells="1">
              <from>
                <xdr:col>12</xdr:col>
                <xdr:colOff>0</xdr:colOff>
                <xdr:row>151</xdr:row>
                <xdr:rowOff>0</xdr:rowOff>
              </from>
              <to>
                <xdr:col>12</xdr:col>
                <xdr:colOff>714375</xdr:colOff>
                <xdr:row>152</xdr:row>
                <xdr:rowOff>28575</xdr:rowOff>
              </to>
            </anchor>
          </controlPr>
        </control>
      </mc:Choice>
    </mc:AlternateContent>
    <mc:AlternateContent xmlns:mc="http://schemas.openxmlformats.org/markup-compatibility/2006">
      <mc:Choice Requires="x14">
        <control shapeId="13474" r:id="rId145" name="ChangeMember1_20">
          <controlPr defaultSize="0" print="0" autoFill="0" autoPict="0" macro="_xll.IBPXLClient.TechnicalCategory.ButtonActionInIBPClientFormattingSheet">
            <anchor moveWithCells="1">
              <from>
                <xdr:col>12</xdr:col>
                <xdr:colOff>723900</xdr:colOff>
                <xdr:row>151</xdr:row>
                <xdr:rowOff>0</xdr:rowOff>
              </from>
              <to>
                <xdr:col>13</xdr:col>
                <xdr:colOff>714375</xdr:colOff>
                <xdr:row>152</xdr:row>
                <xdr:rowOff>28575</xdr:rowOff>
              </to>
            </anchor>
          </controlPr>
        </control>
      </mc:Choice>
    </mc:AlternateContent>
    <mc:AlternateContent xmlns:mc="http://schemas.openxmlformats.org/markup-compatibility/2006">
      <mc:Choice Requires="x14">
        <control shapeId="13475" r:id="rId146" name="UpMember1_20">
          <controlPr defaultSize="0" print="0" autoFill="0" autoPict="0" macro="_xll.IBPXLClient.TechnicalCategory.ButtonActionInIBPClientFormattingSheet">
            <anchor moveWithCells="1">
              <from>
                <xdr:col>14</xdr:col>
                <xdr:colOff>0</xdr:colOff>
                <xdr:row>151</xdr:row>
                <xdr:rowOff>0</xdr:rowOff>
              </from>
              <to>
                <xdr:col>14</xdr:col>
                <xdr:colOff>714375</xdr:colOff>
                <xdr:row>152</xdr:row>
                <xdr:rowOff>28575</xdr:rowOff>
              </to>
            </anchor>
          </controlPr>
        </control>
      </mc:Choice>
    </mc:AlternateContent>
    <mc:AlternateContent xmlns:mc="http://schemas.openxmlformats.org/markup-compatibility/2006">
      <mc:Choice Requires="x14">
        <control shapeId="13476" r:id="rId147" name="DownMember1_20">
          <controlPr defaultSize="0" print="0" autoFill="0" autoPict="0" macro="_xll.IBPXLClient.TechnicalCategory.ButtonActionInIBPClientFormattingSheet">
            <anchor moveWithCells="1">
              <from>
                <xdr:col>15</xdr:col>
                <xdr:colOff>0</xdr:colOff>
                <xdr:row>151</xdr:row>
                <xdr:rowOff>0</xdr:rowOff>
              </from>
              <to>
                <xdr:col>16</xdr:col>
                <xdr:colOff>0</xdr:colOff>
                <xdr:row>152</xdr:row>
                <xdr:rowOff>28575</xdr:rowOff>
              </to>
            </anchor>
          </controlPr>
        </control>
      </mc:Choice>
    </mc:AlternateContent>
    <mc:AlternateContent xmlns:mc="http://schemas.openxmlformats.org/markup-compatibility/2006">
      <mc:Choice Requires="x14">
        <control shapeId="13477" r:id="rId148" name="AddedMember1_21">
          <controlPr defaultSize="0" print="0" autoFill="0" autoPict="0" macro="_xll.IBPXLClient.TechnicalCategory.ButtonActionInIBPClientFormattingSheet">
            <anchor moveWithCells="1">
              <from>
                <xdr:col>12</xdr:col>
                <xdr:colOff>0</xdr:colOff>
                <xdr:row>154</xdr:row>
                <xdr:rowOff>0</xdr:rowOff>
              </from>
              <to>
                <xdr:col>12</xdr:col>
                <xdr:colOff>714375</xdr:colOff>
                <xdr:row>155</xdr:row>
                <xdr:rowOff>28575</xdr:rowOff>
              </to>
            </anchor>
          </controlPr>
        </control>
      </mc:Choice>
    </mc:AlternateContent>
    <mc:AlternateContent xmlns:mc="http://schemas.openxmlformats.org/markup-compatibility/2006">
      <mc:Choice Requires="x14">
        <control shapeId="13478" r:id="rId149" name="ChangeMember1_21">
          <controlPr defaultSize="0" print="0" autoFill="0" autoPict="0" macro="_xll.IBPXLClient.TechnicalCategory.ButtonActionInIBPClientFormattingSheet">
            <anchor moveWithCells="1">
              <from>
                <xdr:col>12</xdr:col>
                <xdr:colOff>723900</xdr:colOff>
                <xdr:row>154</xdr:row>
                <xdr:rowOff>0</xdr:rowOff>
              </from>
              <to>
                <xdr:col>13</xdr:col>
                <xdr:colOff>714375</xdr:colOff>
                <xdr:row>155</xdr:row>
                <xdr:rowOff>28575</xdr:rowOff>
              </to>
            </anchor>
          </controlPr>
        </control>
      </mc:Choice>
    </mc:AlternateContent>
    <mc:AlternateContent xmlns:mc="http://schemas.openxmlformats.org/markup-compatibility/2006">
      <mc:Choice Requires="x14">
        <control shapeId="13479" r:id="rId150" name="UpMember1_21">
          <controlPr defaultSize="0" print="0" autoFill="0" autoPict="0" macro="_xll.IBPXLClient.TechnicalCategory.ButtonActionInIBPClientFormattingSheet">
            <anchor moveWithCells="1">
              <from>
                <xdr:col>14</xdr:col>
                <xdr:colOff>0</xdr:colOff>
                <xdr:row>154</xdr:row>
                <xdr:rowOff>0</xdr:rowOff>
              </from>
              <to>
                <xdr:col>14</xdr:col>
                <xdr:colOff>714375</xdr:colOff>
                <xdr:row>155</xdr:row>
                <xdr:rowOff>28575</xdr:rowOff>
              </to>
            </anchor>
          </controlPr>
        </control>
      </mc:Choice>
    </mc:AlternateContent>
    <mc:AlternateContent xmlns:mc="http://schemas.openxmlformats.org/markup-compatibility/2006">
      <mc:Choice Requires="x14">
        <control shapeId="13480" r:id="rId151" name="DownMember1_21">
          <controlPr defaultSize="0" print="0" autoFill="0" autoPict="0" macro="_xll.IBPXLClient.TechnicalCategory.ButtonActionInIBPClientFormattingSheet">
            <anchor moveWithCells="1">
              <from>
                <xdr:col>15</xdr:col>
                <xdr:colOff>0</xdr:colOff>
                <xdr:row>154</xdr:row>
                <xdr:rowOff>0</xdr:rowOff>
              </from>
              <to>
                <xdr:col>16</xdr:col>
                <xdr:colOff>0</xdr:colOff>
                <xdr:row>155</xdr:row>
                <xdr:rowOff>28575</xdr:rowOff>
              </to>
            </anchor>
          </controlPr>
        </control>
      </mc:Choice>
    </mc:AlternateContent>
    <mc:AlternateContent xmlns:mc="http://schemas.openxmlformats.org/markup-compatibility/2006">
      <mc:Choice Requires="x14">
        <control shapeId="13481" r:id="rId152" name="AddedMember1_22">
          <controlPr defaultSize="0" print="0" autoFill="0" autoPict="0" macro="_xll.IBPXLClient.TechnicalCategory.ButtonActionInIBPClientFormattingSheet">
            <anchor moveWithCells="1">
              <from>
                <xdr:col>12</xdr:col>
                <xdr:colOff>0</xdr:colOff>
                <xdr:row>157</xdr:row>
                <xdr:rowOff>0</xdr:rowOff>
              </from>
              <to>
                <xdr:col>12</xdr:col>
                <xdr:colOff>714375</xdr:colOff>
                <xdr:row>158</xdr:row>
                <xdr:rowOff>0</xdr:rowOff>
              </to>
            </anchor>
          </controlPr>
        </control>
      </mc:Choice>
    </mc:AlternateContent>
    <mc:AlternateContent xmlns:mc="http://schemas.openxmlformats.org/markup-compatibility/2006">
      <mc:Choice Requires="x14">
        <control shapeId="13482" r:id="rId153" name="ChangeMember1_22">
          <controlPr defaultSize="0" print="0" autoFill="0" autoPict="0" macro="_xll.IBPXLClient.TechnicalCategory.ButtonActionInIBPClientFormattingSheet">
            <anchor moveWithCells="1">
              <from>
                <xdr:col>12</xdr:col>
                <xdr:colOff>723900</xdr:colOff>
                <xdr:row>157</xdr:row>
                <xdr:rowOff>0</xdr:rowOff>
              </from>
              <to>
                <xdr:col>13</xdr:col>
                <xdr:colOff>714375</xdr:colOff>
                <xdr:row>158</xdr:row>
                <xdr:rowOff>0</xdr:rowOff>
              </to>
            </anchor>
          </controlPr>
        </control>
      </mc:Choice>
    </mc:AlternateContent>
    <mc:AlternateContent xmlns:mc="http://schemas.openxmlformats.org/markup-compatibility/2006">
      <mc:Choice Requires="x14">
        <control shapeId="13483" r:id="rId154" name="UpMember1_22">
          <controlPr defaultSize="0" print="0" autoFill="0" autoPict="0" macro="_xll.IBPXLClient.TechnicalCategory.ButtonActionInIBPClientFormattingSheet">
            <anchor moveWithCells="1">
              <from>
                <xdr:col>14</xdr:col>
                <xdr:colOff>0</xdr:colOff>
                <xdr:row>157</xdr:row>
                <xdr:rowOff>0</xdr:rowOff>
              </from>
              <to>
                <xdr:col>14</xdr:col>
                <xdr:colOff>714375</xdr:colOff>
                <xdr:row>158</xdr:row>
                <xdr:rowOff>0</xdr:rowOff>
              </to>
            </anchor>
          </controlPr>
        </control>
      </mc:Choice>
    </mc:AlternateContent>
    <mc:AlternateContent xmlns:mc="http://schemas.openxmlformats.org/markup-compatibility/2006">
      <mc:Choice Requires="x14">
        <control shapeId="13484" r:id="rId155" name="DownMember1_22">
          <controlPr defaultSize="0" print="0" autoFill="0" autoPict="0" macro="_xll.IBPXLClient.TechnicalCategory.ButtonActionInIBPClientFormattingSheet">
            <anchor moveWithCells="1">
              <from>
                <xdr:col>15</xdr:col>
                <xdr:colOff>0</xdr:colOff>
                <xdr:row>157</xdr:row>
                <xdr:rowOff>0</xdr:rowOff>
              </from>
              <to>
                <xdr:col>16</xdr:col>
                <xdr:colOff>0</xdr:colOff>
                <xdr:row>158</xdr:row>
                <xdr:rowOff>0</xdr:rowOff>
              </to>
            </anchor>
          </controlPr>
        </control>
      </mc:Choice>
    </mc:AlternateContent>
    <mc:AlternateContent xmlns:mc="http://schemas.openxmlformats.org/markup-compatibility/2006">
      <mc:Choice Requires="x14">
        <control shapeId="13485" r:id="rId156" name="AddedMember1_23">
          <controlPr defaultSize="0" print="0" autoFill="0" autoPict="0" macro="_xll.IBPXLClient.TechnicalCategory.ButtonActionInIBPClientFormattingSheet">
            <anchor moveWithCells="1">
              <from>
                <xdr:col>12</xdr:col>
                <xdr:colOff>0</xdr:colOff>
                <xdr:row>159</xdr:row>
                <xdr:rowOff>66675</xdr:rowOff>
              </from>
              <to>
                <xdr:col>12</xdr:col>
                <xdr:colOff>714375</xdr:colOff>
                <xdr:row>161</xdr:row>
                <xdr:rowOff>0</xdr:rowOff>
              </to>
            </anchor>
          </controlPr>
        </control>
      </mc:Choice>
    </mc:AlternateContent>
    <mc:AlternateContent xmlns:mc="http://schemas.openxmlformats.org/markup-compatibility/2006">
      <mc:Choice Requires="x14">
        <control shapeId="13486" r:id="rId157" name="ChangeMember1_23">
          <controlPr defaultSize="0" print="0" autoFill="0" autoPict="0" macro="_xll.IBPXLClient.TechnicalCategory.ButtonActionInIBPClientFormattingSheet">
            <anchor moveWithCells="1">
              <from>
                <xdr:col>12</xdr:col>
                <xdr:colOff>723900</xdr:colOff>
                <xdr:row>159</xdr:row>
                <xdr:rowOff>66675</xdr:rowOff>
              </from>
              <to>
                <xdr:col>13</xdr:col>
                <xdr:colOff>714375</xdr:colOff>
                <xdr:row>161</xdr:row>
                <xdr:rowOff>0</xdr:rowOff>
              </to>
            </anchor>
          </controlPr>
        </control>
      </mc:Choice>
    </mc:AlternateContent>
    <mc:AlternateContent xmlns:mc="http://schemas.openxmlformats.org/markup-compatibility/2006">
      <mc:Choice Requires="x14">
        <control shapeId="13487" r:id="rId158" name="UpMember1_23">
          <controlPr defaultSize="0" print="0" autoFill="0" autoPict="0" macro="_xll.IBPXLClient.TechnicalCategory.ButtonActionInIBPClientFormattingSheet">
            <anchor moveWithCells="1">
              <from>
                <xdr:col>14</xdr:col>
                <xdr:colOff>0</xdr:colOff>
                <xdr:row>159</xdr:row>
                <xdr:rowOff>66675</xdr:rowOff>
              </from>
              <to>
                <xdr:col>14</xdr:col>
                <xdr:colOff>714375</xdr:colOff>
                <xdr:row>161</xdr:row>
                <xdr:rowOff>0</xdr:rowOff>
              </to>
            </anchor>
          </controlPr>
        </control>
      </mc:Choice>
    </mc:AlternateContent>
    <mc:AlternateContent xmlns:mc="http://schemas.openxmlformats.org/markup-compatibility/2006">
      <mc:Choice Requires="x14">
        <control shapeId="13488" r:id="rId159" name="DownMember1_23">
          <controlPr defaultSize="0" print="0" autoFill="0" autoPict="0" macro="_xll.IBPXLClient.TechnicalCategory.ButtonActionInIBPClientFormattingSheet">
            <anchor moveWithCells="1">
              <from>
                <xdr:col>15</xdr:col>
                <xdr:colOff>0</xdr:colOff>
                <xdr:row>159</xdr:row>
                <xdr:rowOff>66675</xdr:rowOff>
              </from>
              <to>
                <xdr:col>16</xdr:col>
                <xdr:colOff>0</xdr:colOff>
                <xdr:row>161</xdr:row>
                <xdr:rowOff>0</xdr:rowOff>
              </to>
            </anchor>
          </controlPr>
        </control>
      </mc:Choice>
    </mc:AlternateContent>
    <mc:AlternateContent xmlns:mc="http://schemas.openxmlformats.org/markup-compatibility/2006">
      <mc:Choice Requires="x14">
        <control shapeId="13489" r:id="rId160" name="AddedMember1_24">
          <controlPr defaultSize="0" print="0" autoFill="0" autoPict="0" macro="_xll.IBPXLClient.TechnicalCategory.ButtonActionInIBPClientFormattingSheet">
            <anchor moveWithCells="1">
              <from>
                <xdr:col>12</xdr:col>
                <xdr:colOff>0</xdr:colOff>
                <xdr:row>162</xdr:row>
                <xdr:rowOff>66675</xdr:rowOff>
              </from>
              <to>
                <xdr:col>12</xdr:col>
                <xdr:colOff>714375</xdr:colOff>
                <xdr:row>164</xdr:row>
                <xdr:rowOff>0</xdr:rowOff>
              </to>
            </anchor>
          </controlPr>
        </control>
      </mc:Choice>
    </mc:AlternateContent>
    <mc:AlternateContent xmlns:mc="http://schemas.openxmlformats.org/markup-compatibility/2006">
      <mc:Choice Requires="x14">
        <control shapeId="13490" r:id="rId161" name="ChangeMember1_24">
          <controlPr defaultSize="0" print="0" autoFill="0" autoPict="0" macro="_xll.IBPXLClient.TechnicalCategory.ButtonActionInIBPClientFormattingSheet">
            <anchor moveWithCells="1">
              <from>
                <xdr:col>12</xdr:col>
                <xdr:colOff>723900</xdr:colOff>
                <xdr:row>162</xdr:row>
                <xdr:rowOff>66675</xdr:rowOff>
              </from>
              <to>
                <xdr:col>13</xdr:col>
                <xdr:colOff>714375</xdr:colOff>
                <xdr:row>164</xdr:row>
                <xdr:rowOff>0</xdr:rowOff>
              </to>
            </anchor>
          </controlPr>
        </control>
      </mc:Choice>
    </mc:AlternateContent>
    <mc:AlternateContent xmlns:mc="http://schemas.openxmlformats.org/markup-compatibility/2006">
      <mc:Choice Requires="x14">
        <control shapeId="13491" r:id="rId162" name="UpMember1_24">
          <controlPr defaultSize="0" print="0" autoFill="0" autoPict="0" macro="_xll.IBPXLClient.TechnicalCategory.ButtonActionInIBPClientFormattingSheet">
            <anchor moveWithCells="1">
              <from>
                <xdr:col>14</xdr:col>
                <xdr:colOff>0</xdr:colOff>
                <xdr:row>162</xdr:row>
                <xdr:rowOff>66675</xdr:rowOff>
              </from>
              <to>
                <xdr:col>14</xdr:col>
                <xdr:colOff>714375</xdr:colOff>
                <xdr:row>164</xdr:row>
                <xdr:rowOff>0</xdr:rowOff>
              </to>
            </anchor>
          </controlPr>
        </control>
      </mc:Choice>
    </mc:AlternateContent>
    <mc:AlternateContent xmlns:mc="http://schemas.openxmlformats.org/markup-compatibility/2006">
      <mc:Choice Requires="x14">
        <control shapeId="13492" r:id="rId163" name="DownMember1_24">
          <controlPr defaultSize="0" print="0" autoFill="0" autoPict="0" macro="_xll.IBPXLClient.TechnicalCategory.ButtonActionInIBPClientFormattingSheet">
            <anchor moveWithCells="1">
              <from>
                <xdr:col>15</xdr:col>
                <xdr:colOff>0</xdr:colOff>
                <xdr:row>162</xdr:row>
                <xdr:rowOff>66675</xdr:rowOff>
              </from>
              <to>
                <xdr:col>16</xdr:col>
                <xdr:colOff>0</xdr:colOff>
                <xdr:row>164</xdr:row>
                <xdr:rowOff>0</xdr:rowOff>
              </to>
            </anchor>
          </controlPr>
        </control>
      </mc:Choice>
    </mc:AlternateContent>
    <mc:AlternateContent xmlns:mc="http://schemas.openxmlformats.org/markup-compatibility/2006">
      <mc:Choice Requires="x14">
        <control shapeId="13493" r:id="rId164" name="AddedMember1_25">
          <controlPr defaultSize="0" print="0" autoFill="0" autoPict="0" macro="_xll.IBPXLClient.TechnicalCategory.ButtonActionInIBPClientFormattingSheet">
            <anchor moveWithCells="1">
              <from>
                <xdr:col>12</xdr:col>
                <xdr:colOff>0</xdr:colOff>
                <xdr:row>166</xdr:row>
                <xdr:rowOff>0</xdr:rowOff>
              </from>
              <to>
                <xdr:col>12</xdr:col>
                <xdr:colOff>714375</xdr:colOff>
                <xdr:row>167</xdr:row>
                <xdr:rowOff>28575</xdr:rowOff>
              </to>
            </anchor>
          </controlPr>
        </control>
      </mc:Choice>
    </mc:AlternateContent>
    <mc:AlternateContent xmlns:mc="http://schemas.openxmlformats.org/markup-compatibility/2006">
      <mc:Choice Requires="x14">
        <control shapeId="13494" r:id="rId165" name="ChangeMember1_25">
          <controlPr defaultSize="0" print="0" autoFill="0" autoPict="0" macro="_xll.IBPXLClient.TechnicalCategory.ButtonActionInIBPClientFormattingSheet">
            <anchor moveWithCells="1">
              <from>
                <xdr:col>12</xdr:col>
                <xdr:colOff>723900</xdr:colOff>
                <xdr:row>166</xdr:row>
                <xdr:rowOff>0</xdr:rowOff>
              </from>
              <to>
                <xdr:col>13</xdr:col>
                <xdr:colOff>714375</xdr:colOff>
                <xdr:row>167</xdr:row>
                <xdr:rowOff>28575</xdr:rowOff>
              </to>
            </anchor>
          </controlPr>
        </control>
      </mc:Choice>
    </mc:AlternateContent>
    <mc:AlternateContent xmlns:mc="http://schemas.openxmlformats.org/markup-compatibility/2006">
      <mc:Choice Requires="x14">
        <control shapeId="13495" r:id="rId166" name="UpMember1_25">
          <controlPr defaultSize="0" print="0" autoFill="0" autoPict="0" macro="_xll.IBPXLClient.TechnicalCategory.ButtonActionInIBPClientFormattingSheet">
            <anchor moveWithCells="1">
              <from>
                <xdr:col>14</xdr:col>
                <xdr:colOff>0</xdr:colOff>
                <xdr:row>166</xdr:row>
                <xdr:rowOff>0</xdr:rowOff>
              </from>
              <to>
                <xdr:col>14</xdr:col>
                <xdr:colOff>714375</xdr:colOff>
                <xdr:row>167</xdr:row>
                <xdr:rowOff>28575</xdr:rowOff>
              </to>
            </anchor>
          </controlPr>
        </control>
      </mc:Choice>
    </mc:AlternateContent>
    <mc:AlternateContent xmlns:mc="http://schemas.openxmlformats.org/markup-compatibility/2006">
      <mc:Choice Requires="x14">
        <control shapeId="13496" r:id="rId167" name="DownMember1_25">
          <controlPr defaultSize="0" print="0" autoFill="0" autoPict="0" macro="_xll.IBPXLClient.TechnicalCategory.ButtonActionInIBPClientFormattingSheet">
            <anchor moveWithCells="1">
              <from>
                <xdr:col>15</xdr:col>
                <xdr:colOff>0</xdr:colOff>
                <xdr:row>166</xdr:row>
                <xdr:rowOff>0</xdr:rowOff>
              </from>
              <to>
                <xdr:col>16</xdr:col>
                <xdr:colOff>0</xdr:colOff>
                <xdr:row>167</xdr:row>
                <xdr:rowOff>28575</xdr:rowOff>
              </to>
            </anchor>
          </controlPr>
        </control>
      </mc:Choice>
    </mc:AlternateContent>
    <mc:AlternateContent xmlns:mc="http://schemas.openxmlformats.org/markup-compatibility/2006">
      <mc:Choice Requires="x14">
        <control shapeId="13535" r:id="rId168" name="AddedMember1_26">
          <controlPr defaultSize="0" print="0" autoFill="0" autoPict="0" macro="_xll.IBPXLClient.TechnicalCategory.ButtonActionInIBPClientFormattingSheet">
            <anchor moveWithCells="1">
              <from>
                <xdr:col>11</xdr:col>
                <xdr:colOff>2438400</xdr:colOff>
                <xdr:row>169</xdr:row>
                <xdr:rowOff>0</xdr:rowOff>
              </from>
              <to>
                <xdr:col>12</xdr:col>
                <xdr:colOff>676275</xdr:colOff>
                <xdr:row>170</xdr:row>
                <xdr:rowOff>0</xdr:rowOff>
              </to>
            </anchor>
          </controlPr>
        </control>
      </mc:Choice>
    </mc:AlternateContent>
    <mc:AlternateContent xmlns:mc="http://schemas.openxmlformats.org/markup-compatibility/2006">
      <mc:Choice Requires="x14">
        <control shapeId="13536" r:id="rId169" name="ChangeMember1_26">
          <controlPr defaultSize="0" print="0" autoFill="0" autoPict="0" macro="_xll.IBPXLClient.TechnicalCategory.ButtonActionInIBPClientFormattingSheet">
            <anchor moveWithCells="1">
              <from>
                <xdr:col>13</xdr:col>
                <xdr:colOff>0</xdr:colOff>
                <xdr:row>169</xdr:row>
                <xdr:rowOff>0</xdr:rowOff>
              </from>
              <to>
                <xdr:col>13</xdr:col>
                <xdr:colOff>685800</xdr:colOff>
                <xdr:row>170</xdr:row>
                <xdr:rowOff>0</xdr:rowOff>
              </to>
            </anchor>
          </controlPr>
        </control>
      </mc:Choice>
    </mc:AlternateContent>
    <mc:AlternateContent xmlns:mc="http://schemas.openxmlformats.org/markup-compatibility/2006">
      <mc:Choice Requires="x14">
        <control shapeId="13537" r:id="rId170" name="UpMember1_26">
          <controlPr defaultSize="0" print="0" autoFill="0" autoPict="0" macro="_xll.IBPXLClient.TechnicalCategory.ButtonActionInIBPClientFormattingSheet">
            <anchor moveWithCells="1">
              <from>
                <xdr:col>14</xdr:col>
                <xdr:colOff>0</xdr:colOff>
                <xdr:row>169</xdr:row>
                <xdr:rowOff>0</xdr:rowOff>
              </from>
              <to>
                <xdr:col>14</xdr:col>
                <xdr:colOff>685800</xdr:colOff>
                <xdr:row>170</xdr:row>
                <xdr:rowOff>0</xdr:rowOff>
              </to>
            </anchor>
          </controlPr>
        </control>
      </mc:Choice>
    </mc:AlternateContent>
    <mc:AlternateContent xmlns:mc="http://schemas.openxmlformats.org/markup-compatibility/2006">
      <mc:Choice Requires="x14">
        <control shapeId="13538" r:id="rId171" name="DownMember1_26">
          <controlPr defaultSize="0" print="0" autoFill="0" autoPict="0" macro="_xll.IBPXLClient.TechnicalCategory.ButtonActionInIBPClientFormattingSheet">
            <anchor moveWithCells="1">
              <from>
                <xdr:col>14</xdr:col>
                <xdr:colOff>714375</xdr:colOff>
                <xdr:row>169</xdr:row>
                <xdr:rowOff>0</xdr:rowOff>
              </from>
              <to>
                <xdr:col>15</xdr:col>
                <xdr:colOff>676275</xdr:colOff>
                <xdr:row>170</xdr:row>
                <xdr:rowOff>0</xdr:rowOff>
              </to>
            </anchor>
          </controlPr>
        </control>
      </mc:Choice>
    </mc:AlternateContent>
    <mc:AlternateContent xmlns:mc="http://schemas.openxmlformats.org/markup-compatibility/2006">
      <mc:Choice Requires="x14">
        <control shapeId="13540" r:id="rId172" name="AddedMember1_27">
          <controlPr defaultSize="0" print="0" autoFill="0" autoPict="0" macro="_xll.IBPXLClient.TechnicalCategory.ButtonActionInIBPClientFormattingSheet">
            <anchor moveWithCells="1">
              <from>
                <xdr:col>11</xdr:col>
                <xdr:colOff>2438400</xdr:colOff>
                <xdr:row>171</xdr:row>
                <xdr:rowOff>66675</xdr:rowOff>
              </from>
              <to>
                <xdr:col>12</xdr:col>
                <xdr:colOff>676275</xdr:colOff>
                <xdr:row>172</xdr:row>
                <xdr:rowOff>190500</xdr:rowOff>
              </to>
            </anchor>
          </controlPr>
        </control>
      </mc:Choice>
    </mc:AlternateContent>
    <mc:AlternateContent xmlns:mc="http://schemas.openxmlformats.org/markup-compatibility/2006">
      <mc:Choice Requires="x14">
        <control shapeId="13541" r:id="rId173" name="ChangeMember1_27">
          <controlPr defaultSize="0" print="0" autoFill="0" autoPict="0" macro="_xll.IBPXLClient.TechnicalCategory.ButtonActionInIBPClientFormattingSheet">
            <anchor moveWithCells="1">
              <from>
                <xdr:col>13</xdr:col>
                <xdr:colOff>0</xdr:colOff>
                <xdr:row>171</xdr:row>
                <xdr:rowOff>66675</xdr:rowOff>
              </from>
              <to>
                <xdr:col>13</xdr:col>
                <xdr:colOff>685800</xdr:colOff>
                <xdr:row>172</xdr:row>
                <xdr:rowOff>190500</xdr:rowOff>
              </to>
            </anchor>
          </controlPr>
        </control>
      </mc:Choice>
    </mc:AlternateContent>
    <mc:AlternateContent xmlns:mc="http://schemas.openxmlformats.org/markup-compatibility/2006">
      <mc:Choice Requires="x14">
        <control shapeId="13542" r:id="rId174" name="UpMember1_27">
          <controlPr defaultSize="0" print="0" autoFill="0" autoPict="0" macro="_xll.IBPXLClient.TechnicalCategory.ButtonActionInIBPClientFormattingSheet">
            <anchor moveWithCells="1">
              <from>
                <xdr:col>14</xdr:col>
                <xdr:colOff>0</xdr:colOff>
                <xdr:row>171</xdr:row>
                <xdr:rowOff>66675</xdr:rowOff>
              </from>
              <to>
                <xdr:col>14</xdr:col>
                <xdr:colOff>685800</xdr:colOff>
                <xdr:row>172</xdr:row>
                <xdr:rowOff>190500</xdr:rowOff>
              </to>
            </anchor>
          </controlPr>
        </control>
      </mc:Choice>
    </mc:AlternateContent>
    <mc:AlternateContent xmlns:mc="http://schemas.openxmlformats.org/markup-compatibility/2006">
      <mc:Choice Requires="x14">
        <control shapeId="13543" r:id="rId175" name="DownMember1_27">
          <controlPr defaultSize="0" print="0" autoFill="0" autoPict="0" macro="_xll.IBPXLClient.TechnicalCategory.ButtonActionInIBPClientFormattingSheet">
            <anchor moveWithCells="1">
              <from>
                <xdr:col>14</xdr:col>
                <xdr:colOff>714375</xdr:colOff>
                <xdr:row>171</xdr:row>
                <xdr:rowOff>66675</xdr:rowOff>
              </from>
              <to>
                <xdr:col>15</xdr:col>
                <xdr:colOff>676275</xdr:colOff>
                <xdr:row>172</xdr:row>
                <xdr:rowOff>190500</xdr:rowOff>
              </to>
            </anchor>
          </controlPr>
        </control>
      </mc:Choice>
    </mc:AlternateContent>
    <mc:AlternateContent xmlns:mc="http://schemas.openxmlformats.org/markup-compatibility/2006">
      <mc:Choice Requires="x14">
        <control shapeId="13545" r:id="rId176" name="AddedMember2_8">
          <controlPr defaultSize="0" print="0" autoFill="0" autoPict="0" macro="_xll.IBPXLClient.TechnicalCategory.ButtonActionInIBPClientFormattingSheet">
            <anchor moveWithCells="1">
              <from>
                <xdr:col>11</xdr:col>
                <xdr:colOff>2438400</xdr:colOff>
                <xdr:row>60</xdr:row>
                <xdr:rowOff>66675</xdr:rowOff>
              </from>
              <to>
                <xdr:col>12</xdr:col>
                <xdr:colOff>676275</xdr:colOff>
                <xdr:row>61</xdr:row>
                <xdr:rowOff>190500</xdr:rowOff>
              </to>
            </anchor>
          </controlPr>
        </control>
      </mc:Choice>
    </mc:AlternateContent>
    <mc:AlternateContent xmlns:mc="http://schemas.openxmlformats.org/markup-compatibility/2006">
      <mc:Choice Requires="x14">
        <control shapeId="13546" r:id="rId177" name="ChangeMember2_8">
          <controlPr defaultSize="0" print="0" autoFill="0" autoPict="0" macro="_xll.IBPXLClient.TechnicalCategory.ButtonActionInIBPClientFormattingSheet">
            <anchor moveWithCells="1">
              <from>
                <xdr:col>13</xdr:col>
                <xdr:colOff>0</xdr:colOff>
                <xdr:row>60</xdr:row>
                <xdr:rowOff>66675</xdr:rowOff>
              </from>
              <to>
                <xdr:col>13</xdr:col>
                <xdr:colOff>685800</xdr:colOff>
                <xdr:row>61</xdr:row>
                <xdr:rowOff>190500</xdr:rowOff>
              </to>
            </anchor>
          </controlPr>
        </control>
      </mc:Choice>
    </mc:AlternateContent>
    <mc:AlternateContent xmlns:mc="http://schemas.openxmlformats.org/markup-compatibility/2006">
      <mc:Choice Requires="x14">
        <control shapeId="13547" r:id="rId178" name="UpMember2_8">
          <controlPr defaultSize="0" print="0" autoFill="0" autoPict="0" macro="_xll.IBPXLClient.TechnicalCategory.ButtonActionInIBPClientFormattingSheet">
            <anchor moveWithCells="1">
              <from>
                <xdr:col>14</xdr:col>
                <xdr:colOff>0</xdr:colOff>
                <xdr:row>60</xdr:row>
                <xdr:rowOff>66675</xdr:rowOff>
              </from>
              <to>
                <xdr:col>14</xdr:col>
                <xdr:colOff>685800</xdr:colOff>
                <xdr:row>61</xdr:row>
                <xdr:rowOff>190500</xdr:rowOff>
              </to>
            </anchor>
          </controlPr>
        </control>
      </mc:Choice>
    </mc:AlternateContent>
    <mc:AlternateContent xmlns:mc="http://schemas.openxmlformats.org/markup-compatibility/2006">
      <mc:Choice Requires="x14">
        <control shapeId="13548" r:id="rId179" name="DownMember2_8">
          <controlPr defaultSize="0" print="0" autoFill="0" autoPict="0" macro="_xll.IBPXLClient.TechnicalCategory.ButtonActionInIBPClientFormattingSheet">
            <anchor moveWithCells="1">
              <from>
                <xdr:col>14</xdr:col>
                <xdr:colOff>714375</xdr:colOff>
                <xdr:row>60</xdr:row>
                <xdr:rowOff>66675</xdr:rowOff>
              </from>
              <to>
                <xdr:col>15</xdr:col>
                <xdr:colOff>676275</xdr:colOff>
                <xdr:row>61</xdr:row>
                <xdr:rowOff>190500</xdr:rowOff>
              </to>
            </anchor>
          </controlPr>
        </control>
      </mc:Choice>
    </mc:AlternateContent>
    <mc:AlternateContent xmlns:mc="http://schemas.openxmlformats.org/markup-compatibility/2006">
      <mc:Choice Requires="x14">
        <control shapeId="13550" r:id="rId180" name="AddedMember2_9">
          <controlPr defaultSize="0" print="0" autoFill="0" autoPict="0" macro="_xll.IBPXLClient.TechnicalCategory.ButtonActionInIBPClientFormattingSheet">
            <anchor moveWithCells="1">
              <from>
                <xdr:col>11</xdr:col>
                <xdr:colOff>2438400</xdr:colOff>
                <xdr:row>63</xdr:row>
                <xdr:rowOff>66675</xdr:rowOff>
              </from>
              <to>
                <xdr:col>12</xdr:col>
                <xdr:colOff>676275</xdr:colOff>
                <xdr:row>65</xdr:row>
                <xdr:rowOff>0</xdr:rowOff>
              </to>
            </anchor>
          </controlPr>
        </control>
      </mc:Choice>
    </mc:AlternateContent>
    <mc:AlternateContent xmlns:mc="http://schemas.openxmlformats.org/markup-compatibility/2006">
      <mc:Choice Requires="x14">
        <control shapeId="13551" r:id="rId181" name="ChangeMember2_9">
          <controlPr defaultSize="0" print="0" autoFill="0" autoPict="0" macro="_xll.IBPXLClient.TechnicalCategory.ButtonActionInIBPClientFormattingSheet">
            <anchor moveWithCells="1">
              <from>
                <xdr:col>13</xdr:col>
                <xdr:colOff>0</xdr:colOff>
                <xdr:row>63</xdr:row>
                <xdr:rowOff>66675</xdr:rowOff>
              </from>
              <to>
                <xdr:col>13</xdr:col>
                <xdr:colOff>685800</xdr:colOff>
                <xdr:row>65</xdr:row>
                <xdr:rowOff>0</xdr:rowOff>
              </to>
            </anchor>
          </controlPr>
        </control>
      </mc:Choice>
    </mc:AlternateContent>
    <mc:AlternateContent xmlns:mc="http://schemas.openxmlformats.org/markup-compatibility/2006">
      <mc:Choice Requires="x14">
        <control shapeId="13552" r:id="rId182" name="UpMember2_9">
          <controlPr defaultSize="0" print="0" autoFill="0" autoPict="0" macro="_xll.IBPXLClient.TechnicalCategory.ButtonActionInIBPClientFormattingSheet">
            <anchor moveWithCells="1">
              <from>
                <xdr:col>14</xdr:col>
                <xdr:colOff>0</xdr:colOff>
                <xdr:row>63</xdr:row>
                <xdr:rowOff>66675</xdr:rowOff>
              </from>
              <to>
                <xdr:col>14</xdr:col>
                <xdr:colOff>685800</xdr:colOff>
                <xdr:row>65</xdr:row>
                <xdr:rowOff>0</xdr:rowOff>
              </to>
            </anchor>
          </controlPr>
        </control>
      </mc:Choice>
    </mc:AlternateContent>
    <mc:AlternateContent xmlns:mc="http://schemas.openxmlformats.org/markup-compatibility/2006">
      <mc:Choice Requires="x14">
        <control shapeId="13553" r:id="rId183" name="DownMember2_9">
          <controlPr defaultSize="0" print="0" autoFill="0" autoPict="0" macro="_xll.IBPXLClient.TechnicalCategory.ButtonActionInIBPClientFormattingSheet">
            <anchor moveWithCells="1">
              <from>
                <xdr:col>14</xdr:col>
                <xdr:colOff>714375</xdr:colOff>
                <xdr:row>63</xdr:row>
                <xdr:rowOff>66675</xdr:rowOff>
              </from>
              <to>
                <xdr:col>15</xdr:col>
                <xdr:colOff>676275</xdr:colOff>
                <xdr:row>65</xdr:row>
                <xdr:rowOff>0</xdr:rowOff>
              </to>
            </anchor>
          </controlPr>
        </control>
      </mc:Choice>
    </mc:AlternateContent>
    <mc:AlternateContent xmlns:mc="http://schemas.openxmlformats.org/markup-compatibility/2006">
      <mc:Choice Requires="x14">
        <control shapeId="13564" r:id="rId184" name="AddedMember1_28">
          <controlPr defaultSize="0" print="0" autoFill="0" autoPict="0" macro="_xll.IBPXLClient.TechnicalCategory.ButtonActionInIBPClientFormattingSheet">
            <anchor moveWithCells="1">
              <from>
                <xdr:col>11</xdr:col>
                <xdr:colOff>2438400</xdr:colOff>
                <xdr:row>175</xdr:row>
                <xdr:rowOff>0</xdr:rowOff>
              </from>
              <to>
                <xdr:col>12</xdr:col>
                <xdr:colOff>676275</xdr:colOff>
                <xdr:row>176</xdr:row>
                <xdr:rowOff>0</xdr:rowOff>
              </to>
            </anchor>
          </controlPr>
        </control>
      </mc:Choice>
    </mc:AlternateContent>
    <mc:AlternateContent xmlns:mc="http://schemas.openxmlformats.org/markup-compatibility/2006">
      <mc:Choice Requires="x14">
        <control shapeId="13565" r:id="rId185" name="ChangeMember1_28">
          <controlPr defaultSize="0" print="0" autoFill="0" autoPict="0" macro="_xll.IBPXLClient.TechnicalCategory.ButtonActionInIBPClientFormattingSheet">
            <anchor moveWithCells="1">
              <from>
                <xdr:col>13</xdr:col>
                <xdr:colOff>0</xdr:colOff>
                <xdr:row>175</xdr:row>
                <xdr:rowOff>0</xdr:rowOff>
              </from>
              <to>
                <xdr:col>13</xdr:col>
                <xdr:colOff>685800</xdr:colOff>
                <xdr:row>176</xdr:row>
                <xdr:rowOff>0</xdr:rowOff>
              </to>
            </anchor>
          </controlPr>
        </control>
      </mc:Choice>
    </mc:AlternateContent>
    <mc:AlternateContent xmlns:mc="http://schemas.openxmlformats.org/markup-compatibility/2006">
      <mc:Choice Requires="x14">
        <control shapeId="13566" r:id="rId186" name="UpMember1_28">
          <controlPr defaultSize="0" print="0" autoFill="0" autoPict="0" macro="_xll.IBPXLClient.TechnicalCategory.ButtonActionInIBPClientFormattingSheet">
            <anchor moveWithCells="1">
              <from>
                <xdr:col>14</xdr:col>
                <xdr:colOff>0</xdr:colOff>
                <xdr:row>175</xdr:row>
                <xdr:rowOff>0</xdr:rowOff>
              </from>
              <to>
                <xdr:col>14</xdr:col>
                <xdr:colOff>685800</xdr:colOff>
                <xdr:row>176</xdr:row>
                <xdr:rowOff>0</xdr:rowOff>
              </to>
            </anchor>
          </controlPr>
        </control>
      </mc:Choice>
    </mc:AlternateContent>
    <mc:AlternateContent xmlns:mc="http://schemas.openxmlformats.org/markup-compatibility/2006">
      <mc:Choice Requires="x14">
        <control shapeId="13567" r:id="rId187" name="DownMember1_28">
          <controlPr defaultSize="0" print="0" autoFill="0" autoPict="0" macro="_xll.IBPXLClient.TechnicalCategory.ButtonActionInIBPClientFormattingSheet">
            <anchor moveWithCells="1">
              <from>
                <xdr:col>14</xdr:col>
                <xdr:colOff>714375</xdr:colOff>
                <xdr:row>175</xdr:row>
                <xdr:rowOff>0</xdr:rowOff>
              </from>
              <to>
                <xdr:col>15</xdr:col>
                <xdr:colOff>676275</xdr:colOff>
                <xdr:row>176</xdr:row>
                <xdr:rowOff>0</xdr:rowOff>
              </to>
            </anchor>
          </controlPr>
        </control>
      </mc:Choice>
    </mc:AlternateContent>
    <mc:AlternateContent xmlns:mc="http://schemas.openxmlformats.org/markup-compatibility/2006">
      <mc:Choice Requires="x14">
        <control shapeId="13569" r:id="rId188" name="AddedMember2_10">
          <controlPr defaultSize="0" print="0" autoFill="0" autoPict="0" macro="_xll.IBPXLClient.TechnicalCategory.ButtonActionInIBPClientFormattingSheet">
            <anchor moveWithCells="1">
              <from>
                <xdr:col>11</xdr:col>
                <xdr:colOff>2438400</xdr:colOff>
                <xdr:row>67</xdr:row>
                <xdr:rowOff>0</xdr:rowOff>
              </from>
              <to>
                <xdr:col>12</xdr:col>
                <xdr:colOff>676275</xdr:colOff>
                <xdr:row>68</xdr:row>
                <xdr:rowOff>28575</xdr:rowOff>
              </to>
            </anchor>
          </controlPr>
        </control>
      </mc:Choice>
    </mc:AlternateContent>
    <mc:AlternateContent xmlns:mc="http://schemas.openxmlformats.org/markup-compatibility/2006">
      <mc:Choice Requires="x14">
        <control shapeId="13570" r:id="rId189" name="ChangeMember2_10">
          <controlPr defaultSize="0" print="0" autoFill="0" autoPict="0" macro="_xll.IBPXLClient.TechnicalCategory.ButtonActionInIBPClientFormattingSheet">
            <anchor moveWithCells="1">
              <from>
                <xdr:col>13</xdr:col>
                <xdr:colOff>0</xdr:colOff>
                <xdr:row>67</xdr:row>
                <xdr:rowOff>0</xdr:rowOff>
              </from>
              <to>
                <xdr:col>13</xdr:col>
                <xdr:colOff>685800</xdr:colOff>
                <xdr:row>68</xdr:row>
                <xdr:rowOff>28575</xdr:rowOff>
              </to>
            </anchor>
          </controlPr>
        </control>
      </mc:Choice>
    </mc:AlternateContent>
    <mc:AlternateContent xmlns:mc="http://schemas.openxmlformats.org/markup-compatibility/2006">
      <mc:Choice Requires="x14">
        <control shapeId="13571" r:id="rId190" name="UpMember2_10">
          <controlPr defaultSize="0" print="0" autoFill="0" autoPict="0" macro="_xll.IBPXLClient.TechnicalCategory.ButtonActionInIBPClientFormattingSheet">
            <anchor moveWithCells="1">
              <from>
                <xdr:col>14</xdr:col>
                <xdr:colOff>0</xdr:colOff>
                <xdr:row>67</xdr:row>
                <xdr:rowOff>0</xdr:rowOff>
              </from>
              <to>
                <xdr:col>14</xdr:col>
                <xdr:colOff>685800</xdr:colOff>
                <xdr:row>68</xdr:row>
                <xdr:rowOff>28575</xdr:rowOff>
              </to>
            </anchor>
          </controlPr>
        </control>
      </mc:Choice>
    </mc:AlternateContent>
    <mc:AlternateContent xmlns:mc="http://schemas.openxmlformats.org/markup-compatibility/2006">
      <mc:Choice Requires="x14">
        <control shapeId="13572" r:id="rId191" name="DownMember2_10">
          <controlPr defaultSize="0" print="0" autoFill="0" autoPict="0" macro="_xll.IBPXLClient.TechnicalCategory.ButtonActionInIBPClientFormattingSheet">
            <anchor moveWithCells="1">
              <from>
                <xdr:col>14</xdr:col>
                <xdr:colOff>714375</xdr:colOff>
                <xdr:row>67</xdr:row>
                <xdr:rowOff>0</xdr:rowOff>
              </from>
              <to>
                <xdr:col>15</xdr:col>
                <xdr:colOff>676275</xdr:colOff>
                <xdr:row>68</xdr:row>
                <xdr:rowOff>28575</xdr:rowOff>
              </to>
            </anchor>
          </controlPr>
        </control>
      </mc:Choice>
    </mc:AlternateContent>
    <mc:AlternateContent xmlns:mc="http://schemas.openxmlformats.org/markup-compatibility/2006">
      <mc:Choice Requires="x14">
        <control shapeId="13574" r:id="rId192" name="AddedMember2_11">
          <controlPr defaultSize="0" print="0" autoFill="0" autoPict="0" macro="_xll.IBPXLClient.TechnicalCategory.ButtonActionInIBPClientFormattingSheet">
            <anchor moveWithCells="1">
              <from>
                <xdr:col>11</xdr:col>
                <xdr:colOff>2438400</xdr:colOff>
                <xdr:row>69</xdr:row>
                <xdr:rowOff>66675</xdr:rowOff>
              </from>
              <to>
                <xdr:col>12</xdr:col>
                <xdr:colOff>676275</xdr:colOff>
                <xdr:row>71</xdr:row>
                <xdr:rowOff>0</xdr:rowOff>
              </to>
            </anchor>
          </controlPr>
        </control>
      </mc:Choice>
    </mc:AlternateContent>
    <mc:AlternateContent xmlns:mc="http://schemas.openxmlformats.org/markup-compatibility/2006">
      <mc:Choice Requires="x14">
        <control shapeId="13575" r:id="rId193" name="ChangeMember2_11">
          <controlPr defaultSize="0" print="0" autoFill="0" autoPict="0" macro="_xll.IBPXLClient.TechnicalCategory.ButtonActionInIBPClientFormattingSheet">
            <anchor moveWithCells="1">
              <from>
                <xdr:col>13</xdr:col>
                <xdr:colOff>0</xdr:colOff>
                <xdr:row>69</xdr:row>
                <xdr:rowOff>66675</xdr:rowOff>
              </from>
              <to>
                <xdr:col>13</xdr:col>
                <xdr:colOff>685800</xdr:colOff>
                <xdr:row>71</xdr:row>
                <xdr:rowOff>0</xdr:rowOff>
              </to>
            </anchor>
          </controlPr>
        </control>
      </mc:Choice>
    </mc:AlternateContent>
    <mc:AlternateContent xmlns:mc="http://schemas.openxmlformats.org/markup-compatibility/2006">
      <mc:Choice Requires="x14">
        <control shapeId="13576" r:id="rId194" name="UpMember2_11">
          <controlPr defaultSize="0" print="0" autoFill="0" autoPict="0" macro="_xll.IBPXLClient.TechnicalCategory.ButtonActionInIBPClientFormattingSheet">
            <anchor moveWithCells="1">
              <from>
                <xdr:col>14</xdr:col>
                <xdr:colOff>0</xdr:colOff>
                <xdr:row>69</xdr:row>
                <xdr:rowOff>66675</xdr:rowOff>
              </from>
              <to>
                <xdr:col>14</xdr:col>
                <xdr:colOff>685800</xdr:colOff>
                <xdr:row>71</xdr:row>
                <xdr:rowOff>0</xdr:rowOff>
              </to>
            </anchor>
          </controlPr>
        </control>
      </mc:Choice>
    </mc:AlternateContent>
    <mc:AlternateContent xmlns:mc="http://schemas.openxmlformats.org/markup-compatibility/2006">
      <mc:Choice Requires="x14">
        <control shapeId="13577" r:id="rId195" name="DownMember2_11">
          <controlPr defaultSize="0" print="0" autoFill="0" autoPict="0" macro="_xll.IBPXLClient.TechnicalCategory.ButtonActionInIBPClientFormattingSheet">
            <anchor moveWithCells="1">
              <from>
                <xdr:col>14</xdr:col>
                <xdr:colOff>714375</xdr:colOff>
                <xdr:row>69</xdr:row>
                <xdr:rowOff>66675</xdr:rowOff>
              </from>
              <to>
                <xdr:col>15</xdr:col>
                <xdr:colOff>676275</xdr:colOff>
                <xdr:row>71</xdr:row>
                <xdr:rowOff>0</xdr:rowOff>
              </to>
            </anchor>
          </controlPr>
        </control>
      </mc:Choice>
    </mc:AlternateContent>
    <mc:AlternateContent xmlns:mc="http://schemas.openxmlformats.org/markup-compatibility/2006">
      <mc:Choice Requires="x14">
        <control shapeId="13579" r:id="rId196" name="AddedMember1_29">
          <controlPr defaultSize="0" print="0" autoFill="0" autoPict="0" macro="_xll.IBPXLClient.TechnicalCategory.ButtonActionInIBPClientFormattingSheet">
            <anchor moveWithCells="1">
              <from>
                <xdr:col>11</xdr:col>
                <xdr:colOff>2438400</xdr:colOff>
                <xdr:row>178</xdr:row>
                <xdr:rowOff>0</xdr:rowOff>
              </from>
              <to>
                <xdr:col>12</xdr:col>
                <xdr:colOff>676275</xdr:colOff>
                <xdr:row>179</xdr:row>
                <xdr:rowOff>0</xdr:rowOff>
              </to>
            </anchor>
          </controlPr>
        </control>
      </mc:Choice>
    </mc:AlternateContent>
    <mc:AlternateContent xmlns:mc="http://schemas.openxmlformats.org/markup-compatibility/2006">
      <mc:Choice Requires="x14">
        <control shapeId="13580" r:id="rId197" name="ChangeMember1_29">
          <controlPr defaultSize="0" print="0" autoFill="0" autoPict="0" macro="_xll.IBPXLClient.TechnicalCategory.ButtonActionInIBPClientFormattingSheet">
            <anchor moveWithCells="1">
              <from>
                <xdr:col>13</xdr:col>
                <xdr:colOff>0</xdr:colOff>
                <xdr:row>178</xdr:row>
                <xdr:rowOff>0</xdr:rowOff>
              </from>
              <to>
                <xdr:col>13</xdr:col>
                <xdr:colOff>685800</xdr:colOff>
                <xdr:row>179</xdr:row>
                <xdr:rowOff>0</xdr:rowOff>
              </to>
            </anchor>
          </controlPr>
        </control>
      </mc:Choice>
    </mc:AlternateContent>
    <mc:AlternateContent xmlns:mc="http://schemas.openxmlformats.org/markup-compatibility/2006">
      <mc:Choice Requires="x14">
        <control shapeId="13581" r:id="rId198" name="UpMember1_29">
          <controlPr defaultSize="0" print="0" autoFill="0" autoPict="0" macro="_xll.IBPXLClient.TechnicalCategory.ButtonActionInIBPClientFormattingSheet">
            <anchor moveWithCells="1">
              <from>
                <xdr:col>14</xdr:col>
                <xdr:colOff>0</xdr:colOff>
                <xdr:row>178</xdr:row>
                <xdr:rowOff>0</xdr:rowOff>
              </from>
              <to>
                <xdr:col>14</xdr:col>
                <xdr:colOff>685800</xdr:colOff>
                <xdr:row>179</xdr:row>
                <xdr:rowOff>0</xdr:rowOff>
              </to>
            </anchor>
          </controlPr>
        </control>
      </mc:Choice>
    </mc:AlternateContent>
    <mc:AlternateContent xmlns:mc="http://schemas.openxmlformats.org/markup-compatibility/2006">
      <mc:Choice Requires="x14">
        <control shapeId="13582" r:id="rId199" name="DownMember1_29">
          <controlPr defaultSize="0" print="0" autoFill="0" autoPict="0" macro="_xll.IBPXLClient.TechnicalCategory.ButtonActionInIBPClientFormattingSheet">
            <anchor moveWithCells="1">
              <from>
                <xdr:col>14</xdr:col>
                <xdr:colOff>714375</xdr:colOff>
                <xdr:row>178</xdr:row>
                <xdr:rowOff>0</xdr:rowOff>
              </from>
              <to>
                <xdr:col>15</xdr:col>
                <xdr:colOff>676275</xdr:colOff>
                <xdr:row>179</xdr:row>
                <xdr:rowOff>0</xdr:rowOff>
              </to>
            </anchor>
          </controlPr>
        </control>
      </mc:Choice>
    </mc:AlternateContent>
    <mc:AlternateContent xmlns:mc="http://schemas.openxmlformats.org/markup-compatibility/2006">
      <mc:Choice Requires="x14">
        <control shapeId="13584" r:id="rId200" name="AddedMember2_12">
          <controlPr defaultSize="0" print="0" autoFill="0" autoPict="0" macro="_xll.IBPXLClient.TechnicalCategory.ButtonActionInIBPClientFormattingSheet">
            <anchor moveWithCells="1">
              <from>
                <xdr:col>11</xdr:col>
                <xdr:colOff>2438400</xdr:colOff>
                <xdr:row>73</xdr:row>
                <xdr:rowOff>0</xdr:rowOff>
              </from>
              <to>
                <xdr:col>12</xdr:col>
                <xdr:colOff>676275</xdr:colOff>
                <xdr:row>74</xdr:row>
                <xdr:rowOff>0</xdr:rowOff>
              </to>
            </anchor>
          </controlPr>
        </control>
      </mc:Choice>
    </mc:AlternateContent>
    <mc:AlternateContent xmlns:mc="http://schemas.openxmlformats.org/markup-compatibility/2006">
      <mc:Choice Requires="x14">
        <control shapeId="13585" r:id="rId201" name="ChangeMember2_12">
          <controlPr defaultSize="0" print="0" autoFill="0" autoPict="0" macro="_xll.IBPXLClient.TechnicalCategory.ButtonActionInIBPClientFormattingSheet">
            <anchor moveWithCells="1">
              <from>
                <xdr:col>13</xdr:col>
                <xdr:colOff>0</xdr:colOff>
                <xdr:row>73</xdr:row>
                <xdr:rowOff>0</xdr:rowOff>
              </from>
              <to>
                <xdr:col>13</xdr:col>
                <xdr:colOff>685800</xdr:colOff>
                <xdr:row>74</xdr:row>
                <xdr:rowOff>0</xdr:rowOff>
              </to>
            </anchor>
          </controlPr>
        </control>
      </mc:Choice>
    </mc:AlternateContent>
    <mc:AlternateContent xmlns:mc="http://schemas.openxmlformats.org/markup-compatibility/2006">
      <mc:Choice Requires="x14">
        <control shapeId="13586" r:id="rId202" name="UpMember2_12">
          <controlPr defaultSize="0" print="0" autoFill="0" autoPict="0" macro="_xll.IBPXLClient.TechnicalCategory.ButtonActionInIBPClientFormattingSheet">
            <anchor moveWithCells="1">
              <from>
                <xdr:col>14</xdr:col>
                <xdr:colOff>0</xdr:colOff>
                <xdr:row>73</xdr:row>
                <xdr:rowOff>0</xdr:rowOff>
              </from>
              <to>
                <xdr:col>14</xdr:col>
                <xdr:colOff>685800</xdr:colOff>
                <xdr:row>74</xdr:row>
                <xdr:rowOff>0</xdr:rowOff>
              </to>
            </anchor>
          </controlPr>
        </control>
      </mc:Choice>
    </mc:AlternateContent>
    <mc:AlternateContent xmlns:mc="http://schemas.openxmlformats.org/markup-compatibility/2006">
      <mc:Choice Requires="x14">
        <control shapeId="13587" r:id="rId203" name="DownMember2_12">
          <controlPr defaultSize="0" print="0" autoFill="0" autoPict="0" macro="_xll.IBPXLClient.TechnicalCategory.ButtonActionInIBPClientFormattingSheet">
            <anchor moveWithCells="1">
              <from>
                <xdr:col>14</xdr:col>
                <xdr:colOff>714375</xdr:colOff>
                <xdr:row>73</xdr:row>
                <xdr:rowOff>0</xdr:rowOff>
              </from>
              <to>
                <xdr:col>15</xdr:col>
                <xdr:colOff>676275</xdr:colOff>
                <xdr:row>74</xdr:row>
                <xdr:rowOff>0</xdr:rowOff>
              </to>
            </anchor>
          </controlPr>
        </control>
      </mc:Choice>
    </mc:AlternateContent>
    <mc:AlternateContent xmlns:mc="http://schemas.openxmlformats.org/markup-compatibility/2006">
      <mc:Choice Requires="x14">
        <control shapeId="13615" r:id="rId204" name="AddedMember1_30">
          <controlPr defaultSize="0" print="0" autoFill="0" autoPict="0" macro="_xll.IBPXLClient.TechnicalCategory.ButtonActionInIBPClientFormattingSheet">
            <anchor moveWithCells="1">
              <from>
                <xdr:col>11</xdr:col>
                <xdr:colOff>2438400</xdr:colOff>
                <xdr:row>181</xdr:row>
                <xdr:rowOff>0</xdr:rowOff>
              </from>
              <to>
                <xdr:col>12</xdr:col>
                <xdr:colOff>676275</xdr:colOff>
                <xdr:row>182</xdr:row>
                <xdr:rowOff>0</xdr:rowOff>
              </to>
            </anchor>
          </controlPr>
        </control>
      </mc:Choice>
    </mc:AlternateContent>
    <mc:AlternateContent xmlns:mc="http://schemas.openxmlformats.org/markup-compatibility/2006">
      <mc:Choice Requires="x14">
        <control shapeId="13616" r:id="rId205" name="ChangeMember1_30">
          <controlPr defaultSize="0" print="0" autoFill="0" autoPict="0" macro="_xll.IBPXLClient.TechnicalCategory.ButtonActionInIBPClientFormattingSheet">
            <anchor moveWithCells="1">
              <from>
                <xdr:col>13</xdr:col>
                <xdr:colOff>0</xdr:colOff>
                <xdr:row>181</xdr:row>
                <xdr:rowOff>0</xdr:rowOff>
              </from>
              <to>
                <xdr:col>13</xdr:col>
                <xdr:colOff>685800</xdr:colOff>
                <xdr:row>182</xdr:row>
                <xdr:rowOff>0</xdr:rowOff>
              </to>
            </anchor>
          </controlPr>
        </control>
      </mc:Choice>
    </mc:AlternateContent>
    <mc:AlternateContent xmlns:mc="http://schemas.openxmlformats.org/markup-compatibility/2006">
      <mc:Choice Requires="x14">
        <control shapeId="13617" r:id="rId206" name="UpMember1_30">
          <controlPr defaultSize="0" print="0" autoFill="0" autoPict="0" macro="_xll.IBPXLClient.TechnicalCategory.ButtonActionInIBPClientFormattingSheet">
            <anchor moveWithCells="1">
              <from>
                <xdr:col>14</xdr:col>
                <xdr:colOff>0</xdr:colOff>
                <xdr:row>181</xdr:row>
                <xdr:rowOff>0</xdr:rowOff>
              </from>
              <to>
                <xdr:col>14</xdr:col>
                <xdr:colOff>685800</xdr:colOff>
                <xdr:row>182</xdr:row>
                <xdr:rowOff>0</xdr:rowOff>
              </to>
            </anchor>
          </controlPr>
        </control>
      </mc:Choice>
    </mc:AlternateContent>
    <mc:AlternateContent xmlns:mc="http://schemas.openxmlformats.org/markup-compatibility/2006">
      <mc:Choice Requires="x14">
        <control shapeId="13618" r:id="rId207" name="DownMember1_30">
          <controlPr defaultSize="0" print="0" autoFill="0" autoPict="0" macro="_xll.IBPXLClient.TechnicalCategory.ButtonActionInIBPClientFormattingSheet">
            <anchor moveWithCells="1">
              <from>
                <xdr:col>14</xdr:col>
                <xdr:colOff>714375</xdr:colOff>
                <xdr:row>181</xdr:row>
                <xdr:rowOff>0</xdr:rowOff>
              </from>
              <to>
                <xdr:col>15</xdr:col>
                <xdr:colOff>676275</xdr:colOff>
                <xdr:row>182</xdr:row>
                <xdr:rowOff>0</xdr:rowOff>
              </to>
            </anchor>
          </controlPr>
        </control>
      </mc:Choice>
    </mc:AlternateContent>
    <mc:AlternateContent xmlns:mc="http://schemas.openxmlformats.org/markup-compatibility/2006">
      <mc:Choice Requires="x14">
        <control shapeId="13620" r:id="rId208" name="AddedMember1_31">
          <controlPr defaultSize="0" print="0" autoFill="0" autoPict="0" macro="_xll.IBPXLClient.TechnicalCategory.ButtonActionInIBPClientFormattingSheet">
            <anchor moveWithCells="1">
              <from>
                <xdr:col>11</xdr:col>
                <xdr:colOff>2438400</xdr:colOff>
                <xdr:row>184</xdr:row>
                <xdr:rowOff>0</xdr:rowOff>
              </from>
              <to>
                <xdr:col>12</xdr:col>
                <xdr:colOff>676275</xdr:colOff>
                <xdr:row>185</xdr:row>
                <xdr:rowOff>28575</xdr:rowOff>
              </to>
            </anchor>
          </controlPr>
        </control>
      </mc:Choice>
    </mc:AlternateContent>
    <mc:AlternateContent xmlns:mc="http://schemas.openxmlformats.org/markup-compatibility/2006">
      <mc:Choice Requires="x14">
        <control shapeId="13621" r:id="rId209" name="ChangeMember1_31">
          <controlPr defaultSize="0" print="0" autoFill="0" autoPict="0" macro="_xll.IBPXLClient.TechnicalCategory.ButtonActionInIBPClientFormattingSheet">
            <anchor moveWithCells="1">
              <from>
                <xdr:col>13</xdr:col>
                <xdr:colOff>0</xdr:colOff>
                <xdr:row>184</xdr:row>
                <xdr:rowOff>0</xdr:rowOff>
              </from>
              <to>
                <xdr:col>13</xdr:col>
                <xdr:colOff>685800</xdr:colOff>
                <xdr:row>185</xdr:row>
                <xdr:rowOff>28575</xdr:rowOff>
              </to>
            </anchor>
          </controlPr>
        </control>
      </mc:Choice>
    </mc:AlternateContent>
    <mc:AlternateContent xmlns:mc="http://schemas.openxmlformats.org/markup-compatibility/2006">
      <mc:Choice Requires="x14">
        <control shapeId="13622" r:id="rId210" name="UpMember1_31">
          <controlPr defaultSize="0" print="0" autoFill="0" autoPict="0" macro="_xll.IBPXLClient.TechnicalCategory.ButtonActionInIBPClientFormattingSheet">
            <anchor moveWithCells="1">
              <from>
                <xdr:col>14</xdr:col>
                <xdr:colOff>0</xdr:colOff>
                <xdr:row>184</xdr:row>
                <xdr:rowOff>0</xdr:rowOff>
              </from>
              <to>
                <xdr:col>14</xdr:col>
                <xdr:colOff>685800</xdr:colOff>
                <xdr:row>185</xdr:row>
                <xdr:rowOff>28575</xdr:rowOff>
              </to>
            </anchor>
          </controlPr>
        </control>
      </mc:Choice>
    </mc:AlternateContent>
    <mc:AlternateContent xmlns:mc="http://schemas.openxmlformats.org/markup-compatibility/2006">
      <mc:Choice Requires="x14">
        <control shapeId="13623" r:id="rId211" name="DownMember1_31">
          <controlPr defaultSize="0" print="0" autoFill="0" autoPict="0" macro="_xll.IBPXLClient.TechnicalCategory.ButtonActionInIBPClientFormattingSheet">
            <anchor moveWithCells="1">
              <from>
                <xdr:col>14</xdr:col>
                <xdr:colOff>714375</xdr:colOff>
                <xdr:row>184</xdr:row>
                <xdr:rowOff>0</xdr:rowOff>
              </from>
              <to>
                <xdr:col>15</xdr:col>
                <xdr:colOff>676275</xdr:colOff>
                <xdr:row>185</xdr:row>
                <xdr:rowOff>28575</xdr:rowOff>
              </to>
            </anchor>
          </controlPr>
        </control>
      </mc:Choice>
    </mc:AlternateContent>
    <mc:AlternateContent xmlns:mc="http://schemas.openxmlformats.org/markup-compatibility/2006">
      <mc:Choice Requires="x14">
        <control shapeId="13625" r:id="rId212" name="AddedMember1_32">
          <controlPr defaultSize="0" print="0" autoFill="0" autoPict="0" macro="_xll.IBPXLClient.TechnicalCategory.ButtonActionInIBPClientFormattingSheet">
            <anchor moveWithCells="1">
              <from>
                <xdr:col>11</xdr:col>
                <xdr:colOff>2438400</xdr:colOff>
                <xdr:row>186</xdr:row>
                <xdr:rowOff>66675</xdr:rowOff>
              </from>
              <to>
                <xdr:col>12</xdr:col>
                <xdr:colOff>676275</xdr:colOff>
                <xdr:row>188</xdr:row>
                <xdr:rowOff>0</xdr:rowOff>
              </to>
            </anchor>
          </controlPr>
        </control>
      </mc:Choice>
    </mc:AlternateContent>
    <mc:AlternateContent xmlns:mc="http://schemas.openxmlformats.org/markup-compatibility/2006">
      <mc:Choice Requires="x14">
        <control shapeId="13626" r:id="rId213" name="ChangeMember1_32">
          <controlPr defaultSize="0" print="0" autoFill="0" autoPict="0" macro="_xll.IBPXLClient.TechnicalCategory.ButtonActionInIBPClientFormattingSheet">
            <anchor moveWithCells="1">
              <from>
                <xdr:col>13</xdr:col>
                <xdr:colOff>0</xdr:colOff>
                <xdr:row>186</xdr:row>
                <xdr:rowOff>66675</xdr:rowOff>
              </from>
              <to>
                <xdr:col>13</xdr:col>
                <xdr:colOff>685800</xdr:colOff>
                <xdr:row>188</xdr:row>
                <xdr:rowOff>0</xdr:rowOff>
              </to>
            </anchor>
          </controlPr>
        </control>
      </mc:Choice>
    </mc:AlternateContent>
    <mc:AlternateContent xmlns:mc="http://schemas.openxmlformats.org/markup-compatibility/2006">
      <mc:Choice Requires="x14">
        <control shapeId="13627" r:id="rId214" name="UpMember1_32">
          <controlPr defaultSize="0" print="0" autoFill="0" autoPict="0" macro="_xll.IBPXLClient.TechnicalCategory.ButtonActionInIBPClientFormattingSheet">
            <anchor moveWithCells="1">
              <from>
                <xdr:col>14</xdr:col>
                <xdr:colOff>0</xdr:colOff>
                <xdr:row>186</xdr:row>
                <xdr:rowOff>66675</xdr:rowOff>
              </from>
              <to>
                <xdr:col>14</xdr:col>
                <xdr:colOff>685800</xdr:colOff>
                <xdr:row>188</xdr:row>
                <xdr:rowOff>0</xdr:rowOff>
              </to>
            </anchor>
          </controlPr>
        </control>
      </mc:Choice>
    </mc:AlternateContent>
    <mc:AlternateContent xmlns:mc="http://schemas.openxmlformats.org/markup-compatibility/2006">
      <mc:Choice Requires="x14">
        <control shapeId="13628" r:id="rId215" name="DownMember1_32">
          <controlPr defaultSize="0" print="0" autoFill="0" autoPict="0" macro="_xll.IBPXLClient.TechnicalCategory.ButtonActionInIBPClientFormattingSheet">
            <anchor moveWithCells="1">
              <from>
                <xdr:col>14</xdr:col>
                <xdr:colOff>714375</xdr:colOff>
                <xdr:row>186</xdr:row>
                <xdr:rowOff>66675</xdr:rowOff>
              </from>
              <to>
                <xdr:col>15</xdr:col>
                <xdr:colOff>676275</xdr:colOff>
                <xdr:row>188</xdr:row>
                <xdr:rowOff>0</xdr:rowOff>
              </to>
            </anchor>
          </controlPr>
        </control>
      </mc:Choice>
    </mc:AlternateContent>
    <mc:AlternateContent xmlns:mc="http://schemas.openxmlformats.org/markup-compatibility/2006">
      <mc:Choice Requires="x14">
        <control shapeId="13630" r:id="rId216" name="AddedMember1_33">
          <controlPr defaultSize="0" print="0" autoFill="0" autoPict="0" macro="_xll.IBPXLClient.TechnicalCategory.ButtonActionInIBPClientFormattingSheet">
            <anchor moveWithCells="1">
              <from>
                <xdr:col>11</xdr:col>
                <xdr:colOff>2438400</xdr:colOff>
                <xdr:row>190</xdr:row>
                <xdr:rowOff>0</xdr:rowOff>
              </from>
              <to>
                <xdr:col>12</xdr:col>
                <xdr:colOff>676275</xdr:colOff>
                <xdr:row>191</xdr:row>
                <xdr:rowOff>0</xdr:rowOff>
              </to>
            </anchor>
          </controlPr>
        </control>
      </mc:Choice>
    </mc:AlternateContent>
    <mc:AlternateContent xmlns:mc="http://schemas.openxmlformats.org/markup-compatibility/2006">
      <mc:Choice Requires="x14">
        <control shapeId="13631" r:id="rId217" name="ChangeMember1_33">
          <controlPr defaultSize="0" print="0" autoFill="0" autoPict="0" macro="_xll.IBPXLClient.TechnicalCategory.ButtonActionInIBPClientFormattingSheet">
            <anchor moveWithCells="1">
              <from>
                <xdr:col>13</xdr:col>
                <xdr:colOff>0</xdr:colOff>
                <xdr:row>190</xdr:row>
                <xdr:rowOff>0</xdr:rowOff>
              </from>
              <to>
                <xdr:col>13</xdr:col>
                <xdr:colOff>685800</xdr:colOff>
                <xdr:row>191</xdr:row>
                <xdr:rowOff>0</xdr:rowOff>
              </to>
            </anchor>
          </controlPr>
        </control>
      </mc:Choice>
    </mc:AlternateContent>
    <mc:AlternateContent xmlns:mc="http://schemas.openxmlformats.org/markup-compatibility/2006">
      <mc:Choice Requires="x14">
        <control shapeId="13632" r:id="rId218" name="UpMember1_33">
          <controlPr defaultSize="0" print="0" autoFill="0" autoPict="0" macro="_xll.IBPXLClient.TechnicalCategory.ButtonActionInIBPClientFormattingSheet">
            <anchor moveWithCells="1">
              <from>
                <xdr:col>14</xdr:col>
                <xdr:colOff>0</xdr:colOff>
                <xdr:row>190</xdr:row>
                <xdr:rowOff>0</xdr:rowOff>
              </from>
              <to>
                <xdr:col>14</xdr:col>
                <xdr:colOff>685800</xdr:colOff>
                <xdr:row>191</xdr:row>
                <xdr:rowOff>0</xdr:rowOff>
              </to>
            </anchor>
          </controlPr>
        </control>
      </mc:Choice>
    </mc:AlternateContent>
    <mc:AlternateContent xmlns:mc="http://schemas.openxmlformats.org/markup-compatibility/2006">
      <mc:Choice Requires="x14">
        <control shapeId="13633" r:id="rId219" name="DownMember1_33">
          <controlPr defaultSize="0" print="0" autoFill="0" autoPict="0" macro="_xll.IBPXLClient.TechnicalCategory.ButtonActionInIBPClientFormattingSheet">
            <anchor moveWithCells="1">
              <from>
                <xdr:col>14</xdr:col>
                <xdr:colOff>714375</xdr:colOff>
                <xdr:row>190</xdr:row>
                <xdr:rowOff>0</xdr:rowOff>
              </from>
              <to>
                <xdr:col>15</xdr:col>
                <xdr:colOff>676275</xdr:colOff>
                <xdr:row>191</xdr:row>
                <xdr:rowOff>0</xdr:rowOff>
              </to>
            </anchor>
          </controlPr>
        </control>
      </mc:Choice>
    </mc:AlternateContent>
    <mc:AlternateContent xmlns:mc="http://schemas.openxmlformats.org/markup-compatibility/2006">
      <mc:Choice Requires="x14">
        <control shapeId="13635" r:id="rId220" name="AddedMember1_34">
          <controlPr defaultSize="0" print="0" autoFill="0" autoPict="0" macro="_xll.IBPXLClient.TechnicalCategory.ButtonActionInIBPClientFormattingSheet">
            <anchor moveWithCells="1">
              <from>
                <xdr:col>11</xdr:col>
                <xdr:colOff>2438400</xdr:colOff>
                <xdr:row>193</xdr:row>
                <xdr:rowOff>0</xdr:rowOff>
              </from>
              <to>
                <xdr:col>12</xdr:col>
                <xdr:colOff>676275</xdr:colOff>
                <xdr:row>194</xdr:row>
                <xdr:rowOff>0</xdr:rowOff>
              </to>
            </anchor>
          </controlPr>
        </control>
      </mc:Choice>
    </mc:AlternateContent>
    <mc:AlternateContent xmlns:mc="http://schemas.openxmlformats.org/markup-compatibility/2006">
      <mc:Choice Requires="x14">
        <control shapeId="13636" r:id="rId221" name="ChangeMember1_34">
          <controlPr defaultSize="0" print="0" autoFill="0" autoPict="0" macro="_xll.IBPXLClient.TechnicalCategory.ButtonActionInIBPClientFormattingSheet">
            <anchor moveWithCells="1">
              <from>
                <xdr:col>13</xdr:col>
                <xdr:colOff>0</xdr:colOff>
                <xdr:row>193</xdr:row>
                <xdr:rowOff>0</xdr:rowOff>
              </from>
              <to>
                <xdr:col>13</xdr:col>
                <xdr:colOff>685800</xdr:colOff>
                <xdr:row>194</xdr:row>
                <xdr:rowOff>0</xdr:rowOff>
              </to>
            </anchor>
          </controlPr>
        </control>
      </mc:Choice>
    </mc:AlternateContent>
    <mc:AlternateContent xmlns:mc="http://schemas.openxmlformats.org/markup-compatibility/2006">
      <mc:Choice Requires="x14">
        <control shapeId="13637" r:id="rId222" name="UpMember1_34">
          <controlPr defaultSize="0" print="0" autoFill="0" autoPict="0" macro="_xll.IBPXLClient.TechnicalCategory.ButtonActionInIBPClientFormattingSheet">
            <anchor moveWithCells="1">
              <from>
                <xdr:col>14</xdr:col>
                <xdr:colOff>0</xdr:colOff>
                <xdr:row>193</xdr:row>
                <xdr:rowOff>0</xdr:rowOff>
              </from>
              <to>
                <xdr:col>14</xdr:col>
                <xdr:colOff>685800</xdr:colOff>
                <xdr:row>194</xdr:row>
                <xdr:rowOff>0</xdr:rowOff>
              </to>
            </anchor>
          </controlPr>
        </control>
      </mc:Choice>
    </mc:AlternateContent>
    <mc:AlternateContent xmlns:mc="http://schemas.openxmlformats.org/markup-compatibility/2006">
      <mc:Choice Requires="x14">
        <control shapeId="13638" r:id="rId223" name="DownMember1_34">
          <controlPr defaultSize="0" print="0" autoFill="0" autoPict="0" macro="_xll.IBPXLClient.TechnicalCategory.ButtonActionInIBPClientFormattingSheet">
            <anchor moveWithCells="1">
              <from>
                <xdr:col>14</xdr:col>
                <xdr:colOff>714375</xdr:colOff>
                <xdr:row>193</xdr:row>
                <xdr:rowOff>0</xdr:rowOff>
              </from>
              <to>
                <xdr:col>15</xdr:col>
                <xdr:colOff>676275</xdr:colOff>
                <xdr:row>194</xdr:row>
                <xdr:rowOff>0</xdr:rowOff>
              </to>
            </anchor>
          </controlPr>
        </control>
      </mc:Choice>
    </mc:AlternateContent>
    <mc:AlternateContent xmlns:mc="http://schemas.openxmlformats.org/markup-compatibility/2006">
      <mc:Choice Requires="x14">
        <control shapeId="13645" r:id="rId224" name="AddedMember1_35">
          <controlPr defaultSize="0" print="0" autoFill="0" autoPict="0" macro="_xll.IBPXLClient.TechnicalCategory.ButtonActionInIBPClientFormattingSheet">
            <anchor moveWithCells="1">
              <from>
                <xdr:col>11</xdr:col>
                <xdr:colOff>2438400</xdr:colOff>
                <xdr:row>195</xdr:row>
                <xdr:rowOff>66675</xdr:rowOff>
              </from>
              <to>
                <xdr:col>12</xdr:col>
                <xdr:colOff>676275</xdr:colOff>
                <xdr:row>197</xdr:row>
                <xdr:rowOff>0</xdr:rowOff>
              </to>
            </anchor>
          </controlPr>
        </control>
      </mc:Choice>
    </mc:AlternateContent>
    <mc:AlternateContent xmlns:mc="http://schemas.openxmlformats.org/markup-compatibility/2006">
      <mc:Choice Requires="x14">
        <control shapeId="13646" r:id="rId225" name="ChangeMember1_35">
          <controlPr defaultSize="0" print="0" autoFill="0" autoPict="0" macro="_xll.IBPXLClient.TechnicalCategory.ButtonActionInIBPClientFormattingSheet">
            <anchor moveWithCells="1">
              <from>
                <xdr:col>13</xdr:col>
                <xdr:colOff>0</xdr:colOff>
                <xdr:row>195</xdr:row>
                <xdr:rowOff>66675</xdr:rowOff>
              </from>
              <to>
                <xdr:col>13</xdr:col>
                <xdr:colOff>685800</xdr:colOff>
                <xdr:row>197</xdr:row>
                <xdr:rowOff>0</xdr:rowOff>
              </to>
            </anchor>
          </controlPr>
        </control>
      </mc:Choice>
    </mc:AlternateContent>
    <mc:AlternateContent xmlns:mc="http://schemas.openxmlformats.org/markup-compatibility/2006">
      <mc:Choice Requires="x14">
        <control shapeId="13647" r:id="rId226" name="UpMember1_35">
          <controlPr defaultSize="0" print="0" autoFill="0" autoPict="0" macro="_xll.IBPXLClient.TechnicalCategory.ButtonActionInIBPClientFormattingSheet">
            <anchor moveWithCells="1">
              <from>
                <xdr:col>14</xdr:col>
                <xdr:colOff>0</xdr:colOff>
                <xdr:row>195</xdr:row>
                <xdr:rowOff>66675</xdr:rowOff>
              </from>
              <to>
                <xdr:col>14</xdr:col>
                <xdr:colOff>685800</xdr:colOff>
                <xdr:row>197</xdr:row>
                <xdr:rowOff>0</xdr:rowOff>
              </to>
            </anchor>
          </controlPr>
        </control>
      </mc:Choice>
    </mc:AlternateContent>
    <mc:AlternateContent xmlns:mc="http://schemas.openxmlformats.org/markup-compatibility/2006">
      <mc:Choice Requires="x14">
        <control shapeId="13648" r:id="rId227" name="DownMember1_35">
          <controlPr defaultSize="0" print="0" autoFill="0" autoPict="0" macro="_xll.IBPXLClient.TechnicalCategory.ButtonActionInIBPClientFormattingSheet">
            <anchor moveWithCells="1">
              <from>
                <xdr:col>14</xdr:col>
                <xdr:colOff>714375</xdr:colOff>
                <xdr:row>195</xdr:row>
                <xdr:rowOff>66675</xdr:rowOff>
              </from>
              <to>
                <xdr:col>15</xdr:col>
                <xdr:colOff>676275</xdr:colOff>
                <xdr:row>197</xdr:row>
                <xdr:rowOff>0</xdr:rowOff>
              </to>
            </anchor>
          </controlPr>
        </control>
      </mc:Choice>
    </mc:AlternateContent>
    <mc:AlternateContent xmlns:mc="http://schemas.openxmlformats.org/markup-compatibility/2006">
      <mc:Choice Requires="x14">
        <control shapeId="13669" r:id="rId228" name="AddedMember1_36">
          <controlPr defaultSize="0" print="0" autoFill="0" autoPict="0" macro="_xll.IBPXLClient.TechnicalCategory.ButtonActionInIBPClientFormattingSheet">
            <anchor moveWithCells="1">
              <from>
                <xdr:col>11</xdr:col>
                <xdr:colOff>2438400</xdr:colOff>
                <xdr:row>198</xdr:row>
                <xdr:rowOff>66675</xdr:rowOff>
              </from>
              <to>
                <xdr:col>12</xdr:col>
                <xdr:colOff>676275</xdr:colOff>
                <xdr:row>200</xdr:row>
                <xdr:rowOff>0</xdr:rowOff>
              </to>
            </anchor>
          </controlPr>
        </control>
      </mc:Choice>
    </mc:AlternateContent>
    <mc:AlternateContent xmlns:mc="http://schemas.openxmlformats.org/markup-compatibility/2006">
      <mc:Choice Requires="x14">
        <control shapeId="13670" r:id="rId229" name="ChangeMember1_36">
          <controlPr defaultSize="0" print="0" autoFill="0" autoPict="0" macro="_xll.IBPXLClient.TechnicalCategory.ButtonActionInIBPClientFormattingSheet">
            <anchor moveWithCells="1">
              <from>
                <xdr:col>13</xdr:col>
                <xdr:colOff>0</xdr:colOff>
                <xdr:row>198</xdr:row>
                <xdr:rowOff>66675</xdr:rowOff>
              </from>
              <to>
                <xdr:col>13</xdr:col>
                <xdr:colOff>685800</xdr:colOff>
                <xdr:row>200</xdr:row>
                <xdr:rowOff>0</xdr:rowOff>
              </to>
            </anchor>
          </controlPr>
        </control>
      </mc:Choice>
    </mc:AlternateContent>
    <mc:AlternateContent xmlns:mc="http://schemas.openxmlformats.org/markup-compatibility/2006">
      <mc:Choice Requires="x14">
        <control shapeId="13671" r:id="rId230" name="UpMember1_36">
          <controlPr defaultSize="0" print="0" autoFill="0" autoPict="0" macro="_xll.IBPXLClient.TechnicalCategory.ButtonActionInIBPClientFormattingSheet">
            <anchor moveWithCells="1">
              <from>
                <xdr:col>14</xdr:col>
                <xdr:colOff>0</xdr:colOff>
                <xdr:row>198</xdr:row>
                <xdr:rowOff>66675</xdr:rowOff>
              </from>
              <to>
                <xdr:col>14</xdr:col>
                <xdr:colOff>685800</xdr:colOff>
                <xdr:row>200</xdr:row>
                <xdr:rowOff>0</xdr:rowOff>
              </to>
            </anchor>
          </controlPr>
        </control>
      </mc:Choice>
    </mc:AlternateContent>
    <mc:AlternateContent xmlns:mc="http://schemas.openxmlformats.org/markup-compatibility/2006">
      <mc:Choice Requires="x14">
        <control shapeId="13672" r:id="rId231" name="DownMember1_36">
          <controlPr defaultSize="0" print="0" autoFill="0" autoPict="0" macro="_xll.IBPXLClient.TechnicalCategory.ButtonActionInIBPClientFormattingSheet">
            <anchor moveWithCells="1">
              <from>
                <xdr:col>14</xdr:col>
                <xdr:colOff>714375</xdr:colOff>
                <xdr:row>198</xdr:row>
                <xdr:rowOff>66675</xdr:rowOff>
              </from>
              <to>
                <xdr:col>15</xdr:col>
                <xdr:colOff>676275</xdr:colOff>
                <xdr:row>200</xdr:row>
                <xdr:rowOff>0</xdr:rowOff>
              </to>
            </anchor>
          </controlPr>
        </control>
      </mc:Choice>
    </mc:AlternateContent>
    <mc:AlternateContent xmlns:mc="http://schemas.openxmlformats.org/markup-compatibility/2006">
      <mc:Choice Requires="x14">
        <control shapeId="13674" r:id="rId232" name="AddedMember1_37">
          <controlPr defaultSize="0" print="0" autoFill="0" autoPict="0" macro="_xll.IBPXLClient.TechnicalCategory.ButtonActionInIBPClientFormattingSheet">
            <anchor moveWithCells="1" sizeWithCells="1">
              <from>
                <xdr:col>11</xdr:col>
                <xdr:colOff>2438400</xdr:colOff>
                <xdr:row>202</xdr:row>
                <xdr:rowOff>0</xdr:rowOff>
              </from>
              <to>
                <xdr:col>12</xdr:col>
                <xdr:colOff>676275</xdr:colOff>
                <xdr:row>203</xdr:row>
                <xdr:rowOff>0</xdr:rowOff>
              </to>
            </anchor>
          </controlPr>
        </control>
      </mc:Choice>
    </mc:AlternateContent>
    <mc:AlternateContent xmlns:mc="http://schemas.openxmlformats.org/markup-compatibility/2006">
      <mc:Choice Requires="x14">
        <control shapeId="13675" r:id="rId233" name="ChangeMember1_37">
          <controlPr defaultSize="0" print="0" autoFill="0" autoPict="0" macro="_xll.IBPXLClient.TechnicalCategory.ButtonActionInIBPClientFormattingSheet">
            <anchor moveWithCells="1" sizeWithCells="1">
              <from>
                <xdr:col>13</xdr:col>
                <xdr:colOff>0</xdr:colOff>
                <xdr:row>202</xdr:row>
                <xdr:rowOff>0</xdr:rowOff>
              </from>
              <to>
                <xdr:col>13</xdr:col>
                <xdr:colOff>685800</xdr:colOff>
                <xdr:row>203</xdr:row>
                <xdr:rowOff>0</xdr:rowOff>
              </to>
            </anchor>
          </controlPr>
        </control>
      </mc:Choice>
    </mc:AlternateContent>
    <mc:AlternateContent xmlns:mc="http://schemas.openxmlformats.org/markup-compatibility/2006">
      <mc:Choice Requires="x14">
        <control shapeId="13676" r:id="rId234" name="UpMember1_37">
          <controlPr defaultSize="0" print="0" autoFill="0" autoPict="0" macro="_xll.IBPXLClient.TechnicalCategory.ButtonActionInIBPClientFormattingSheet">
            <anchor moveWithCells="1" sizeWithCells="1">
              <from>
                <xdr:col>14</xdr:col>
                <xdr:colOff>0</xdr:colOff>
                <xdr:row>202</xdr:row>
                <xdr:rowOff>0</xdr:rowOff>
              </from>
              <to>
                <xdr:col>14</xdr:col>
                <xdr:colOff>685800</xdr:colOff>
                <xdr:row>203</xdr:row>
                <xdr:rowOff>0</xdr:rowOff>
              </to>
            </anchor>
          </controlPr>
        </control>
      </mc:Choice>
    </mc:AlternateContent>
    <mc:AlternateContent xmlns:mc="http://schemas.openxmlformats.org/markup-compatibility/2006">
      <mc:Choice Requires="x14">
        <control shapeId="13677" r:id="rId235" name="DownMember1_37">
          <controlPr defaultSize="0" print="0" autoFill="0" autoPict="0" macro="_xll.IBPXLClient.TechnicalCategory.ButtonActionInIBPClientFormattingSheet">
            <anchor moveWithCells="1" sizeWithCells="1">
              <from>
                <xdr:col>14</xdr:col>
                <xdr:colOff>714375</xdr:colOff>
                <xdr:row>202</xdr:row>
                <xdr:rowOff>0</xdr:rowOff>
              </from>
              <to>
                <xdr:col>15</xdr:col>
                <xdr:colOff>676275</xdr:colOff>
                <xdr:row>203</xdr:row>
                <xdr:rowOff>0</xdr:rowOff>
              </to>
            </anchor>
          </controlPr>
        </control>
      </mc:Choice>
    </mc:AlternateContent>
    <mc:AlternateContent xmlns:mc="http://schemas.openxmlformats.org/markup-compatibility/2006">
      <mc:Choice Requires="x14">
        <control shapeId="13679" r:id="rId236" name="AddedMember1_38">
          <controlPr defaultSize="0" print="0" autoFill="0" autoPict="0" macro="_xll.IBPXLClient.TechnicalCategory.ButtonActionInIBPClientFormattingSheet">
            <anchor moveWithCells="1" sizeWithCells="1">
              <from>
                <xdr:col>11</xdr:col>
                <xdr:colOff>2438400</xdr:colOff>
                <xdr:row>205</xdr:row>
                <xdr:rowOff>0</xdr:rowOff>
              </from>
              <to>
                <xdr:col>12</xdr:col>
                <xdr:colOff>676275</xdr:colOff>
                <xdr:row>206</xdr:row>
                <xdr:rowOff>0</xdr:rowOff>
              </to>
            </anchor>
          </controlPr>
        </control>
      </mc:Choice>
    </mc:AlternateContent>
    <mc:AlternateContent xmlns:mc="http://schemas.openxmlformats.org/markup-compatibility/2006">
      <mc:Choice Requires="x14">
        <control shapeId="13680" r:id="rId237" name="ChangeMember1_38">
          <controlPr defaultSize="0" print="0" autoFill="0" autoPict="0" macro="_xll.IBPXLClient.TechnicalCategory.ButtonActionInIBPClientFormattingSheet">
            <anchor moveWithCells="1" sizeWithCells="1">
              <from>
                <xdr:col>13</xdr:col>
                <xdr:colOff>0</xdr:colOff>
                <xdr:row>205</xdr:row>
                <xdr:rowOff>0</xdr:rowOff>
              </from>
              <to>
                <xdr:col>13</xdr:col>
                <xdr:colOff>685800</xdr:colOff>
                <xdr:row>206</xdr:row>
                <xdr:rowOff>0</xdr:rowOff>
              </to>
            </anchor>
          </controlPr>
        </control>
      </mc:Choice>
    </mc:AlternateContent>
    <mc:AlternateContent xmlns:mc="http://schemas.openxmlformats.org/markup-compatibility/2006">
      <mc:Choice Requires="x14">
        <control shapeId="13681" r:id="rId238" name="UpMember1_38">
          <controlPr defaultSize="0" print="0" autoFill="0" autoPict="0" macro="_xll.IBPXLClient.TechnicalCategory.ButtonActionInIBPClientFormattingSheet">
            <anchor moveWithCells="1" sizeWithCells="1">
              <from>
                <xdr:col>14</xdr:col>
                <xdr:colOff>0</xdr:colOff>
                <xdr:row>205</xdr:row>
                <xdr:rowOff>0</xdr:rowOff>
              </from>
              <to>
                <xdr:col>14</xdr:col>
                <xdr:colOff>685800</xdr:colOff>
                <xdr:row>206</xdr:row>
                <xdr:rowOff>0</xdr:rowOff>
              </to>
            </anchor>
          </controlPr>
        </control>
      </mc:Choice>
    </mc:AlternateContent>
    <mc:AlternateContent xmlns:mc="http://schemas.openxmlformats.org/markup-compatibility/2006">
      <mc:Choice Requires="x14">
        <control shapeId="13682" r:id="rId239" name="DownMember1_38">
          <controlPr defaultSize="0" print="0" autoFill="0" autoPict="0" macro="_xll.IBPXLClient.TechnicalCategory.ButtonActionInIBPClientFormattingSheet">
            <anchor moveWithCells="1" sizeWithCells="1">
              <from>
                <xdr:col>14</xdr:col>
                <xdr:colOff>714375</xdr:colOff>
                <xdr:row>205</xdr:row>
                <xdr:rowOff>0</xdr:rowOff>
              </from>
              <to>
                <xdr:col>15</xdr:col>
                <xdr:colOff>676275</xdr:colOff>
                <xdr:row>206</xdr:row>
                <xdr:rowOff>0</xdr:rowOff>
              </to>
            </anchor>
          </controlPr>
        </control>
      </mc:Choice>
    </mc:AlternateContent>
    <mc:AlternateContent xmlns:mc="http://schemas.openxmlformats.org/markup-compatibility/2006">
      <mc:Choice Requires="x14">
        <control shapeId="13689" r:id="rId240" name="AddedMember1_39">
          <controlPr defaultSize="0" print="0" autoFill="0" autoPict="0" macro="_xll.IBPXLClient.TechnicalCategory.ButtonActionInIBPClientFormattingSheet">
            <anchor moveWithCells="1" sizeWithCells="1">
              <from>
                <xdr:col>12</xdr:col>
                <xdr:colOff>0</xdr:colOff>
                <xdr:row>207</xdr:row>
                <xdr:rowOff>66675</xdr:rowOff>
              </from>
              <to>
                <xdr:col>12</xdr:col>
                <xdr:colOff>714375</xdr:colOff>
                <xdr:row>208</xdr:row>
                <xdr:rowOff>180975</xdr:rowOff>
              </to>
            </anchor>
          </controlPr>
        </control>
      </mc:Choice>
    </mc:AlternateContent>
    <mc:AlternateContent xmlns:mc="http://schemas.openxmlformats.org/markup-compatibility/2006">
      <mc:Choice Requires="x14">
        <control shapeId="13690" r:id="rId241" name="ChangeMember1_39">
          <controlPr defaultSize="0" print="0" autoFill="0" autoPict="0" macro="_xll.IBPXLClient.TechnicalCategory.ButtonActionInIBPClientFormattingSheet">
            <anchor moveWithCells="1" sizeWithCells="1">
              <from>
                <xdr:col>13</xdr:col>
                <xdr:colOff>0</xdr:colOff>
                <xdr:row>207</xdr:row>
                <xdr:rowOff>66675</xdr:rowOff>
              </from>
              <to>
                <xdr:col>13</xdr:col>
                <xdr:colOff>714375</xdr:colOff>
                <xdr:row>208</xdr:row>
                <xdr:rowOff>180975</xdr:rowOff>
              </to>
            </anchor>
          </controlPr>
        </control>
      </mc:Choice>
    </mc:AlternateContent>
    <mc:AlternateContent xmlns:mc="http://schemas.openxmlformats.org/markup-compatibility/2006">
      <mc:Choice Requires="x14">
        <control shapeId="13691" r:id="rId242" name="UpMember1_39">
          <controlPr defaultSize="0" print="0" autoFill="0" autoPict="0" macro="_xll.IBPXLClient.TechnicalCategory.ButtonActionInIBPClientFormattingSheet">
            <anchor moveWithCells="1" sizeWithCells="1">
              <from>
                <xdr:col>13</xdr:col>
                <xdr:colOff>733425</xdr:colOff>
                <xdr:row>207</xdr:row>
                <xdr:rowOff>66675</xdr:rowOff>
              </from>
              <to>
                <xdr:col>14</xdr:col>
                <xdr:colOff>714375</xdr:colOff>
                <xdr:row>208</xdr:row>
                <xdr:rowOff>180975</xdr:rowOff>
              </to>
            </anchor>
          </controlPr>
        </control>
      </mc:Choice>
    </mc:AlternateContent>
    <mc:AlternateContent xmlns:mc="http://schemas.openxmlformats.org/markup-compatibility/2006">
      <mc:Choice Requires="x14">
        <control shapeId="13692" r:id="rId243" name="DownMember1_39">
          <controlPr defaultSize="0" print="0" autoFill="0" autoPict="0" macro="_xll.IBPXLClient.TechnicalCategory.ButtonActionInIBPClientFormattingSheet">
            <anchor moveWithCells="1" sizeWithCells="1">
              <from>
                <xdr:col>14</xdr:col>
                <xdr:colOff>733425</xdr:colOff>
                <xdr:row>207</xdr:row>
                <xdr:rowOff>66675</xdr:rowOff>
              </from>
              <to>
                <xdr:col>15</xdr:col>
                <xdr:colOff>714375</xdr:colOff>
                <xdr:row>208</xdr:row>
                <xdr:rowOff>180975</xdr:rowOff>
              </to>
            </anchor>
          </controlPr>
        </control>
      </mc:Choice>
    </mc:AlternateContent>
    <mc:AlternateContent xmlns:mc="http://schemas.openxmlformats.org/markup-compatibility/2006">
      <mc:Choice Requires="x14">
        <control shapeId="13694" r:id="rId244" name="AddedMember1_40">
          <controlPr defaultSize="0" print="0" autoFill="0" autoPict="0" macro="_xll.IBPXLClient.TechnicalCategory.ButtonActionInIBPClientFormattingSheet">
            <anchor moveWithCells="1" sizeWithCells="1">
              <from>
                <xdr:col>12</xdr:col>
                <xdr:colOff>0</xdr:colOff>
                <xdr:row>210</xdr:row>
                <xdr:rowOff>66675</xdr:rowOff>
              </from>
              <to>
                <xdr:col>12</xdr:col>
                <xdr:colOff>714375</xdr:colOff>
                <xdr:row>211</xdr:row>
                <xdr:rowOff>180975</xdr:rowOff>
              </to>
            </anchor>
          </controlPr>
        </control>
      </mc:Choice>
    </mc:AlternateContent>
    <mc:AlternateContent xmlns:mc="http://schemas.openxmlformats.org/markup-compatibility/2006">
      <mc:Choice Requires="x14">
        <control shapeId="13695" r:id="rId245" name="ChangeMember1_40">
          <controlPr defaultSize="0" print="0" autoFill="0" autoPict="0" macro="_xll.IBPXLClient.TechnicalCategory.ButtonActionInIBPClientFormattingSheet">
            <anchor moveWithCells="1" sizeWithCells="1">
              <from>
                <xdr:col>13</xdr:col>
                <xdr:colOff>0</xdr:colOff>
                <xdr:row>210</xdr:row>
                <xdr:rowOff>66675</xdr:rowOff>
              </from>
              <to>
                <xdr:col>13</xdr:col>
                <xdr:colOff>714375</xdr:colOff>
                <xdr:row>211</xdr:row>
                <xdr:rowOff>180975</xdr:rowOff>
              </to>
            </anchor>
          </controlPr>
        </control>
      </mc:Choice>
    </mc:AlternateContent>
    <mc:AlternateContent xmlns:mc="http://schemas.openxmlformats.org/markup-compatibility/2006">
      <mc:Choice Requires="x14">
        <control shapeId="13696" r:id="rId246" name="UpMember1_40">
          <controlPr defaultSize="0" print="0" autoFill="0" autoPict="0" macro="_xll.IBPXLClient.TechnicalCategory.ButtonActionInIBPClientFormattingSheet">
            <anchor moveWithCells="1" sizeWithCells="1">
              <from>
                <xdr:col>13</xdr:col>
                <xdr:colOff>733425</xdr:colOff>
                <xdr:row>210</xdr:row>
                <xdr:rowOff>66675</xdr:rowOff>
              </from>
              <to>
                <xdr:col>14</xdr:col>
                <xdr:colOff>714375</xdr:colOff>
                <xdr:row>211</xdr:row>
                <xdr:rowOff>180975</xdr:rowOff>
              </to>
            </anchor>
          </controlPr>
        </control>
      </mc:Choice>
    </mc:AlternateContent>
    <mc:AlternateContent xmlns:mc="http://schemas.openxmlformats.org/markup-compatibility/2006">
      <mc:Choice Requires="x14">
        <control shapeId="13697" r:id="rId247" name="DownMember1_40">
          <controlPr defaultSize="0" print="0" autoFill="0" autoPict="0" macro="_xll.IBPXLClient.TechnicalCategory.ButtonActionInIBPClientFormattingSheet">
            <anchor moveWithCells="1" sizeWithCells="1">
              <from>
                <xdr:col>14</xdr:col>
                <xdr:colOff>733425</xdr:colOff>
                <xdr:row>210</xdr:row>
                <xdr:rowOff>66675</xdr:rowOff>
              </from>
              <to>
                <xdr:col>15</xdr:col>
                <xdr:colOff>714375</xdr:colOff>
                <xdr:row>211</xdr:row>
                <xdr:rowOff>180975</xdr:rowOff>
              </to>
            </anchor>
          </controlPr>
        </control>
      </mc:Choice>
    </mc:AlternateContent>
    <mc:AlternateContent xmlns:mc="http://schemas.openxmlformats.org/markup-compatibility/2006">
      <mc:Choice Requires="x14">
        <control shapeId="13751" r:id="rId248" name="AddedMember1_41">
          <controlPr defaultSize="0" print="0" autoFill="0" autoPict="0" macro="_xll.IBPXLClient.TechnicalCategory.ButtonActionInIBPClientFormattingSheet">
            <anchor moveWithCells="1" sizeWithCells="1">
              <from>
                <xdr:col>12</xdr:col>
                <xdr:colOff>0</xdr:colOff>
                <xdr:row>214</xdr:row>
                <xdr:rowOff>0</xdr:rowOff>
              </from>
              <to>
                <xdr:col>12</xdr:col>
                <xdr:colOff>695325</xdr:colOff>
                <xdr:row>215</xdr:row>
                <xdr:rowOff>0</xdr:rowOff>
              </to>
            </anchor>
          </controlPr>
        </control>
      </mc:Choice>
    </mc:AlternateContent>
    <mc:AlternateContent xmlns:mc="http://schemas.openxmlformats.org/markup-compatibility/2006">
      <mc:Choice Requires="x14">
        <control shapeId="13752" r:id="rId249" name="ChangeMember1_41">
          <controlPr defaultSize="0" print="0" autoFill="0" autoPict="0" macro="_xll.IBPXLClient.TechnicalCategory.ButtonActionInIBPClientFormattingSheet">
            <anchor moveWithCells="1" sizeWithCells="1">
              <from>
                <xdr:col>13</xdr:col>
                <xdr:colOff>0</xdr:colOff>
                <xdr:row>214</xdr:row>
                <xdr:rowOff>0</xdr:rowOff>
              </from>
              <to>
                <xdr:col>13</xdr:col>
                <xdr:colOff>695325</xdr:colOff>
                <xdr:row>215</xdr:row>
                <xdr:rowOff>0</xdr:rowOff>
              </to>
            </anchor>
          </controlPr>
        </control>
      </mc:Choice>
    </mc:AlternateContent>
    <mc:AlternateContent xmlns:mc="http://schemas.openxmlformats.org/markup-compatibility/2006">
      <mc:Choice Requires="x14">
        <control shapeId="13753" r:id="rId250" name="UpMember1_41">
          <controlPr defaultSize="0" print="0" autoFill="0" autoPict="0" macro="_xll.IBPXLClient.TechnicalCategory.ButtonActionInIBPClientFormattingSheet">
            <anchor moveWithCells="1" sizeWithCells="1">
              <from>
                <xdr:col>14</xdr:col>
                <xdr:colOff>0</xdr:colOff>
                <xdr:row>214</xdr:row>
                <xdr:rowOff>0</xdr:rowOff>
              </from>
              <to>
                <xdr:col>14</xdr:col>
                <xdr:colOff>695325</xdr:colOff>
                <xdr:row>215</xdr:row>
                <xdr:rowOff>0</xdr:rowOff>
              </to>
            </anchor>
          </controlPr>
        </control>
      </mc:Choice>
    </mc:AlternateContent>
    <mc:AlternateContent xmlns:mc="http://schemas.openxmlformats.org/markup-compatibility/2006">
      <mc:Choice Requires="x14">
        <control shapeId="13754" r:id="rId251" name="DownMember1_41">
          <controlPr defaultSize="0" print="0" autoFill="0" autoPict="0" macro="_xll.IBPXLClient.TechnicalCategory.ButtonActionInIBPClientFormattingSheet">
            <anchor moveWithCells="1" sizeWithCells="1">
              <from>
                <xdr:col>15</xdr:col>
                <xdr:colOff>0</xdr:colOff>
                <xdr:row>214</xdr:row>
                <xdr:rowOff>0</xdr:rowOff>
              </from>
              <to>
                <xdr:col>15</xdr:col>
                <xdr:colOff>695325</xdr:colOff>
                <xdr:row>215</xdr:row>
                <xdr:rowOff>0</xdr:rowOff>
              </to>
            </anchor>
          </controlPr>
        </control>
      </mc:Choice>
    </mc:AlternateContent>
    <mc:AlternateContent xmlns:mc="http://schemas.openxmlformats.org/markup-compatibility/2006">
      <mc:Choice Requires="x14">
        <control shapeId="13756" r:id="rId252" name="AddedMember1_42">
          <controlPr defaultSize="0" print="0" autoFill="0" autoPict="0" macro="_xll.IBPXLClient.TechnicalCategory.ButtonActionInIBPClientFormattingSheet">
            <anchor moveWithCells="1" sizeWithCells="1">
              <from>
                <xdr:col>12</xdr:col>
                <xdr:colOff>0</xdr:colOff>
                <xdr:row>217</xdr:row>
                <xdr:rowOff>0</xdr:rowOff>
              </from>
              <to>
                <xdr:col>12</xdr:col>
                <xdr:colOff>695325</xdr:colOff>
                <xdr:row>218</xdr:row>
                <xdr:rowOff>0</xdr:rowOff>
              </to>
            </anchor>
          </controlPr>
        </control>
      </mc:Choice>
    </mc:AlternateContent>
    <mc:AlternateContent xmlns:mc="http://schemas.openxmlformats.org/markup-compatibility/2006">
      <mc:Choice Requires="x14">
        <control shapeId="13757" r:id="rId253" name="ChangeMember1_42">
          <controlPr defaultSize="0" print="0" autoFill="0" autoPict="0" macro="_xll.IBPXLClient.TechnicalCategory.ButtonActionInIBPClientFormattingSheet">
            <anchor moveWithCells="1" sizeWithCells="1">
              <from>
                <xdr:col>13</xdr:col>
                <xdr:colOff>0</xdr:colOff>
                <xdr:row>217</xdr:row>
                <xdr:rowOff>0</xdr:rowOff>
              </from>
              <to>
                <xdr:col>13</xdr:col>
                <xdr:colOff>695325</xdr:colOff>
                <xdr:row>218</xdr:row>
                <xdr:rowOff>0</xdr:rowOff>
              </to>
            </anchor>
          </controlPr>
        </control>
      </mc:Choice>
    </mc:AlternateContent>
    <mc:AlternateContent xmlns:mc="http://schemas.openxmlformats.org/markup-compatibility/2006">
      <mc:Choice Requires="x14">
        <control shapeId="13758" r:id="rId254" name="UpMember1_42">
          <controlPr defaultSize="0" print="0" autoFill="0" autoPict="0" macro="_xll.IBPXLClient.TechnicalCategory.ButtonActionInIBPClientFormattingSheet">
            <anchor moveWithCells="1" sizeWithCells="1">
              <from>
                <xdr:col>14</xdr:col>
                <xdr:colOff>0</xdr:colOff>
                <xdr:row>217</xdr:row>
                <xdr:rowOff>0</xdr:rowOff>
              </from>
              <to>
                <xdr:col>14</xdr:col>
                <xdr:colOff>695325</xdr:colOff>
                <xdr:row>218</xdr:row>
                <xdr:rowOff>0</xdr:rowOff>
              </to>
            </anchor>
          </controlPr>
        </control>
      </mc:Choice>
    </mc:AlternateContent>
    <mc:AlternateContent xmlns:mc="http://schemas.openxmlformats.org/markup-compatibility/2006">
      <mc:Choice Requires="x14">
        <control shapeId="13759" r:id="rId255" name="DownMember1_42">
          <controlPr defaultSize="0" print="0" autoFill="0" autoPict="0" macro="_xll.IBPXLClient.TechnicalCategory.ButtonActionInIBPClientFormattingSheet">
            <anchor moveWithCells="1" sizeWithCells="1">
              <from>
                <xdr:col>15</xdr:col>
                <xdr:colOff>0</xdr:colOff>
                <xdr:row>217</xdr:row>
                <xdr:rowOff>0</xdr:rowOff>
              </from>
              <to>
                <xdr:col>15</xdr:col>
                <xdr:colOff>695325</xdr:colOff>
                <xdr:row>218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G117"/>
  <sheetViews>
    <sheetView showGridLines="0" zoomScale="80" zoomScaleNormal="80" workbookViewId="0">
      <pane xSplit="10" ySplit="5" topLeftCell="K6" activePane="bottomRight" state="frozen"/>
      <selection pane="topRight" activeCell="G1" sqref="G1"/>
      <selection pane="bottomLeft" activeCell="A6" sqref="A6"/>
      <selection pane="bottomRight" activeCell="K24" sqref="K24"/>
    </sheetView>
  </sheetViews>
  <sheetFormatPr defaultRowHeight="15" x14ac:dyDescent="0.25"/>
  <cols>
    <col min="1" max="4" width="1.42578125" bestFit="1" customWidth="1"/>
    <col min="5" max="6" width="1.42578125" customWidth="1"/>
    <col min="7" max="7" width="22.7109375" bestFit="1" customWidth="1"/>
    <col min="8" max="8" width="46.5703125" bestFit="1" customWidth="1"/>
    <col min="9" max="9" width="21.5703125" bestFit="1" customWidth="1"/>
    <col min="10" max="10" width="49.42578125" bestFit="1" customWidth="1"/>
    <col min="11" max="77" width="15.85546875" bestFit="1" customWidth="1"/>
    <col min="78" max="90" width="14" bestFit="1" customWidth="1"/>
  </cols>
  <sheetData>
    <row r="1" spans="1:137" s="65" customFormat="1" ht="28.5" customHeight="1" x14ac:dyDescent="0.25">
      <c r="A1" s="100"/>
      <c r="B1" s="100"/>
      <c r="C1" s="100"/>
      <c r="D1" s="100"/>
      <c r="E1" s="100"/>
      <c r="F1" s="100"/>
      <c r="G1" s="100"/>
      <c r="H1" s="142" t="s">
        <v>253</v>
      </c>
      <c r="I1" s="142"/>
      <c r="J1" s="142"/>
      <c r="K1" s="139" t="str">
        <f>" "&amp;IFERROR(IF(SOP_Favorite_Name&lt;&gt;" ",SOP_Favorite_Name,IF(SOP_Template_Name&lt;&gt;" ",SOP_Template_Name,"Ad Hoc Planning View")),"Offline")</f>
        <v xml:space="preserve"> DDMRP Project Data</v>
      </c>
      <c r="L1" s="139"/>
      <c r="M1" s="139"/>
      <c r="N1" s="139"/>
      <c r="O1" s="139"/>
      <c r="P1" s="139"/>
      <c r="Q1" s="140" t="str">
        <f>IF(_ibpOfflineCondition_,"User: Selma Zukić-Jarrar   |    Planning Area: BMIDACHGLB
Template: 2-Supply Planning","User: "&amp;_xll.IBPUser()&amp;"   |    Planning Area: "&amp;IFERROR(SOP_Planning_Area,"Offline")&amp;"
"&amp;"Template: "&amp;IFERROR(SOP_Template_Name,"none"))</f>
        <v>User: Selma Zukić-Jarrar   |    Planning Area: BMIDACHGLB
Template: 2-Supply Planning</v>
      </c>
      <c r="R1" s="140"/>
      <c r="S1" s="140"/>
      <c r="T1" s="140"/>
      <c r="U1" s="140"/>
      <c r="V1" s="140"/>
      <c r="W1" s="101"/>
      <c r="X1" s="102"/>
      <c r="Y1" s="102"/>
      <c r="Z1" s="102"/>
      <c r="AA1" s="102"/>
      <c r="AB1" s="102"/>
      <c r="AC1" s="102"/>
      <c r="AD1" s="102"/>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76"/>
      <c r="BS1" s="76"/>
      <c r="BT1" s="76"/>
      <c r="BU1" s="76"/>
      <c r="BV1" s="76"/>
      <c r="BW1" s="76"/>
      <c r="BX1" s="76"/>
      <c r="BY1" s="76"/>
      <c r="BZ1" s="76"/>
      <c r="CA1" s="76"/>
      <c r="CB1" s="76"/>
      <c r="CC1" s="76"/>
      <c r="CD1" s="76"/>
      <c r="CE1" s="76"/>
      <c r="CF1" s="76"/>
      <c r="CG1" s="76"/>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row>
    <row r="2" spans="1:137" s="65" customFormat="1" ht="25.35" customHeight="1" x14ac:dyDescent="0.25">
      <c r="A2" s="104"/>
      <c r="B2" s="104"/>
      <c r="C2" s="104"/>
      <c r="D2" s="104"/>
      <c r="E2" s="104"/>
      <c r="F2" s="104"/>
      <c r="G2" s="104"/>
      <c r="H2" s="143" t="str">
        <f>"Unit of Measure : "&amp;SOP_TargetUoM</f>
        <v>Unit of Measure : ZUM</v>
      </c>
      <c r="I2" s="143"/>
      <c r="J2" s="143"/>
      <c r="K2" s="108"/>
      <c r="L2" s="108"/>
      <c r="M2" s="108"/>
      <c r="N2" s="108"/>
      <c r="O2" s="108"/>
      <c r="P2" s="108"/>
      <c r="Q2" s="109"/>
      <c r="R2" s="109"/>
      <c r="S2" s="109"/>
      <c r="T2" s="109"/>
      <c r="U2" s="109"/>
      <c r="V2" s="109"/>
      <c r="W2" s="101"/>
      <c r="X2" s="102"/>
      <c r="Y2" s="102"/>
      <c r="Z2" s="102"/>
      <c r="AA2" s="102"/>
      <c r="AB2" s="102"/>
      <c r="AC2" s="102"/>
      <c r="AD2" s="102"/>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76"/>
      <c r="BS2" s="76"/>
      <c r="BT2" s="76"/>
      <c r="BU2" s="76"/>
      <c r="BV2" s="76"/>
      <c r="BW2" s="76"/>
      <c r="BX2" s="76"/>
      <c r="BY2" s="76"/>
      <c r="BZ2" s="76"/>
      <c r="CA2" s="76"/>
      <c r="CB2" s="76"/>
      <c r="CC2" s="76"/>
      <c r="CD2" s="76"/>
      <c r="CE2" s="76"/>
      <c r="CF2" s="76"/>
      <c r="CG2" s="76"/>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row>
    <row r="3" spans="1:137" s="65" customFormat="1" ht="25.35" customHeight="1" x14ac:dyDescent="0.25">
      <c r="A3" s="104"/>
      <c r="B3" s="104"/>
      <c r="C3" s="104"/>
      <c r="D3" s="104"/>
      <c r="E3" s="104"/>
      <c r="F3" s="104"/>
      <c r="G3" s="104"/>
      <c r="H3" s="144" t="str">
        <f>" Currency : " &amp;SOP_TargetCurrency</f>
        <v xml:space="preserve"> Currency : EUR</v>
      </c>
      <c r="I3" s="144"/>
      <c r="J3" s="144"/>
      <c r="K3" s="141" t="str">
        <f>"  Last Refresh: "&amp;IFERROR(YEAR(SOP_Refresh_Timestamp)&amp;"-"&amp;TEXT(SOP_Refresh_Timestamp,"MMM")&amp;"-"&amp;DAY(SOP_Refresh_Timestamp)&amp;"   "&amp;TEXT(SOP_Refresh_Timestamp,"HH:MM:SS"),"Offline")</f>
        <v xml:space="preserve">  Last Refresh: 2026-Feb-3   08:34:00</v>
      </c>
      <c r="L3" s="141"/>
      <c r="M3" s="141"/>
      <c r="N3" s="141"/>
      <c r="O3" s="141"/>
      <c r="P3" s="141"/>
      <c r="Q3" s="141"/>
      <c r="R3" s="141"/>
      <c r="S3" s="141"/>
      <c r="T3" s="141"/>
      <c r="U3" s="141"/>
      <c r="V3" s="141"/>
      <c r="W3" s="101"/>
      <c r="X3" s="102"/>
      <c r="Y3" s="102"/>
      <c r="Z3" s="102"/>
      <c r="AA3" s="102"/>
      <c r="AB3" s="102"/>
      <c r="AC3" s="102"/>
      <c r="AD3" s="102"/>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76"/>
      <c r="BS3" s="76"/>
      <c r="BT3" s="76"/>
      <c r="BU3" s="76"/>
      <c r="BV3" s="76"/>
      <c r="BW3" s="76"/>
      <c r="BX3" s="76"/>
      <c r="BY3" s="76"/>
      <c r="BZ3" s="76"/>
      <c r="CA3" s="76"/>
      <c r="CB3" s="76"/>
      <c r="CC3" s="76"/>
      <c r="CD3" s="76"/>
      <c r="CE3" s="76"/>
      <c r="CF3" s="76"/>
      <c r="CG3" s="76"/>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row>
    <row r="4" spans="1:137" s="26" customFormat="1" ht="189.75" hidden="1" customHeight="1" x14ac:dyDescent="0.25">
      <c r="A4" s="138"/>
      <c r="B4" s="138"/>
      <c r="C4" s="138"/>
      <c r="D4" s="138"/>
      <c r="E4" s="138"/>
      <c r="F4" s="138"/>
      <c r="G4" s="138"/>
      <c r="H4" s="138"/>
      <c r="I4" s="138"/>
      <c r="J4" s="138"/>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5"/>
      <c r="BU4" s="105"/>
      <c r="BV4" s="105"/>
      <c r="BW4" s="105"/>
      <c r="BX4" s="105"/>
      <c r="BY4" s="105"/>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row>
    <row r="5" spans="1:137" s="27" customFormat="1" x14ac:dyDescent="0.25">
      <c r="A5" s="106" t="str">
        <f>SOP_Heading10</f>
        <v xml:space="preserve"> </v>
      </c>
      <c r="B5" s="106" t="str">
        <f>SOP_Heading9</f>
        <v xml:space="preserve"> </v>
      </c>
      <c r="C5" s="106" t="str">
        <f>SOP_Heading8</f>
        <v xml:space="preserve"> </v>
      </c>
      <c r="D5" s="106" t="str">
        <f>SOP_Heading7</f>
        <v xml:space="preserve"> </v>
      </c>
      <c r="E5" s="106" t="str">
        <f>SOP_Heading6</f>
        <v xml:space="preserve"> </v>
      </c>
      <c r="F5" s="106" t="str">
        <f>SOP_Heading5</f>
        <v xml:space="preserve"> </v>
      </c>
      <c r="G5" s="106" t="str">
        <f>SOP_Heading4</f>
        <v>Product ID</v>
      </c>
      <c r="H5" s="106" t="str">
        <f>SOP_Heading3</f>
        <v>Product Desc</v>
      </c>
      <c r="I5" s="106" t="str">
        <f>SOP_Heading2</f>
        <v>MRP Type Indicator</v>
      </c>
      <c r="J5" s="106" t="str">
        <f>SOP_Heading1</f>
        <v>Key Figure</v>
      </c>
      <c r="K5" s="145" t="str">
        <f>IF(_ibpOfflineCondition_,"W06 2026", _xll.EPMOlapMemberO("[PERIODID4].[].[62928]","","W06 2026","","000"))</f>
        <v>W06 2026</v>
      </c>
      <c r="L5" s="145" t="str">
        <f>IF(_ibpOfflineCondition_,"W07 2026", _xll.EPMOlapMemberO("[PERIODID4].[].[62929]","","W07 2026","","000"))</f>
        <v>W07 2026</v>
      </c>
      <c r="M5" s="146" t="str">
        <f>IF(_ibpOfflineCondition_,"W08 2026", _xll.EPMOlapMemberO("[PERIODID4].[].[62930]","","W08 2026","","000"))</f>
        <v>W08 2026</v>
      </c>
      <c r="N5" s="146" t="str">
        <f>IF(_ibpOfflineCondition_,"W09 2026", _xll.EPMOlapMemberO("[PERIODID4].[].[62931]","","W09 2026","","000"))</f>
        <v>W09 2026</v>
      </c>
      <c r="O5" s="146" t="str">
        <f>IF(_ibpOfflineCondition_,"W10 2026", _xll.EPMOlapMemberO("[PERIODID4].[].[62932]","","W10 2026","","000"))</f>
        <v>W10 2026</v>
      </c>
      <c r="P5" s="146" t="str">
        <f>IF(_ibpOfflineCondition_,"W11 2026", _xll.EPMOlapMemberO("[PERIODID4].[].[62933]","","W11 2026","","000"))</f>
        <v>W11 2026</v>
      </c>
      <c r="Q5" s="146" t="str">
        <f>IF(_ibpOfflineCondition_,"W12 2026", _xll.EPMOlapMemberO("[PERIODID4].[].[62934]","","W12 2026","","000"))</f>
        <v>W12 2026</v>
      </c>
      <c r="R5" s="146" t="str">
        <f>IF(_ibpOfflineCondition_,"W13 2026", _xll.EPMOlapMemberO("[PERIODID4].[].[62935]","","W13 2026","","000"))</f>
        <v>W13 2026</v>
      </c>
      <c r="S5" s="146" t="str">
        <f>IF(_ibpOfflineCondition_,"W14 2026", _xll.EPMOlapMemberO("[PERIODID4].[].[62936]","","W14 2026","","000"))</f>
        <v>W14 2026</v>
      </c>
      <c r="T5" s="146" t="str">
        <f>IF(_ibpOfflineCondition_,"W15 2026", _xll.EPMOlapMemberO("[PERIODID4].[].[62937]","","W15 2026","","000"))</f>
        <v>W15 2026</v>
      </c>
      <c r="U5" s="146" t="str">
        <f>IF(_ibpOfflineCondition_,"W16 2026", _xll.EPMOlapMemberO("[PERIODID4].[].[62938]","","W16 2026","","000"))</f>
        <v>W16 2026</v>
      </c>
      <c r="V5" s="146" t="str">
        <f>IF(_ibpOfflineCondition_,"W17 2026", _xll.EPMOlapMemberO("[PERIODID4].[].[62939]","","W17 2026","","000"))</f>
        <v>W17 2026</v>
      </c>
      <c r="W5" s="146" t="str">
        <f>IF(_ibpOfflineCondition_,"W18 2026", _xll.EPMOlapMemberO("[PERIODID4].[].[62940]","","W18 2026","","000"))</f>
        <v>W18 2026</v>
      </c>
      <c r="X5" s="146" t="str">
        <f>IF(_ibpOfflineCondition_,"W19 2026", _xll.EPMOlapMemberO("[PERIODID4].[].[62941]","","W19 2026","","000"))</f>
        <v>W19 2026</v>
      </c>
      <c r="Y5" s="146" t="str">
        <f>IF(_ibpOfflineCondition_,"W20 2026", _xll.EPMOlapMemberO("[PERIODID4].[].[62942]","","W20 2026","","000"))</f>
        <v>W20 2026</v>
      </c>
      <c r="Z5" s="146" t="str">
        <f>IF(_ibpOfflineCondition_,"W21 2026", _xll.EPMOlapMemberO("[PERIODID4].[].[62943]","","W21 2026","","000"))</f>
        <v>W21 2026</v>
      </c>
      <c r="AA5" s="146" t="str">
        <f>IF(_ibpOfflineCondition_,"W22 2026", _xll.EPMOlapMemberO("[PERIODID4].[].[62944]","","W22 2026","","000"))</f>
        <v>W22 2026</v>
      </c>
      <c r="AB5" s="146" t="str">
        <f>IF(_ibpOfflineCondition_,"W23 2026", _xll.EPMOlapMemberO("[PERIODID4].[].[62945]","","W23 2026","","000"))</f>
        <v>W23 2026</v>
      </c>
      <c r="AC5" s="146" t="str">
        <f>IF(_ibpOfflineCondition_,"W24 2026", _xll.EPMOlapMemberO("[PERIODID4].[].[62946]","","W24 2026","","000"))</f>
        <v>W24 2026</v>
      </c>
      <c r="AD5" s="146" t="str">
        <f>IF(_ibpOfflineCondition_,"W25 2026", _xll.EPMOlapMemberO("[PERIODID4].[].[62947]","","W25 2026","","000"))</f>
        <v>W25 2026</v>
      </c>
      <c r="AE5" s="146" t="str">
        <f>IF(_ibpOfflineCondition_,"W26 2026", _xll.EPMOlapMemberO("[PERIODID4].[].[62948]","","W26 2026","","000"))</f>
        <v>W26 2026</v>
      </c>
      <c r="AF5" s="146" t="str">
        <f>IF(_ibpOfflineCondition_,"W27 2026", _xll.EPMOlapMemberO("[PERIODID4].[].[62949]","","W27 2026","","000"))</f>
        <v>W27 2026</v>
      </c>
      <c r="AG5" s="146" t="str">
        <f>IF(_ibpOfflineCondition_,"W28 2026", _xll.EPMOlapMemberO("[PERIODID4].[].[62950]","","W28 2026","","000"))</f>
        <v>W28 2026</v>
      </c>
      <c r="AH5" s="146" t="str">
        <f>IF(_ibpOfflineCondition_,"W29 2026", _xll.EPMOlapMemberO("[PERIODID4].[].[62951]","","W29 2026","","000"))</f>
        <v>W29 2026</v>
      </c>
      <c r="AI5" s="146" t="str">
        <f>IF(_ibpOfflineCondition_,"W30 2026", _xll.EPMOlapMemberO("[PERIODID4].[].[62952]","","W30 2026","","000"))</f>
        <v>W30 2026</v>
      </c>
      <c r="AJ5" s="146" t="str">
        <f>IF(_ibpOfflineCondition_,"W31 2026", _xll.EPMOlapMemberO("[PERIODID4].[].[62953]","","W31 2026","","000"))</f>
        <v>W31 2026</v>
      </c>
      <c r="AK5" s="146" t="str">
        <f>IF(_ibpOfflineCondition_,"W32 2026", _xll.EPMOlapMemberO("[PERIODID4].[].[62954]","","W32 2026","","000"))</f>
        <v>W32 2026</v>
      </c>
      <c r="AL5" s="146" t="str">
        <f>IF(_ibpOfflineCondition_,"W33 2026", _xll.EPMOlapMemberO("[PERIODID4].[].[62955]","","W33 2026","","000"))</f>
        <v>W33 2026</v>
      </c>
      <c r="AM5" s="146" t="str">
        <f>IF(_ibpOfflineCondition_,"W34 2026", _xll.EPMOlapMemberO("[PERIODID4].[].[62956]","","W34 2026","","000"))</f>
        <v>W34 2026</v>
      </c>
      <c r="AN5" s="146" t="str">
        <f>IF(_ibpOfflineCondition_,"W35 2026", _xll.EPMOlapMemberO("[PERIODID4].[].[62957]","","W35 2026","","000"))</f>
        <v>W35 2026</v>
      </c>
      <c r="AO5" s="146" t="str">
        <f>IF(_ibpOfflineCondition_,"W36 2026", _xll.EPMOlapMemberO("[PERIODID4].[].[62958]","","W36 2026","","000"))</f>
        <v>W36 2026</v>
      </c>
      <c r="AP5" s="146" t="str">
        <f>IF(_ibpOfflineCondition_,"W37 2026", _xll.EPMOlapMemberO("[PERIODID4].[].[62959]","","W37 2026","","000"))</f>
        <v>W37 2026</v>
      </c>
      <c r="AQ5" s="146" t="str">
        <f>IF(_ibpOfflineCondition_,"W38 2026", _xll.EPMOlapMemberO("[PERIODID4].[].[62960]","","W38 2026","","000"))</f>
        <v>W38 2026</v>
      </c>
      <c r="AR5" s="146" t="str">
        <f>IF(_ibpOfflineCondition_,"W39 2026", _xll.EPMOlapMemberO("[PERIODID4].[].[62961]","","W39 2026","","000"))</f>
        <v>W39 2026</v>
      </c>
      <c r="AS5" s="146" t="str">
        <f>IF(_ibpOfflineCondition_,"W40 2026", _xll.EPMOlapMemberO("[PERIODID4].[].[62962]","","W40 2026","","000"))</f>
        <v>W40 2026</v>
      </c>
      <c r="AT5" s="146" t="str">
        <f>IF(_ibpOfflineCondition_,"W41 2026", _xll.EPMOlapMemberO("[PERIODID4].[].[62963]","","W41 2026","","000"))</f>
        <v>W41 2026</v>
      </c>
      <c r="AU5" s="146" t="str">
        <f>IF(_ibpOfflineCondition_,"W42 2026", _xll.EPMOlapMemberO("[PERIODID4].[].[62964]","","W42 2026","","000"))</f>
        <v>W42 2026</v>
      </c>
      <c r="AV5" s="146" t="str">
        <f>IF(_ibpOfflineCondition_,"W43 2026", _xll.EPMOlapMemberO("[PERIODID4].[].[62965]","","W43 2026","","000"))</f>
        <v>W43 2026</v>
      </c>
      <c r="AW5" s="146" t="str">
        <f>IF(_ibpOfflineCondition_,"W44 2026", _xll.EPMOlapMemberO("[PERIODID4].[].[62966]","","W44 2026","","000"))</f>
        <v>W44 2026</v>
      </c>
      <c r="AX5" s="146" t="str">
        <f>IF(_ibpOfflineCondition_,"W45 2026", _xll.EPMOlapMemberO("[PERIODID4].[].[62967]","","W45 2026","","000"))</f>
        <v>W45 2026</v>
      </c>
      <c r="AY5" s="146" t="str">
        <f>IF(_ibpOfflineCondition_,"W46 2026", _xll.EPMOlapMemberO("[PERIODID4].[].[62968]","","W46 2026","","000"))</f>
        <v>W46 2026</v>
      </c>
      <c r="AZ5" s="146" t="str">
        <f>IF(_ibpOfflineCondition_,"W47 2026", _xll.EPMOlapMemberO("[PERIODID4].[].[62969]","","W47 2026","","000"))</f>
        <v>W47 2026</v>
      </c>
      <c r="BA5" s="146" t="str">
        <f>IF(_ibpOfflineCondition_,"W48 2026", _xll.EPMOlapMemberO("[PERIODID4].[].[62970]","","W48 2026","","000"))</f>
        <v>W48 2026</v>
      </c>
      <c r="BB5" s="146" t="str">
        <f>IF(_ibpOfflineCondition_,"W49 2026", _xll.EPMOlapMemberO("[PERIODID4].[].[62971]","","W49 2026","","000"))</f>
        <v>W49 2026</v>
      </c>
      <c r="BC5" s="146" t="str">
        <f>IF(_ibpOfflineCondition_,"W50 2026", _xll.EPMOlapMemberO("[PERIODID4].[].[62972]","","W50 2026","","000"))</f>
        <v>W50 2026</v>
      </c>
      <c r="BD5" s="146" t="str">
        <f>IF(_ibpOfflineCondition_,"W51 2026", _xll.EPMOlapMemberO("[PERIODID4].[].[62973]","","W51 2026","","000"))</f>
        <v>W51 2026</v>
      </c>
      <c r="BE5" s="146" t="str">
        <f>IF(_ibpOfflineCondition_,"W52 2026", _xll.EPMOlapMemberO("[PERIODID4].[].[62974]","","W52 2026","","000"))</f>
        <v>W52 2026</v>
      </c>
      <c r="BF5" s="146" t="str">
        <f>IF(_ibpOfflineCondition_,"W53 2026", _xll.EPMOlapMemberO("[PERIODID4].[].[62975]","","W53 2026","","000"))</f>
        <v>W53 2026</v>
      </c>
      <c r="BG5" s="146" t="str">
        <f>IF(_ibpOfflineCondition_,"W01 2027", _xll.EPMOlapMemberO("[PERIODID4].[].[62976]","","W01 2027","","000"))</f>
        <v>W01 2027</v>
      </c>
      <c r="BH5" s="146" t="str">
        <f>IF(_ibpOfflineCondition_,"W02 2027", _xll.EPMOlapMemberO("[PERIODID4].[].[62977]","","W02 2027","","000"))</f>
        <v>W02 2027</v>
      </c>
      <c r="BI5" s="146" t="str">
        <f>IF(_ibpOfflineCondition_,"W03 2027", _xll.EPMOlapMemberO("[PERIODID4].[].[62978]","","W03 2027","","000"))</f>
        <v>W03 2027</v>
      </c>
      <c r="BJ5" s="146" t="str">
        <f>IF(_ibpOfflineCondition_,"W04 2027", _xll.EPMOlapMemberO("[PERIODID4].[].[62979]","","W04 2027","","000"))</f>
        <v>W04 2027</v>
      </c>
      <c r="BK5" s="146" t="str">
        <f>IF(_ibpOfflineCondition_,"W05 2027", _xll.EPMOlapMemberO("[PERIODID4].[].[62980]","","W05 2027","","000"))</f>
        <v>W05 2027</v>
      </c>
      <c r="BL5" s="146" t="str">
        <f>IF(_ibpOfflineCondition_,"W06 2027", _xll.EPMOlapMemberO("[PERIODID4].[].[62981]","","W06 2027","","000"))</f>
        <v>W06 2027</v>
      </c>
      <c r="BM5" s="146" t="str">
        <f>IF(_ibpOfflineCondition_,"W07 2027", _xll.EPMOlapMemberO("[PERIODID4].[].[62982]","","W07 2027","","000"))</f>
        <v>W07 2027</v>
      </c>
      <c r="BN5" s="146" t="str">
        <f>IF(_ibpOfflineCondition_,"W08 2027", _xll.EPMOlapMemberO("[PERIODID4].[].[62983]","","W08 2027","","000"))</f>
        <v>W08 2027</v>
      </c>
      <c r="BO5" s="146" t="str">
        <f>IF(_ibpOfflineCondition_,"W09 2027", _xll.EPMOlapMemberO("[PERIODID4].[].[62984]","","W09 2027","","000"))</f>
        <v>W09 2027</v>
      </c>
      <c r="BP5" s="146" t="str">
        <f>IF(_ibpOfflineCondition_,"W10 2027", _xll.EPMOlapMemberO("[PERIODID4].[].[62985]","","W10 2027","","000"))</f>
        <v>W10 2027</v>
      </c>
      <c r="BQ5" s="146" t="str">
        <f>IF(_ibpOfflineCondition_,"W11 2027", _xll.EPMOlapMemberO("[PERIODID4].[].[62986]","","W11 2027","","000"))</f>
        <v>W11 2027</v>
      </c>
      <c r="BR5" s="146" t="str">
        <f>IF(_ibpOfflineCondition_,"W12 2027", _xll.EPMOlapMemberO("[PERIODID4].[].[62987]","","W12 2027","","000"))</f>
        <v>W12 2027</v>
      </c>
      <c r="BS5" s="146" t="str">
        <f>IF(_ibpOfflineCondition_,"W13 2027", _xll.EPMOlapMemberO("[PERIODID4].[].[62988]","","W13 2027","","000"))</f>
        <v>W13 2027</v>
      </c>
      <c r="BT5" s="146" t="str">
        <f>IF(_ibpOfflineCondition_,"W14 2027", _xll.EPMOlapMemberO("[PERIODID4].[].[62989]","","W14 2027","","000"))</f>
        <v>W14 2027</v>
      </c>
      <c r="BU5" s="146" t="str">
        <f>IF(_ibpOfflineCondition_,"W15 2027", _xll.EPMOlapMemberO("[PERIODID4].[].[62990]","","W15 2027","","000"))</f>
        <v>W15 2027</v>
      </c>
      <c r="BV5" s="146" t="str">
        <f>IF(_ibpOfflineCondition_,"W16 2027", _xll.EPMOlapMemberO("[PERIODID4].[].[62991]","","W16 2027","","000"))</f>
        <v>W16 2027</v>
      </c>
      <c r="BW5" s="146" t="str">
        <f>IF(_ibpOfflineCondition_,"W17 2027", _xll.EPMOlapMemberO("[PERIODID4].[].[62992]","","W17 2027","","000"))</f>
        <v>W17 2027</v>
      </c>
      <c r="BX5" s="107"/>
      <c r="BY5" s="107"/>
      <c r="BZ5" s="107"/>
      <c r="CA5" s="107"/>
      <c r="CB5" s="107"/>
      <c r="CC5" s="107"/>
      <c r="CD5" s="107"/>
      <c r="CE5" s="107"/>
      <c r="CF5" s="107"/>
      <c r="CG5" s="107"/>
      <c r="CH5" s="107"/>
      <c r="CI5" s="107"/>
      <c r="CJ5" s="107"/>
      <c r="CK5" s="107"/>
      <c r="CL5" s="107"/>
      <c r="CM5" s="107"/>
      <c r="CN5" s="107"/>
      <c r="CO5" s="107"/>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row>
    <row r="6" spans="1:137" x14ac:dyDescent="0.25">
      <c r="A6" s="107"/>
      <c r="B6" s="107"/>
      <c r="C6" s="107"/>
      <c r="D6" s="107"/>
      <c r="E6" s="107"/>
      <c r="F6" s="107"/>
      <c r="G6" s="147" t="str">
        <f>IF(_ibpOfflineCondition_,"000000000000563901-1", _xll.EPMOlapMemberO("[PRDID].[].[000000000000563901-1]","","000000000000563901-1","","000"))</f>
        <v>000000000000563901-1</v>
      </c>
      <c r="H6" s="147" t="str">
        <f>IF(_ibpOfflineCondition_,"FGR+ FIGAROLLPLUS 5/280+40 BRAUN BRAMAC", _xll.EPMOlapMemberO("[PRDDESCR].[].[FGR+ FIGAROLLPLUS 5/280+40 BRAUN BRAMAC]","","FGR+ FIGAROLLPLUS 5/280+40 BRAUN BRAMAC","","000"))</f>
        <v>FGR+ FIGAROLLPLUS 5/280+40 BRAUN BRAMAC</v>
      </c>
      <c r="I6" s="147" t="str">
        <f>IF(_ibpOfflineCondition_,"X0", _xll.EPMOlapMemberO("[MRPTYPE].[].[X0]","","X0","","000"))</f>
        <v>X0</v>
      </c>
      <c r="J6" s="147" t="str">
        <f>IF(_ibpOfflineCondition_,"Firmed Production Plan (Adjusted by PLT)", _xll.EPMOlapMemberO("[KEY_FIGURES].[].[ZFIRMEDPRODUCTIONPLT]","","Firmed Production Plan (Adjusted by PLT)","","000"))</f>
        <v>Firmed Production Plan (Adjusted by PLT)</v>
      </c>
      <c r="K6" s="80"/>
      <c r="L6" s="79"/>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W6" s="58"/>
      <c r="BX6" s="107"/>
      <c r="BY6" s="107"/>
      <c r="BZ6" s="107"/>
      <c r="CA6" s="107"/>
      <c r="CB6" s="107"/>
      <c r="CC6" s="107"/>
      <c r="CD6" s="107"/>
      <c r="CE6" s="107"/>
      <c r="CF6" s="107"/>
      <c r="CG6" s="107"/>
      <c r="CH6" s="107"/>
      <c r="CI6" s="107"/>
      <c r="CJ6" s="107"/>
      <c r="CK6" s="107"/>
      <c r="CL6" s="107"/>
      <c r="CM6" s="107"/>
      <c r="CN6" s="107"/>
      <c r="CO6" s="107"/>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row>
    <row r="7" spans="1:137" x14ac:dyDescent="0.25">
      <c r="A7" s="107"/>
      <c r="B7" s="107"/>
      <c r="C7" s="107"/>
      <c r="D7" s="107"/>
      <c r="E7" s="107"/>
      <c r="F7" s="107"/>
      <c r="G7" s="147" t="str">
        <f>IF(_ibpOfflineCondition_,"000000000000563901-1", _xll.EPMOlapMemberO("[PRDID].[].[000000000000563901-1]","","000000000000563901-1","","000"))</f>
        <v>000000000000563901-1</v>
      </c>
      <c r="H7" s="147" t="str">
        <f>IF(_ibpOfflineCondition_,"FGR+ FIGAROLLPLUS 5/280+40 BRAUN BRAMAC", _xll.EPMOlapMemberO("[PRDDESCR].[].[FGR+ FIGAROLLPLUS 5/280+40 BRAUN BRAMAC]","","FGR+ FIGAROLLPLUS 5/280+40 BRAUN BRAMAC","","000"))</f>
        <v>FGR+ FIGAROLLPLUS 5/280+40 BRAUN BRAMAC</v>
      </c>
      <c r="I7" s="147" t="str">
        <f>IF(_ibpOfflineCondition_,"X0", _xll.EPMOlapMemberO("[MRPTYPE].[].[X0]","","X0","","000"))</f>
        <v>X0</v>
      </c>
      <c r="J7" s="147" t="str">
        <f>IF(_ibpOfflineCondition_,"Open Production Orders (Adjusted by PLT)", _xll.EPMOlapMemberO("[KEY_FIGURES].[].[ZOPENPRODUCTIONORDERPLT]","","Open Production Orders (Adjusted by PLT)","","000"))</f>
        <v>Open Production Orders (Adjusted by PLT)</v>
      </c>
      <c r="K7" s="80">
        <v>630</v>
      </c>
      <c r="L7" s="79"/>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8"/>
      <c r="BS7" s="58"/>
      <c r="BT7" s="58"/>
      <c r="BU7" s="58"/>
      <c r="BV7" s="58"/>
      <c r="BW7" s="58"/>
      <c r="BX7" s="107"/>
      <c r="BY7" s="107"/>
      <c r="BZ7" s="107"/>
      <c r="CA7" s="107"/>
      <c r="CB7" s="107"/>
      <c r="CC7" s="107"/>
      <c r="CD7" s="107"/>
      <c r="CE7" s="107"/>
      <c r="CF7" s="107"/>
      <c r="CG7" s="107"/>
      <c r="CH7" s="107"/>
      <c r="CI7" s="107"/>
      <c r="CJ7" s="107"/>
      <c r="CK7" s="107"/>
      <c r="CL7" s="107"/>
      <c r="CM7" s="107"/>
      <c r="CN7" s="107"/>
      <c r="CO7" s="107"/>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row>
    <row r="8" spans="1:137" x14ac:dyDescent="0.25">
      <c r="A8" s="107"/>
      <c r="B8" s="107"/>
      <c r="C8" s="107"/>
      <c r="D8" s="107"/>
      <c r="E8" s="107"/>
      <c r="F8" s="107"/>
      <c r="G8" s="147" t="str">
        <f>IF(_ibpOfflineCondition_,"000000000000563901-1", _xll.EPMOlapMemberO("[PRDID].[].[000000000000563901-1]","","000000000000563901-1","","000"))</f>
        <v>000000000000563901-1</v>
      </c>
      <c r="H8" s="147" t="str">
        <f>IF(_ibpOfflineCondition_,"FGR+ FIGAROLLPLUS 5/280+40 BRAUN BRAMAC", _xll.EPMOlapMemberO("[PRDDESCR].[].[FGR+ FIGAROLLPLUS 5/280+40 BRAUN BRAMAC]","","FGR+ FIGAROLLPLUS 5/280+40 BRAUN BRAMAC","","000"))</f>
        <v>FGR+ FIGAROLLPLUS 5/280+40 BRAUN BRAMAC</v>
      </c>
      <c r="I8" s="147" t="str">
        <f>IF(_ibpOfflineCondition_,"X0", _xll.EPMOlapMemberO("[MRPTYPE].[].[X0]","","X0","","000"))</f>
        <v>X0</v>
      </c>
      <c r="J8" s="147" t="str">
        <f>IF(_ibpOfflineCondition_,"Total Open Production Receipts(Adjusted by PLT)", _xll.EPMOlapMemberO("[KEY_FIGURES].[].[ZTOTALOPENPRODUCTIONPLT]","","Total Open Production Receipts(Adjusted by PLT)","","000"))</f>
        <v>Total Open Production Receipts(Adjusted by PLT)</v>
      </c>
      <c r="K8" s="80">
        <v>630</v>
      </c>
      <c r="L8" s="79"/>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c r="BA8" s="58"/>
      <c r="BB8" s="58"/>
      <c r="BC8" s="58"/>
      <c r="BD8" s="58"/>
      <c r="BE8" s="58"/>
      <c r="BF8" s="58"/>
      <c r="BG8" s="58"/>
      <c r="BH8" s="58"/>
      <c r="BI8" s="58"/>
      <c r="BJ8" s="58"/>
      <c r="BK8" s="58"/>
      <c r="BL8" s="58"/>
      <c r="BM8" s="58"/>
      <c r="BN8" s="58"/>
      <c r="BO8" s="58"/>
      <c r="BP8" s="58"/>
      <c r="BQ8" s="58"/>
      <c r="BR8" s="58"/>
      <c r="BS8" s="58"/>
      <c r="BT8" s="58"/>
      <c r="BU8" s="58"/>
      <c r="BV8" s="58"/>
      <c r="BW8" s="58"/>
      <c r="BX8" s="107"/>
      <c r="BY8" s="107"/>
      <c r="BZ8" s="107"/>
      <c r="CA8" s="107"/>
      <c r="CB8" s="107"/>
      <c r="CC8" s="107"/>
      <c r="CD8" s="107"/>
      <c r="CE8" s="107"/>
      <c r="CF8" s="107"/>
      <c r="CG8" s="107"/>
      <c r="CH8" s="107"/>
      <c r="CI8" s="107"/>
      <c r="CJ8" s="107"/>
      <c r="CK8" s="107"/>
      <c r="CL8" s="107"/>
      <c r="CM8" s="107"/>
      <c r="CN8" s="107"/>
      <c r="CO8" s="107"/>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row>
    <row r="9" spans="1:137" x14ac:dyDescent="0.25">
      <c r="A9" s="107"/>
      <c r="B9" s="107"/>
      <c r="C9" s="107"/>
      <c r="D9" s="107"/>
      <c r="E9" s="107"/>
      <c r="F9" s="107"/>
      <c r="G9" s="147" t="str">
        <f>IF(_ibpOfflineCondition_,"000000000000563901-1", _xll.EPMOlapMemberO("[PRDID].[].[000000000000563901-1]","","000000000000563901-1","","000"))</f>
        <v>000000000000563901-1</v>
      </c>
      <c r="H9" s="147" t="str">
        <f>IF(_ibpOfflineCondition_,"FGR+ FIGAROLLPLUS 5/280+40 BRAUN BRAMAC", _xll.EPMOlapMemberO("[PRDDESCR].[].[FGR+ FIGAROLLPLUS 5/280+40 BRAUN BRAMAC]","","FGR+ FIGAROLLPLUS 5/280+40 BRAUN BRAMAC","","000"))</f>
        <v>FGR+ FIGAROLLPLUS 5/280+40 BRAUN BRAMAC</v>
      </c>
      <c r="I9" s="147" t="str">
        <f>IF(_ibpOfflineCondition_,"X0", _xll.EPMOlapMemberO("[MRPTYPE].[].[X0]","","X0","","000"))</f>
        <v>X0</v>
      </c>
      <c r="J9" s="147" t="str">
        <f>IF(_ibpOfflineCondition_,"Production Receipt (Adjusted by PLT)", _xll.EPMOlapMemberO("[KEY_FIGURES].[].[ZPRODUCTIONSUPPLY]","","Production Receipt (Adjusted by PLT)","","000"))</f>
        <v>Production Receipt (Adjusted by PLT)</v>
      </c>
      <c r="K9" s="80">
        <v>630</v>
      </c>
      <c r="L9" s="79"/>
      <c r="M9" s="58"/>
      <c r="N9" s="58"/>
      <c r="O9" s="58">
        <v>1890</v>
      </c>
      <c r="P9" s="58">
        <v>450</v>
      </c>
      <c r="Q9" s="58"/>
      <c r="R9" s="58"/>
      <c r="S9" s="58">
        <v>360</v>
      </c>
      <c r="T9" s="58">
        <v>540</v>
      </c>
      <c r="U9" s="58"/>
      <c r="V9" s="58"/>
      <c r="W9" s="58"/>
      <c r="X9" s="58">
        <v>720</v>
      </c>
      <c r="Y9" s="58"/>
      <c r="Z9" s="58"/>
      <c r="AA9" s="58">
        <v>450</v>
      </c>
      <c r="AB9" s="58"/>
      <c r="AC9" s="58"/>
      <c r="AD9" s="58"/>
      <c r="AE9" s="58"/>
      <c r="AF9" s="58">
        <v>900</v>
      </c>
      <c r="AG9" s="58"/>
      <c r="AH9" s="58"/>
      <c r="AI9" s="58"/>
      <c r="AJ9" s="58"/>
      <c r="AK9" s="58"/>
      <c r="AL9" s="58">
        <v>540</v>
      </c>
      <c r="AM9" s="58"/>
      <c r="AN9" s="58"/>
      <c r="AO9" s="58">
        <v>630</v>
      </c>
      <c r="AP9" s="58">
        <v>180</v>
      </c>
      <c r="AQ9" s="58"/>
      <c r="AR9" s="58"/>
      <c r="AS9" s="58"/>
      <c r="AT9" s="58">
        <v>360</v>
      </c>
      <c r="AU9" s="58"/>
      <c r="AV9" s="58"/>
      <c r="AW9" s="58"/>
      <c r="AX9" s="58">
        <v>270</v>
      </c>
      <c r="AY9" s="58"/>
      <c r="AZ9" s="58"/>
      <c r="BA9" s="58"/>
      <c r="BB9" s="58"/>
      <c r="BC9" s="58">
        <v>900</v>
      </c>
      <c r="BD9" s="58"/>
      <c r="BE9" s="58"/>
      <c r="BF9" s="58"/>
      <c r="BG9" s="58"/>
      <c r="BH9" s="58"/>
      <c r="BI9" s="58"/>
      <c r="BJ9" s="58"/>
      <c r="BK9" s="58"/>
      <c r="BL9" s="58">
        <v>61.832828999999997</v>
      </c>
      <c r="BM9" s="58">
        <v>283.54819099999997</v>
      </c>
      <c r="BN9" s="58"/>
      <c r="BO9" s="58"/>
      <c r="BP9" s="58">
        <v>157.31771699999999</v>
      </c>
      <c r="BQ9" s="58">
        <v>514.64363300000002</v>
      </c>
      <c r="BR9" s="58"/>
      <c r="BS9" s="58"/>
      <c r="BT9" s="58">
        <v>211.82247799999999</v>
      </c>
      <c r="BU9" s="58">
        <v>511.43334900000002</v>
      </c>
      <c r="BV9" s="58"/>
      <c r="BW9" s="58"/>
      <c r="BX9" s="107"/>
      <c r="BY9" s="107"/>
      <c r="BZ9" s="107"/>
      <c r="CA9" s="107"/>
      <c r="CB9" s="107"/>
      <c r="CC9" s="107"/>
      <c r="CD9" s="107"/>
      <c r="CE9" s="107"/>
      <c r="CF9" s="107"/>
      <c r="CG9" s="107"/>
      <c r="CH9" s="107"/>
      <c r="CI9" s="107"/>
      <c r="CJ9" s="107"/>
      <c r="CK9" s="107"/>
      <c r="CL9" s="107"/>
      <c r="CM9" s="107"/>
      <c r="CN9" s="107"/>
      <c r="CO9" s="107"/>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row>
    <row r="10" spans="1:137" x14ac:dyDescent="0.25">
      <c r="A10" s="107"/>
      <c r="B10" s="107"/>
      <c r="C10" s="107"/>
      <c r="D10" s="107"/>
      <c r="E10" s="107"/>
      <c r="F10" s="107"/>
      <c r="G10" s="147" t="str">
        <f>IF(_ibpOfflineCondition_,"000000000000563902-1", _xll.EPMOlapMemberO("[PRDID].[].[000000000000563902-1]","","000000000000563902-1","","000"))</f>
        <v>000000000000563902-1</v>
      </c>
      <c r="H10" s="147" t="str">
        <f>IF(_ibpOfflineCondition_,"FGR+ FIGAROLLPLUS 5/280+40 ANTHR BRAMAC", _xll.EPMOlapMemberO("[PRDDESCR].[].[FGR+ FIGAROLLPLUS 5/280+40 ANTHR BRAMAC]","","FGR+ FIGAROLLPLUS 5/280+40 ANTHR BRAMAC","","000"))</f>
        <v>FGR+ FIGAROLLPLUS 5/280+40 ANTHR BRAMAC</v>
      </c>
      <c r="I10" s="147" t="str">
        <f>IF(_ibpOfflineCondition_,"X0", _xll.EPMOlapMemberO("[MRPTYPE].[].[X0]","","X0","","000"))</f>
        <v>X0</v>
      </c>
      <c r="J10" s="147" t="str">
        <f>IF(_ibpOfflineCondition_,"Firmed Production Plan (Adjusted by PLT)", _xll.EPMOlapMemberO("[KEY_FIGURES].[].[ZFIRMEDPRODUCTIONPLT]","","Firmed Production Plan (Adjusted by PLT)","","000"))</f>
        <v>Firmed Production Plan (Adjusted by PLT)</v>
      </c>
      <c r="K10" s="80"/>
      <c r="L10" s="79"/>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107"/>
      <c r="BY10" s="107"/>
      <c r="BZ10" s="107"/>
      <c r="CA10" s="107"/>
      <c r="CB10" s="107"/>
      <c r="CC10" s="107"/>
      <c r="CD10" s="107"/>
      <c r="CE10" s="107"/>
      <c r="CF10" s="107"/>
      <c r="CG10" s="107"/>
      <c r="CH10" s="107"/>
      <c r="CI10" s="107"/>
      <c r="CJ10" s="107"/>
      <c r="CK10" s="107"/>
      <c r="CL10" s="107"/>
      <c r="CM10" s="107"/>
      <c r="CN10" s="107"/>
      <c r="CO10" s="107"/>
      <c r="CP10" s="107"/>
      <c r="CQ10" s="107"/>
      <c r="CR10" s="107"/>
      <c r="CS10" s="107"/>
      <c r="CT10" s="107"/>
      <c r="CU10" s="107"/>
      <c r="CV10" s="107"/>
      <c r="CW10" s="107"/>
      <c r="CX10" s="107"/>
      <c r="CY10" s="107"/>
      <c r="CZ10" s="107"/>
      <c r="DA10" s="107"/>
      <c r="DB10" s="107"/>
      <c r="DC10" s="107"/>
      <c r="DD10" s="107"/>
      <c r="DE10" s="107"/>
      <c r="DF10" s="107"/>
      <c r="DG10" s="107"/>
      <c r="DH10" s="107"/>
      <c r="DI10" s="107"/>
      <c r="DJ10" s="107"/>
      <c r="DK10" s="107"/>
      <c r="DL10" s="107"/>
      <c r="DM10" s="107"/>
      <c r="DN10" s="107"/>
      <c r="DO10" s="107"/>
      <c r="DP10" s="107"/>
      <c r="DQ10" s="107"/>
      <c r="DR10" s="107"/>
      <c r="DS10" s="107"/>
      <c r="DT10" s="107"/>
      <c r="DU10" s="107"/>
      <c r="DV10" s="107"/>
      <c r="DW10" s="107"/>
      <c r="DX10" s="107"/>
      <c r="DY10" s="107"/>
      <c r="DZ10" s="107"/>
      <c r="EA10" s="107"/>
      <c r="EB10" s="107"/>
      <c r="EC10" s="107"/>
      <c r="ED10" s="107"/>
      <c r="EE10" s="107"/>
      <c r="EF10" s="107"/>
      <c r="EG10" s="107"/>
    </row>
    <row r="11" spans="1:137" x14ac:dyDescent="0.25">
      <c r="A11" s="107"/>
      <c r="B11" s="107"/>
      <c r="C11" s="107"/>
      <c r="D11" s="107"/>
      <c r="E11" s="107"/>
      <c r="F11" s="107"/>
      <c r="G11" s="147" t="str">
        <f>IF(_ibpOfflineCondition_,"000000000000563902-1", _xll.EPMOlapMemberO("[PRDID].[].[000000000000563902-1]","","000000000000563902-1","","000"))</f>
        <v>000000000000563902-1</v>
      </c>
      <c r="H11" s="147" t="str">
        <f>IF(_ibpOfflineCondition_,"FGR+ FIGAROLLPLUS 5/280+40 ANTHR BRAMAC", _xll.EPMOlapMemberO("[PRDDESCR].[].[FGR+ FIGAROLLPLUS 5/280+40 ANTHR BRAMAC]","","FGR+ FIGAROLLPLUS 5/280+40 ANTHR BRAMAC","","000"))</f>
        <v>FGR+ FIGAROLLPLUS 5/280+40 ANTHR BRAMAC</v>
      </c>
      <c r="I11" s="147" t="str">
        <f>IF(_ibpOfflineCondition_,"X0", _xll.EPMOlapMemberO("[MRPTYPE].[].[X0]","","X0","","000"))</f>
        <v>X0</v>
      </c>
      <c r="J11" s="147" t="str">
        <f>IF(_ibpOfflineCondition_,"Open Production Orders (Adjusted by PLT)", _xll.EPMOlapMemberO("[KEY_FIGURES].[].[ZOPENPRODUCTIONORDERPLT]","","Open Production Orders (Adjusted by PLT)","","000"))</f>
        <v>Open Production Orders (Adjusted by PLT)</v>
      </c>
      <c r="K11" s="80">
        <v>450</v>
      </c>
      <c r="L11" s="79"/>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c r="BQ11" s="58"/>
      <c r="BR11" s="58"/>
      <c r="BS11" s="58"/>
      <c r="BT11" s="58"/>
      <c r="BU11" s="58"/>
      <c r="BV11" s="58"/>
      <c r="BW11" s="58"/>
      <c r="BX11" s="107"/>
      <c r="BY11" s="107"/>
      <c r="BZ11" s="107"/>
      <c r="CA11" s="107"/>
      <c r="CB11" s="107"/>
      <c r="CC11" s="107"/>
      <c r="CD11" s="107"/>
      <c r="CE11" s="107"/>
      <c r="CF11" s="107"/>
      <c r="CG11" s="107"/>
      <c r="CH11" s="107"/>
      <c r="CI11" s="107"/>
      <c r="CJ11" s="107"/>
      <c r="CK11" s="107"/>
      <c r="CL11" s="107"/>
      <c r="CM11" s="107"/>
      <c r="CN11" s="107"/>
      <c r="CO11" s="107"/>
      <c r="CP11" s="107"/>
      <c r="CQ11" s="107"/>
      <c r="CR11" s="107"/>
      <c r="CS11" s="107"/>
      <c r="CT11" s="107"/>
      <c r="CU11" s="107"/>
      <c r="CV11" s="107"/>
      <c r="CW11" s="107"/>
      <c r="CX11" s="107"/>
      <c r="CY11" s="107"/>
      <c r="CZ11" s="107"/>
      <c r="DA11" s="107"/>
      <c r="DB11" s="107"/>
      <c r="DC11" s="107"/>
      <c r="DD11" s="107"/>
      <c r="DE11" s="107"/>
      <c r="DF11" s="107"/>
      <c r="DG11" s="107"/>
      <c r="DH11" s="107"/>
      <c r="DI11" s="107"/>
      <c r="DJ11" s="107"/>
      <c r="DK11" s="107"/>
      <c r="DL11" s="107"/>
      <c r="DM11" s="107"/>
      <c r="DN11" s="107"/>
      <c r="DO11" s="107"/>
      <c r="DP11" s="107"/>
      <c r="DQ11" s="107"/>
      <c r="DR11" s="107"/>
      <c r="DS11" s="107"/>
      <c r="DT11" s="107"/>
      <c r="DU11" s="107"/>
      <c r="DV11" s="107"/>
      <c r="DW11" s="107"/>
      <c r="DX11" s="107"/>
      <c r="DY11" s="107"/>
      <c r="DZ11" s="107"/>
      <c r="EA11" s="107"/>
      <c r="EB11" s="107"/>
      <c r="EC11" s="107"/>
      <c r="ED11" s="107"/>
      <c r="EE11" s="107"/>
      <c r="EF11" s="107"/>
      <c r="EG11" s="107"/>
    </row>
    <row r="12" spans="1:137" x14ac:dyDescent="0.25">
      <c r="A12" s="107"/>
      <c r="B12" s="107"/>
      <c r="C12" s="107"/>
      <c r="D12" s="107"/>
      <c r="E12" s="107"/>
      <c r="F12" s="107"/>
      <c r="G12" s="147" t="str">
        <f>IF(_ibpOfflineCondition_,"000000000000563902-1", _xll.EPMOlapMemberO("[PRDID].[].[000000000000563902-1]","","000000000000563902-1","","000"))</f>
        <v>000000000000563902-1</v>
      </c>
      <c r="H12" s="147" t="str">
        <f>IF(_ibpOfflineCondition_,"FGR+ FIGAROLLPLUS 5/280+40 ANTHR BRAMAC", _xll.EPMOlapMemberO("[PRDDESCR].[].[FGR+ FIGAROLLPLUS 5/280+40 ANTHR BRAMAC]","","FGR+ FIGAROLLPLUS 5/280+40 ANTHR BRAMAC","","000"))</f>
        <v>FGR+ FIGAROLLPLUS 5/280+40 ANTHR BRAMAC</v>
      </c>
      <c r="I12" s="147" t="str">
        <f>IF(_ibpOfflineCondition_,"X0", _xll.EPMOlapMemberO("[MRPTYPE].[].[X0]","","X0","","000"))</f>
        <v>X0</v>
      </c>
      <c r="J12" s="147" t="str">
        <f>IF(_ibpOfflineCondition_,"Total Open Production Receipts(Adjusted by PLT)", _xll.EPMOlapMemberO("[KEY_FIGURES].[].[ZTOTALOPENPRODUCTIONPLT]","","Total Open Production Receipts(Adjusted by PLT)","","000"))</f>
        <v>Total Open Production Receipts(Adjusted by PLT)</v>
      </c>
      <c r="K12" s="80">
        <v>450</v>
      </c>
      <c r="L12" s="79"/>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c r="BA12" s="58"/>
      <c r="BB12" s="58"/>
      <c r="BC12" s="58"/>
      <c r="BD12" s="58"/>
      <c r="BE12" s="58"/>
      <c r="BF12" s="58"/>
      <c r="BG12" s="58"/>
      <c r="BH12" s="58"/>
      <c r="BI12" s="58"/>
      <c r="BJ12" s="58"/>
      <c r="BK12" s="58"/>
      <c r="BL12" s="58"/>
      <c r="BM12" s="58"/>
      <c r="BN12" s="58"/>
      <c r="BO12" s="58"/>
      <c r="BP12" s="58"/>
      <c r="BQ12" s="58"/>
      <c r="BR12" s="58"/>
      <c r="BS12" s="58"/>
      <c r="BT12" s="58"/>
      <c r="BU12" s="58"/>
      <c r="BV12" s="58"/>
      <c r="BW12" s="58"/>
      <c r="BX12" s="107"/>
      <c r="BY12" s="107"/>
      <c r="BZ12" s="107"/>
      <c r="CA12" s="107"/>
      <c r="CB12" s="107"/>
      <c r="CC12" s="107"/>
      <c r="CD12" s="107"/>
      <c r="CE12" s="107"/>
      <c r="CF12" s="107"/>
      <c r="CG12" s="107"/>
      <c r="CH12" s="107"/>
      <c r="CI12" s="107"/>
      <c r="CJ12" s="107"/>
      <c r="CK12" s="107"/>
      <c r="CL12" s="107"/>
      <c r="CM12" s="107"/>
      <c r="CN12" s="107"/>
      <c r="CO12" s="107"/>
      <c r="CP12" s="107"/>
      <c r="CQ12" s="107"/>
      <c r="CR12" s="107"/>
      <c r="CS12" s="107"/>
      <c r="CT12" s="107"/>
      <c r="CU12" s="107"/>
      <c r="CV12" s="107"/>
      <c r="CW12" s="107"/>
      <c r="CX12" s="107"/>
      <c r="CY12" s="107"/>
      <c r="CZ12" s="107"/>
      <c r="DA12" s="107"/>
      <c r="DB12" s="107"/>
      <c r="DC12" s="107"/>
      <c r="DD12" s="107"/>
      <c r="DE12" s="107"/>
      <c r="DF12" s="107"/>
      <c r="DG12" s="107"/>
      <c r="DH12" s="107"/>
      <c r="DI12" s="107"/>
      <c r="DJ12" s="107"/>
      <c r="DK12" s="107"/>
      <c r="DL12" s="107"/>
      <c r="DM12" s="107"/>
      <c r="DN12" s="107"/>
      <c r="DO12" s="107"/>
      <c r="DP12" s="107"/>
      <c r="DQ12" s="107"/>
      <c r="DR12" s="107"/>
      <c r="DS12" s="107"/>
      <c r="DT12" s="107"/>
      <c r="DU12" s="107"/>
      <c r="DV12" s="107"/>
      <c r="DW12" s="107"/>
      <c r="DX12" s="107"/>
      <c r="DY12" s="107"/>
      <c r="DZ12" s="107"/>
      <c r="EA12" s="107"/>
      <c r="EB12" s="107"/>
      <c r="EC12" s="107"/>
      <c r="ED12" s="107"/>
      <c r="EE12" s="107"/>
      <c r="EF12" s="107"/>
      <c r="EG12" s="107"/>
    </row>
    <row r="13" spans="1:137" x14ac:dyDescent="0.25">
      <c r="A13" s="107"/>
      <c r="B13" s="107"/>
      <c r="C13" s="107"/>
      <c r="D13" s="107"/>
      <c r="E13" s="107"/>
      <c r="F13" s="107"/>
      <c r="G13" s="147" t="str">
        <f>IF(_ibpOfflineCondition_,"000000000000563902-1", _xll.EPMOlapMemberO("[PRDID].[].[000000000000563902-1]","","000000000000563902-1","","000"))</f>
        <v>000000000000563902-1</v>
      </c>
      <c r="H13" s="147" t="str">
        <f>IF(_ibpOfflineCondition_,"FGR+ FIGAROLLPLUS 5/280+40 ANTHR BRAMAC", _xll.EPMOlapMemberO("[PRDDESCR].[].[FGR+ FIGAROLLPLUS 5/280+40 ANTHR BRAMAC]","","FGR+ FIGAROLLPLUS 5/280+40 ANTHR BRAMAC","","000"))</f>
        <v>FGR+ FIGAROLLPLUS 5/280+40 ANTHR BRAMAC</v>
      </c>
      <c r="I13" s="147" t="str">
        <f>IF(_ibpOfflineCondition_,"X0", _xll.EPMOlapMemberO("[MRPTYPE].[].[X0]","","X0","","000"))</f>
        <v>X0</v>
      </c>
      <c r="J13" s="147" t="str">
        <f>IF(_ibpOfflineCondition_,"Production Receipt (Adjusted by PLT)", _xll.EPMOlapMemberO("[KEY_FIGURES].[].[ZPRODUCTIONSUPPLY]","","Production Receipt (Adjusted by PLT)","","000"))</f>
        <v>Production Receipt (Adjusted by PLT)</v>
      </c>
      <c r="K13" s="80">
        <v>450</v>
      </c>
      <c r="L13" s="79"/>
      <c r="M13" s="58"/>
      <c r="N13" s="58"/>
      <c r="O13" s="58">
        <v>3870</v>
      </c>
      <c r="P13" s="58">
        <v>180</v>
      </c>
      <c r="Q13" s="58"/>
      <c r="R13" s="58"/>
      <c r="S13" s="58"/>
      <c r="T13" s="58">
        <v>1080</v>
      </c>
      <c r="U13" s="58"/>
      <c r="V13" s="58"/>
      <c r="W13" s="58">
        <v>270</v>
      </c>
      <c r="X13" s="58">
        <v>720</v>
      </c>
      <c r="Y13" s="58"/>
      <c r="Z13" s="58"/>
      <c r="AA13" s="58">
        <v>2160</v>
      </c>
      <c r="AB13" s="58">
        <v>180</v>
      </c>
      <c r="AC13" s="58"/>
      <c r="AD13" s="58"/>
      <c r="AE13" s="58">
        <v>900</v>
      </c>
      <c r="AF13" s="58">
        <v>1170</v>
      </c>
      <c r="AG13" s="58"/>
      <c r="AH13" s="58"/>
      <c r="AI13" s="58">
        <v>360</v>
      </c>
      <c r="AJ13" s="58"/>
      <c r="AK13" s="58"/>
      <c r="AL13" s="58">
        <v>1260</v>
      </c>
      <c r="AM13" s="58"/>
      <c r="AN13" s="58"/>
      <c r="AO13" s="58">
        <v>630</v>
      </c>
      <c r="AP13" s="58">
        <v>1170</v>
      </c>
      <c r="AQ13" s="58"/>
      <c r="AR13" s="58"/>
      <c r="AS13" s="58">
        <v>270</v>
      </c>
      <c r="AT13" s="58">
        <v>810</v>
      </c>
      <c r="AU13" s="58"/>
      <c r="AV13" s="58"/>
      <c r="AW13" s="58">
        <v>360</v>
      </c>
      <c r="AX13" s="58">
        <v>810</v>
      </c>
      <c r="AY13" s="58"/>
      <c r="AZ13" s="58"/>
      <c r="BA13" s="58"/>
      <c r="BB13" s="58">
        <v>180</v>
      </c>
      <c r="BC13" s="58">
        <v>990</v>
      </c>
      <c r="BD13" s="58"/>
      <c r="BE13" s="58"/>
      <c r="BF13" s="58"/>
      <c r="BG13" s="58"/>
      <c r="BH13" s="58">
        <v>1800</v>
      </c>
      <c r="BI13" s="58"/>
      <c r="BJ13" s="58"/>
      <c r="BK13" s="58"/>
      <c r="BL13" s="58">
        <v>557.82057999999995</v>
      </c>
      <c r="BM13" s="58">
        <v>975.06310699999995</v>
      </c>
      <c r="BN13" s="58"/>
      <c r="BO13" s="58"/>
      <c r="BP13" s="58">
        <v>248.882327</v>
      </c>
      <c r="BQ13" s="58">
        <v>1035.5420770000001</v>
      </c>
      <c r="BR13" s="58"/>
      <c r="BS13" s="58"/>
      <c r="BT13" s="58">
        <v>418.44276000000002</v>
      </c>
      <c r="BU13" s="58">
        <v>1719.4379859999999</v>
      </c>
      <c r="BV13" s="58"/>
      <c r="BW13" s="58"/>
      <c r="BX13" s="107"/>
      <c r="BY13" s="107"/>
      <c r="BZ13" s="107"/>
      <c r="CA13" s="107"/>
      <c r="CB13" s="107"/>
      <c r="CC13" s="107"/>
      <c r="CD13" s="107"/>
      <c r="CE13" s="107"/>
      <c r="CF13" s="107"/>
      <c r="CG13" s="107"/>
      <c r="CH13" s="107"/>
      <c r="CI13" s="107"/>
      <c r="CJ13" s="107"/>
      <c r="CK13" s="107"/>
      <c r="CL13" s="107"/>
      <c r="CM13" s="107"/>
      <c r="CN13" s="107"/>
      <c r="CO13" s="107"/>
      <c r="CP13" s="107"/>
      <c r="CQ13" s="107"/>
      <c r="CR13" s="107"/>
      <c r="CS13" s="107"/>
      <c r="CT13" s="107"/>
      <c r="CU13" s="107"/>
      <c r="CV13" s="107"/>
      <c r="CW13" s="107"/>
      <c r="CX13" s="107"/>
      <c r="CY13" s="107"/>
      <c r="CZ13" s="107"/>
      <c r="DA13" s="107"/>
      <c r="DB13" s="107"/>
      <c r="DC13" s="107"/>
      <c r="DD13" s="107"/>
      <c r="DE13" s="107"/>
      <c r="DF13" s="107"/>
      <c r="DG13" s="107"/>
      <c r="DH13" s="107"/>
      <c r="DI13" s="107"/>
      <c r="DJ13" s="107"/>
      <c r="DK13" s="107"/>
      <c r="DL13" s="107"/>
      <c r="DM13" s="107"/>
      <c r="DN13" s="107"/>
      <c r="DO13" s="107"/>
      <c r="DP13" s="107"/>
      <c r="DQ13" s="107"/>
      <c r="DR13" s="107"/>
      <c r="DS13" s="107"/>
      <c r="DT13" s="107"/>
      <c r="DU13" s="107"/>
      <c r="DV13" s="107"/>
      <c r="DW13" s="107"/>
      <c r="DX13" s="107"/>
      <c r="DY13" s="107"/>
      <c r="DZ13" s="107"/>
      <c r="EA13" s="107"/>
      <c r="EB13" s="107"/>
      <c r="EC13" s="107"/>
      <c r="ED13" s="107"/>
      <c r="EE13" s="107"/>
      <c r="EF13" s="107"/>
      <c r="EG13" s="107"/>
    </row>
    <row r="14" spans="1:137" x14ac:dyDescent="0.25">
      <c r="A14" s="107"/>
      <c r="B14" s="107"/>
      <c r="C14" s="107"/>
      <c r="D14" s="107"/>
      <c r="E14" s="107"/>
      <c r="F14" s="107"/>
      <c r="G14" s="147" t="str">
        <f>IF(_ibpOfflineCondition_,"000000000000563903-1", _xll.EPMOlapMemberO("[PRDID].[].[000000000000563903-1]","","000000000000563903-1","","000"))</f>
        <v>000000000000563903-1</v>
      </c>
      <c r="H14" s="147" t="str">
        <f>IF(_ibpOfflineCondition_,"FGR+ FIGAROLLPLUS 5/280+40 ROT BRAMAC", _xll.EPMOlapMemberO("[PRDDESCR].[].[FGR+ FIGAROLLPLUS 5/280+40 ROT BRAMAC]","","FGR+ FIGAROLLPLUS 5/280+40 ROT BRAMAC","","000"))</f>
        <v>FGR+ FIGAROLLPLUS 5/280+40 ROT BRAMAC</v>
      </c>
      <c r="I14" s="147" t="str">
        <f>IF(_ibpOfflineCondition_,"X0", _xll.EPMOlapMemberO("[MRPTYPE].[].[X0]","","X0","","000"))</f>
        <v>X0</v>
      </c>
      <c r="J14" s="147" t="str">
        <f>IF(_ibpOfflineCondition_,"Firmed Production Plan (Adjusted by PLT)", _xll.EPMOlapMemberO("[KEY_FIGURES].[].[ZFIRMEDPRODUCTIONPLT]","","Firmed Production Plan (Adjusted by PLT)","","000"))</f>
        <v>Firmed Production Plan (Adjusted by PLT)</v>
      </c>
      <c r="K14" s="80"/>
      <c r="L14" s="79"/>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107"/>
      <c r="BY14" s="107"/>
      <c r="BZ14" s="107"/>
      <c r="CA14" s="107"/>
      <c r="CB14" s="107"/>
      <c r="CC14" s="107"/>
      <c r="CD14" s="107"/>
      <c r="CE14" s="107"/>
      <c r="CF14" s="107"/>
      <c r="CG14" s="107"/>
      <c r="CH14" s="107"/>
      <c r="CI14" s="107"/>
      <c r="CJ14" s="107"/>
      <c r="CK14" s="107"/>
      <c r="CL14" s="107"/>
      <c r="CM14" s="107"/>
      <c r="CN14" s="107"/>
      <c r="CO14" s="107"/>
      <c r="CP14" s="107"/>
      <c r="CQ14" s="107"/>
      <c r="CR14" s="107"/>
      <c r="CS14" s="107"/>
      <c r="CT14" s="107"/>
      <c r="CU14" s="107"/>
      <c r="CV14" s="107"/>
      <c r="CW14" s="107"/>
      <c r="CX14" s="107"/>
      <c r="CY14" s="107"/>
      <c r="CZ14" s="107"/>
      <c r="DA14" s="107"/>
      <c r="DB14" s="107"/>
      <c r="DC14" s="107"/>
      <c r="DD14" s="107"/>
      <c r="DE14" s="107"/>
      <c r="DF14" s="107"/>
      <c r="DG14" s="107"/>
      <c r="DH14" s="107"/>
      <c r="DI14" s="107"/>
      <c r="DJ14" s="107"/>
      <c r="DK14" s="107"/>
      <c r="DL14" s="107"/>
      <c r="DM14" s="107"/>
      <c r="DN14" s="107"/>
      <c r="DO14" s="107"/>
      <c r="DP14" s="107"/>
      <c r="DQ14" s="107"/>
      <c r="DR14" s="107"/>
      <c r="DS14" s="107"/>
      <c r="DT14" s="107"/>
      <c r="DU14" s="107"/>
      <c r="DV14" s="107"/>
      <c r="DW14" s="107"/>
      <c r="DX14" s="107"/>
      <c r="DY14" s="107"/>
      <c r="DZ14" s="107"/>
      <c r="EA14" s="107"/>
      <c r="EB14" s="107"/>
      <c r="EC14" s="107"/>
      <c r="ED14" s="107"/>
      <c r="EE14" s="107"/>
      <c r="EF14" s="107"/>
      <c r="EG14" s="107"/>
    </row>
    <row r="15" spans="1:137" x14ac:dyDescent="0.25">
      <c r="A15" s="107"/>
      <c r="B15" s="107"/>
      <c r="C15" s="107"/>
      <c r="D15" s="107"/>
      <c r="E15" s="107"/>
      <c r="F15" s="107"/>
      <c r="G15" s="147" t="str">
        <f>IF(_ibpOfflineCondition_,"000000000000563903-1", _xll.EPMOlapMemberO("[PRDID].[].[000000000000563903-1]","","000000000000563903-1","","000"))</f>
        <v>000000000000563903-1</v>
      </c>
      <c r="H15" s="147" t="str">
        <f>IF(_ibpOfflineCondition_,"FGR+ FIGAROLLPLUS 5/280+40 ROT BRAMAC", _xll.EPMOlapMemberO("[PRDDESCR].[].[FGR+ FIGAROLLPLUS 5/280+40 ROT BRAMAC]","","FGR+ FIGAROLLPLUS 5/280+40 ROT BRAMAC","","000"))</f>
        <v>FGR+ FIGAROLLPLUS 5/280+40 ROT BRAMAC</v>
      </c>
      <c r="I15" s="147" t="str">
        <f>IF(_ibpOfflineCondition_,"X0", _xll.EPMOlapMemberO("[MRPTYPE].[].[X0]","","X0","","000"))</f>
        <v>X0</v>
      </c>
      <c r="J15" s="147" t="str">
        <f>IF(_ibpOfflineCondition_,"Open Production Orders (Adjusted by PLT)", _xll.EPMOlapMemberO("[KEY_FIGURES].[].[ZOPENPRODUCTIONORDERPLT]","","Open Production Orders (Adjusted by PLT)","","000"))</f>
        <v>Open Production Orders (Adjusted by PLT)</v>
      </c>
      <c r="K15" s="80"/>
      <c r="L15" s="79"/>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c r="BA15" s="58"/>
      <c r="BB15" s="58"/>
      <c r="BC15" s="58"/>
      <c r="BD15" s="58"/>
      <c r="BE15" s="58"/>
      <c r="BF15" s="58"/>
      <c r="BG15" s="58"/>
      <c r="BH15" s="58"/>
      <c r="BI15" s="58"/>
      <c r="BJ15" s="58"/>
      <c r="BK15" s="58"/>
      <c r="BL15" s="58"/>
      <c r="BM15" s="58"/>
      <c r="BN15" s="58"/>
      <c r="BO15" s="58"/>
      <c r="BP15" s="58"/>
      <c r="BQ15" s="58"/>
      <c r="BR15" s="58"/>
      <c r="BS15" s="58"/>
      <c r="BT15" s="58"/>
      <c r="BU15" s="58"/>
      <c r="BV15" s="58"/>
      <c r="BW15" s="58"/>
      <c r="BX15" s="107"/>
      <c r="BY15" s="107"/>
      <c r="BZ15" s="107"/>
      <c r="CA15" s="107"/>
      <c r="CB15" s="107"/>
      <c r="CC15" s="107"/>
      <c r="CD15" s="107"/>
      <c r="CE15" s="107"/>
      <c r="CF15" s="107"/>
      <c r="CG15" s="107"/>
      <c r="CH15" s="107"/>
      <c r="CI15" s="107"/>
      <c r="CJ15" s="107"/>
      <c r="CK15" s="107"/>
      <c r="CL15" s="107"/>
      <c r="CM15" s="107"/>
      <c r="CN15" s="107"/>
      <c r="CO15" s="107"/>
      <c r="CP15" s="107"/>
      <c r="CQ15" s="107"/>
      <c r="CR15" s="107"/>
      <c r="CS15" s="107"/>
      <c r="CT15" s="107"/>
      <c r="CU15" s="107"/>
      <c r="CV15" s="107"/>
      <c r="CW15" s="107"/>
      <c r="CX15" s="107"/>
      <c r="CY15" s="107"/>
      <c r="CZ15" s="107"/>
      <c r="DA15" s="107"/>
      <c r="DB15" s="107"/>
      <c r="DC15" s="107"/>
      <c r="DD15" s="107"/>
      <c r="DE15" s="107"/>
      <c r="DF15" s="107"/>
      <c r="DG15" s="107"/>
      <c r="DH15" s="107"/>
      <c r="DI15" s="107"/>
      <c r="DJ15" s="107"/>
      <c r="DK15" s="107"/>
      <c r="DL15" s="107"/>
      <c r="DM15" s="107"/>
      <c r="DN15" s="107"/>
      <c r="DO15" s="107"/>
      <c r="DP15" s="107"/>
      <c r="DQ15" s="107"/>
      <c r="DR15" s="107"/>
      <c r="DS15" s="107"/>
      <c r="DT15" s="107"/>
      <c r="DU15" s="107"/>
      <c r="DV15" s="107"/>
      <c r="DW15" s="107"/>
      <c r="DX15" s="107"/>
      <c r="DY15" s="107"/>
      <c r="DZ15" s="107"/>
      <c r="EA15" s="107"/>
      <c r="EB15" s="107"/>
      <c r="EC15" s="107"/>
      <c r="ED15" s="107"/>
      <c r="EE15" s="107"/>
      <c r="EF15" s="107"/>
      <c r="EG15" s="107"/>
    </row>
    <row r="16" spans="1:137" x14ac:dyDescent="0.25">
      <c r="A16" s="107"/>
      <c r="B16" s="107"/>
      <c r="C16" s="107"/>
      <c r="D16" s="107"/>
      <c r="E16" s="107"/>
      <c r="F16" s="107"/>
      <c r="G16" s="147" t="str">
        <f>IF(_ibpOfflineCondition_,"000000000000563903-1", _xll.EPMOlapMemberO("[PRDID].[].[000000000000563903-1]","","000000000000563903-1","","000"))</f>
        <v>000000000000563903-1</v>
      </c>
      <c r="H16" s="147" t="str">
        <f>IF(_ibpOfflineCondition_,"FGR+ FIGAROLLPLUS 5/280+40 ROT BRAMAC", _xll.EPMOlapMemberO("[PRDDESCR].[].[FGR+ FIGAROLLPLUS 5/280+40 ROT BRAMAC]","","FGR+ FIGAROLLPLUS 5/280+40 ROT BRAMAC","","000"))</f>
        <v>FGR+ FIGAROLLPLUS 5/280+40 ROT BRAMAC</v>
      </c>
      <c r="I16" s="147" t="str">
        <f>IF(_ibpOfflineCondition_,"X0", _xll.EPMOlapMemberO("[MRPTYPE].[].[X0]","","X0","","000"))</f>
        <v>X0</v>
      </c>
      <c r="J16" s="147" t="str">
        <f>IF(_ibpOfflineCondition_,"Total Open Production Receipts(Adjusted by PLT)", _xll.EPMOlapMemberO("[KEY_FIGURES].[].[ZTOTALOPENPRODUCTIONPLT]","","Total Open Production Receipts(Adjusted by PLT)","","000"))</f>
        <v>Total Open Production Receipts(Adjusted by PLT)</v>
      </c>
      <c r="K16" s="80"/>
      <c r="L16" s="79"/>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c r="BA16" s="58"/>
      <c r="BB16" s="58"/>
      <c r="BC16" s="58"/>
      <c r="BD16" s="58"/>
      <c r="BE16" s="58"/>
      <c r="BF16" s="58"/>
      <c r="BG16" s="58"/>
      <c r="BH16" s="58"/>
      <c r="BI16" s="58"/>
      <c r="BJ16" s="58"/>
      <c r="BK16" s="58"/>
      <c r="BL16" s="58"/>
      <c r="BM16" s="58"/>
      <c r="BN16" s="58"/>
      <c r="BO16" s="58"/>
      <c r="BP16" s="58"/>
      <c r="BQ16" s="58"/>
      <c r="BR16" s="58"/>
      <c r="BS16" s="58"/>
      <c r="BT16" s="58"/>
      <c r="BU16" s="58"/>
      <c r="BV16" s="58"/>
      <c r="BW16" s="58"/>
      <c r="BX16" s="107"/>
      <c r="BY16" s="107"/>
      <c r="BZ16" s="107"/>
      <c r="CA16" s="107"/>
      <c r="CB16" s="107"/>
      <c r="CC16" s="107"/>
      <c r="CD16" s="107"/>
      <c r="CE16" s="107"/>
      <c r="CF16" s="107"/>
      <c r="CG16" s="107"/>
      <c r="CH16" s="107"/>
      <c r="CI16" s="107"/>
      <c r="CJ16" s="107"/>
      <c r="CK16" s="107"/>
      <c r="CL16" s="107"/>
      <c r="CM16" s="107"/>
      <c r="CN16" s="107"/>
      <c r="CO16" s="107"/>
      <c r="CP16" s="107"/>
      <c r="CQ16" s="107"/>
      <c r="CR16" s="107"/>
      <c r="CS16" s="107"/>
      <c r="CT16" s="107"/>
      <c r="CU16" s="107"/>
      <c r="CV16" s="107"/>
      <c r="CW16" s="107"/>
      <c r="CX16" s="107"/>
      <c r="CY16" s="107"/>
      <c r="CZ16" s="107"/>
      <c r="DA16" s="107"/>
      <c r="DB16" s="107"/>
      <c r="DC16" s="107"/>
      <c r="DD16" s="107"/>
      <c r="DE16" s="107"/>
      <c r="DF16" s="107"/>
      <c r="DG16" s="107"/>
      <c r="DH16" s="107"/>
      <c r="DI16" s="107"/>
      <c r="DJ16" s="107"/>
      <c r="DK16" s="107"/>
      <c r="DL16" s="107"/>
      <c r="DM16" s="107"/>
      <c r="DN16" s="107"/>
      <c r="DO16" s="107"/>
      <c r="DP16" s="107"/>
      <c r="DQ16" s="107"/>
      <c r="DR16" s="107"/>
      <c r="DS16" s="107"/>
      <c r="DT16" s="107"/>
      <c r="DU16" s="107"/>
      <c r="DV16" s="107"/>
      <c r="DW16" s="107"/>
      <c r="DX16" s="107"/>
      <c r="DY16" s="107"/>
      <c r="DZ16" s="107"/>
      <c r="EA16" s="107"/>
      <c r="EB16" s="107"/>
      <c r="EC16" s="107"/>
      <c r="ED16" s="107"/>
      <c r="EE16" s="107"/>
      <c r="EF16" s="107"/>
      <c r="EG16" s="107"/>
    </row>
    <row r="17" spans="1:137" x14ac:dyDescent="0.25">
      <c r="A17" s="107"/>
      <c r="B17" s="107"/>
      <c r="C17" s="107"/>
      <c r="D17" s="107"/>
      <c r="E17" s="107"/>
      <c r="F17" s="107"/>
      <c r="G17" s="147" t="str">
        <f>IF(_ibpOfflineCondition_,"000000000000563903-1", _xll.EPMOlapMemberO("[PRDID].[].[000000000000563903-1]","","000000000000563903-1","","000"))</f>
        <v>000000000000563903-1</v>
      </c>
      <c r="H17" s="147" t="str">
        <f>IF(_ibpOfflineCondition_,"FGR+ FIGAROLLPLUS 5/280+40 ROT BRAMAC", _xll.EPMOlapMemberO("[PRDDESCR].[].[FGR+ FIGAROLLPLUS 5/280+40 ROT BRAMAC]","","FGR+ FIGAROLLPLUS 5/280+40 ROT BRAMAC","","000"))</f>
        <v>FGR+ FIGAROLLPLUS 5/280+40 ROT BRAMAC</v>
      </c>
      <c r="I17" s="147" t="str">
        <f>IF(_ibpOfflineCondition_,"X0", _xll.EPMOlapMemberO("[MRPTYPE].[].[X0]","","X0","","000"))</f>
        <v>X0</v>
      </c>
      <c r="J17" s="147" t="str">
        <f>IF(_ibpOfflineCondition_,"Production Receipt (Adjusted by PLT)", _xll.EPMOlapMemberO("[KEY_FIGURES].[].[ZPRODUCTIONSUPPLY]","","Production Receipt (Adjusted by PLT)","","000"))</f>
        <v>Production Receipt (Adjusted by PLT)</v>
      </c>
      <c r="K17" s="80"/>
      <c r="L17" s="79"/>
      <c r="M17" s="58"/>
      <c r="N17" s="58"/>
      <c r="O17" s="58">
        <v>1350</v>
      </c>
      <c r="P17" s="58"/>
      <c r="Q17" s="58"/>
      <c r="R17" s="58"/>
      <c r="S17" s="58">
        <v>540</v>
      </c>
      <c r="T17" s="58">
        <v>180</v>
      </c>
      <c r="U17" s="58"/>
      <c r="V17" s="58"/>
      <c r="W17" s="58"/>
      <c r="X17" s="58">
        <v>450</v>
      </c>
      <c r="Y17" s="58"/>
      <c r="Z17" s="58"/>
      <c r="AA17" s="58">
        <v>630</v>
      </c>
      <c r="AB17" s="58"/>
      <c r="AC17" s="58"/>
      <c r="AD17" s="58"/>
      <c r="AE17" s="58">
        <v>540</v>
      </c>
      <c r="AF17" s="58">
        <v>990</v>
      </c>
      <c r="AG17" s="58"/>
      <c r="AH17" s="58"/>
      <c r="AI17" s="58"/>
      <c r="AJ17" s="58"/>
      <c r="AK17" s="58"/>
      <c r="AL17" s="58">
        <v>450</v>
      </c>
      <c r="AM17" s="58"/>
      <c r="AN17" s="58"/>
      <c r="AO17" s="58">
        <v>540</v>
      </c>
      <c r="AP17" s="58">
        <v>270</v>
      </c>
      <c r="AQ17" s="58"/>
      <c r="AR17" s="58"/>
      <c r="AS17" s="58">
        <v>720</v>
      </c>
      <c r="AT17" s="58"/>
      <c r="AU17" s="58"/>
      <c r="AV17" s="58"/>
      <c r="AW17" s="58"/>
      <c r="AX17" s="58">
        <v>180</v>
      </c>
      <c r="AY17" s="58"/>
      <c r="AZ17" s="58"/>
      <c r="BA17" s="58"/>
      <c r="BB17" s="58">
        <v>180</v>
      </c>
      <c r="BC17" s="58">
        <v>360</v>
      </c>
      <c r="BD17" s="58"/>
      <c r="BE17" s="58"/>
      <c r="BF17" s="58"/>
      <c r="BG17" s="58"/>
      <c r="BH17" s="58">
        <v>540</v>
      </c>
      <c r="BI17" s="58"/>
      <c r="BJ17" s="58"/>
      <c r="BK17" s="58"/>
      <c r="BL17" s="58">
        <v>426.58058499999999</v>
      </c>
      <c r="BM17" s="58">
        <v>422.72586200000001</v>
      </c>
      <c r="BN17" s="58"/>
      <c r="BO17" s="58"/>
      <c r="BP17" s="58">
        <v>86.408119999999997</v>
      </c>
      <c r="BQ17" s="58">
        <v>443.46944999999999</v>
      </c>
      <c r="BR17" s="58"/>
      <c r="BS17" s="58"/>
      <c r="BT17" s="58">
        <v>452.29253</v>
      </c>
      <c r="BU17" s="58">
        <v>182.28792300000001</v>
      </c>
      <c r="BV17" s="58"/>
      <c r="BW17" s="58"/>
      <c r="BX17" s="107"/>
      <c r="BY17" s="107"/>
      <c r="BZ17" s="107"/>
      <c r="CA17" s="107"/>
      <c r="CB17" s="107"/>
      <c r="CC17" s="107"/>
      <c r="CD17" s="107"/>
      <c r="CE17" s="107"/>
      <c r="CF17" s="107"/>
      <c r="CG17" s="107"/>
      <c r="CH17" s="107"/>
      <c r="CI17" s="107"/>
      <c r="CJ17" s="107"/>
      <c r="CK17" s="107"/>
      <c r="CL17" s="107"/>
      <c r="CM17" s="107"/>
      <c r="CN17" s="107"/>
      <c r="CO17" s="107"/>
      <c r="CP17" s="107"/>
      <c r="CQ17" s="107"/>
      <c r="CR17" s="107"/>
      <c r="CS17" s="107"/>
      <c r="CT17" s="107"/>
      <c r="CU17" s="107"/>
      <c r="CV17" s="107"/>
      <c r="CW17" s="107"/>
      <c r="CX17" s="107"/>
      <c r="CY17" s="107"/>
      <c r="CZ17" s="107"/>
      <c r="DA17" s="107"/>
      <c r="DB17" s="107"/>
      <c r="DC17" s="107"/>
      <c r="DD17" s="107"/>
      <c r="DE17" s="107"/>
      <c r="DF17" s="107"/>
      <c r="DG17" s="107"/>
      <c r="DH17" s="107"/>
      <c r="DI17" s="107"/>
      <c r="DJ17" s="107"/>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row>
    <row r="18" spans="1:137" x14ac:dyDescent="0.25">
      <c r="A18" s="107"/>
      <c r="B18" s="107"/>
      <c r="C18" s="107"/>
      <c r="D18" s="107"/>
      <c r="E18" s="107"/>
      <c r="F18" s="107"/>
      <c r="G18" s="147" t="str">
        <f>IF(_ibpOfflineCondition_,"000000000000564301-1", _xll.EPMOlapMemberO("[PRDID].[].[000000000000564301-1]","","000000000000564301-1","","000"))</f>
        <v>000000000000564301-1</v>
      </c>
      <c r="H18" s="147" t="str">
        <f>IF(_ibpOfflineCondition_,"FGR+ AIRBAND PLUS 5/340+40 BRAUN MIT", _xll.EPMOlapMemberO("[PRDDESCR].[].[FGR+ AIRBAND PLUS 5/340+40 BRAUN MIT]","","FGR+ AIRBAND PLUS 5/340+40 BRAUN MIT","","000"))</f>
        <v>FGR+ AIRBAND PLUS 5/340+40 BRAUN MIT</v>
      </c>
      <c r="I18" s="147" t="str">
        <f>IF(_ibpOfflineCondition_,"X7", _xll.EPMOlapMemberO("[MRPTYPE].[].[X7]","","X7","","000"))</f>
        <v>X7</v>
      </c>
      <c r="J18" s="147" t="str">
        <f>IF(_ibpOfflineCondition_,"Firmed Production Plan (Adjusted by PLT)", _xll.EPMOlapMemberO("[KEY_FIGURES].[].[ZFIRMEDPRODUCTIONPLT]","","Firmed Production Plan (Adjusted by PLT)","","000"))</f>
        <v>Firmed Production Plan (Adjusted by PLT)</v>
      </c>
      <c r="K18" s="80"/>
      <c r="L18" s="79"/>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W18" s="58"/>
      <c r="BX18" s="107"/>
      <c r="BY18" s="107"/>
      <c r="BZ18" s="107"/>
      <c r="CA18" s="107"/>
      <c r="CB18" s="107"/>
      <c r="CC18" s="107"/>
      <c r="CD18" s="107"/>
      <c r="CE18" s="107"/>
      <c r="CF18" s="107"/>
      <c r="CG18" s="107"/>
      <c r="CH18" s="107"/>
      <c r="CI18" s="107"/>
      <c r="CJ18" s="107"/>
      <c r="CK18" s="107"/>
      <c r="CL18" s="107"/>
      <c r="CM18" s="107"/>
      <c r="CN18" s="107"/>
      <c r="CO18" s="107"/>
      <c r="CP18" s="107"/>
      <c r="CQ18" s="107"/>
      <c r="CR18" s="107"/>
      <c r="CS18" s="107"/>
      <c r="CT18" s="107"/>
      <c r="CU18" s="107"/>
      <c r="CV18" s="107"/>
      <c r="CW18" s="107"/>
      <c r="CX18" s="107"/>
      <c r="CY18" s="107"/>
      <c r="CZ18" s="107"/>
      <c r="DA18" s="107"/>
      <c r="DB18" s="107"/>
      <c r="DC18" s="107"/>
      <c r="DD18" s="107"/>
      <c r="DE18" s="107"/>
      <c r="DF18" s="107"/>
      <c r="DG18" s="107"/>
      <c r="DH18" s="107"/>
      <c r="DI18" s="107"/>
      <c r="DJ18" s="107"/>
      <c r="DK18" s="107"/>
      <c r="DL18" s="107"/>
      <c r="DM18" s="107"/>
      <c r="DN18" s="107"/>
      <c r="DO18" s="107"/>
      <c r="DP18" s="107"/>
      <c r="DQ18" s="107"/>
      <c r="DR18" s="107"/>
      <c r="DS18" s="107"/>
      <c r="DT18" s="107"/>
      <c r="DU18" s="107"/>
      <c r="DV18" s="107"/>
      <c r="DW18" s="107"/>
      <c r="DX18" s="107"/>
      <c r="DY18" s="107"/>
      <c r="DZ18" s="107"/>
      <c r="EA18" s="107"/>
      <c r="EB18" s="107"/>
      <c r="EC18" s="107"/>
      <c r="ED18" s="107"/>
      <c r="EE18" s="107"/>
      <c r="EF18" s="107"/>
      <c r="EG18" s="107"/>
    </row>
    <row r="19" spans="1:137" x14ac:dyDescent="0.25">
      <c r="A19" s="107"/>
      <c r="B19" s="107"/>
      <c r="C19" s="107"/>
      <c r="D19" s="107"/>
      <c r="E19" s="107"/>
      <c r="F19" s="107"/>
      <c r="G19" s="147" t="str">
        <f>IF(_ibpOfflineCondition_,"000000000000564301-1", _xll.EPMOlapMemberO("[PRDID].[].[000000000000564301-1]","","000000000000564301-1","","000"))</f>
        <v>000000000000564301-1</v>
      </c>
      <c r="H19" s="147" t="str">
        <f>IF(_ibpOfflineCondition_,"FGR+ AIRBAND PLUS 5/340+40 BRAUN MIT", _xll.EPMOlapMemberO("[PRDDESCR].[].[FGR+ AIRBAND PLUS 5/340+40 BRAUN MIT]","","FGR+ AIRBAND PLUS 5/340+40 BRAUN MIT","","000"))</f>
        <v>FGR+ AIRBAND PLUS 5/340+40 BRAUN MIT</v>
      </c>
      <c r="I19" s="147" t="str">
        <f>IF(_ibpOfflineCondition_,"X7", _xll.EPMOlapMemberO("[MRPTYPE].[].[X7]","","X7","","000"))</f>
        <v>X7</v>
      </c>
      <c r="J19" s="147" t="str">
        <f>IF(_ibpOfflineCondition_,"Open Production Orders (Adjusted by PLT)", _xll.EPMOlapMemberO("[KEY_FIGURES].[].[ZOPENPRODUCTIONORDERPLT]","","Open Production Orders (Adjusted by PLT)","","000"))</f>
        <v>Open Production Orders (Adjusted by PLT)</v>
      </c>
      <c r="K19" s="80"/>
      <c r="L19" s="79"/>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W19" s="58"/>
      <c r="BX19" s="107"/>
      <c r="BY19" s="107"/>
      <c r="BZ19" s="107"/>
      <c r="CA19" s="107"/>
      <c r="CB19" s="107"/>
      <c r="CC19" s="107"/>
      <c r="CD19" s="107"/>
      <c r="CE19" s="107"/>
      <c r="CF19" s="107"/>
      <c r="CG19" s="107"/>
      <c r="CH19" s="107"/>
      <c r="CI19" s="107"/>
      <c r="CJ19" s="107"/>
      <c r="CK19" s="107"/>
      <c r="CL19" s="107"/>
      <c r="CM19" s="107"/>
      <c r="CN19" s="107"/>
      <c r="CO19" s="107"/>
      <c r="CP19" s="107"/>
      <c r="CQ19" s="107"/>
      <c r="CR19" s="107"/>
      <c r="CS19" s="107"/>
      <c r="CT19" s="107"/>
      <c r="CU19" s="107"/>
      <c r="CV19" s="107"/>
      <c r="CW19" s="107"/>
      <c r="CX19" s="107"/>
      <c r="CY19" s="107"/>
      <c r="CZ19" s="107"/>
      <c r="DA19" s="107"/>
      <c r="DB19" s="107"/>
      <c r="DC19" s="107"/>
      <c r="DD19" s="107"/>
      <c r="DE19" s="107"/>
      <c r="DF19" s="107"/>
      <c r="DG19" s="107"/>
      <c r="DH19" s="107"/>
      <c r="DI19" s="107"/>
      <c r="DJ19" s="107"/>
      <c r="DK19" s="107"/>
      <c r="DL19" s="107"/>
      <c r="DM19" s="107"/>
      <c r="DN19" s="107"/>
      <c r="DO19" s="107"/>
      <c r="DP19" s="107"/>
      <c r="DQ19" s="107"/>
      <c r="DR19" s="107"/>
      <c r="DS19" s="107"/>
      <c r="DT19" s="107"/>
      <c r="DU19" s="107"/>
      <c r="DV19" s="107"/>
      <c r="DW19" s="107"/>
      <c r="DX19" s="107"/>
      <c r="DY19" s="107"/>
      <c r="DZ19" s="107"/>
      <c r="EA19" s="107"/>
      <c r="EB19" s="107"/>
      <c r="EC19" s="107"/>
      <c r="ED19" s="107"/>
      <c r="EE19" s="107"/>
      <c r="EF19" s="107"/>
      <c r="EG19" s="107"/>
    </row>
    <row r="20" spans="1:137" x14ac:dyDescent="0.25">
      <c r="A20" s="107"/>
      <c r="B20" s="107"/>
      <c r="C20" s="107"/>
      <c r="D20" s="107"/>
      <c r="E20" s="107"/>
      <c r="F20" s="107"/>
      <c r="G20" s="147" t="str">
        <f>IF(_ibpOfflineCondition_,"000000000000564301-1", _xll.EPMOlapMemberO("[PRDID].[].[000000000000564301-1]","","000000000000564301-1","","000"))</f>
        <v>000000000000564301-1</v>
      </c>
      <c r="H20" s="147" t="str">
        <f>IF(_ibpOfflineCondition_,"FGR+ AIRBAND PLUS 5/340+40 BRAUN MIT", _xll.EPMOlapMemberO("[PRDDESCR].[].[FGR+ AIRBAND PLUS 5/340+40 BRAUN MIT]","","FGR+ AIRBAND PLUS 5/340+40 BRAUN MIT","","000"))</f>
        <v>FGR+ AIRBAND PLUS 5/340+40 BRAUN MIT</v>
      </c>
      <c r="I20" s="147" t="str">
        <f>IF(_ibpOfflineCondition_,"X7", _xll.EPMOlapMemberO("[MRPTYPE].[].[X7]","","X7","","000"))</f>
        <v>X7</v>
      </c>
      <c r="J20" s="147" t="str">
        <f>IF(_ibpOfflineCondition_,"Total Open Production Receipts(Adjusted by PLT)", _xll.EPMOlapMemberO("[KEY_FIGURES].[].[ZTOTALOPENPRODUCTIONPLT]","","Total Open Production Receipts(Adjusted by PLT)","","000"))</f>
        <v>Total Open Production Receipts(Adjusted by PLT)</v>
      </c>
      <c r="K20" s="80"/>
      <c r="L20" s="79"/>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58"/>
      <c r="BI20" s="58"/>
      <c r="BJ20" s="58"/>
      <c r="BK20" s="58"/>
      <c r="BL20" s="58"/>
      <c r="BM20" s="58"/>
      <c r="BN20" s="58"/>
      <c r="BO20" s="58"/>
      <c r="BP20" s="58"/>
      <c r="BQ20" s="58"/>
      <c r="BR20" s="58"/>
      <c r="BS20" s="58"/>
      <c r="BT20" s="58"/>
      <c r="BU20" s="58"/>
      <c r="BV20" s="58"/>
      <c r="BW20" s="58"/>
      <c r="BX20" s="107"/>
      <c r="BY20" s="107"/>
      <c r="BZ20" s="107"/>
      <c r="CA20" s="107"/>
      <c r="CB20" s="107"/>
      <c r="CC20" s="107"/>
      <c r="CD20" s="107"/>
      <c r="CE20" s="107"/>
      <c r="CF20" s="107"/>
      <c r="CG20" s="107"/>
      <c r="CH20" s="107"/>
      <c r="CI20" s="107"/>
      <c r="CJ20" s="107"/>
      <c r="CK20" s="107"/>
      <c r="CL20" s="107"/>
      <c r="CM20" s="107"/>
      <c r="CN20" s="107"/>
      <c r="CO20" s="107"/>
      <c r="CP20" s="107"/>
      <c r="CQ20" s="107"/>
      <c r="CR20" s="107"/>
      <c r="CS20" s="107"/>
      <c r="CT20" s="107"/>
      <c r="CU20" s="107"/>
      <c r="CV20" s="107"/>
      <c r="CW20" s="107"/>
      <c r="CX20" s="107"/>
      <c r="CY20" s="107"/>
      <c r="CZ20" s="107"/>
      <c r="DA20" s="107"/>
      <c r="DB20" s="107"/>
      <c r="DC20" s="107"/>
      <c r="DD20" s="107"/>
      <c r="DE20" s="107"/>
      <c r="DF20" s="107"/>
      <c r="DG20" s="107"/>
      <c r="DH20" s="107"/>
      <c r="DI20" s="107"/>
      <c r="DJ20" s="107"/>
      <c r="DK20" s="107"/>
      <c r="DL20" s="107"/>
      <c r="DM20" s="107"/>
      <c r="DN20" s="107"/>
      <c r="DO20" s="107"/>
      <c r="DP20" s="107"/>
      <c r="DQ20" s="107"/>
      <c r="DR20" s="107"/>
      <c r="DS20" s="107"/>
      <c r="DT20" s="107"/>
      <c r="DU20" s="107"/>
      <c r="DV20" s="107"/>
      <c r="DW20" s="107"/>
      <c r="DX20" s="107"/>
      <c r="DY20" s="107"/>
      <c r="DZ20" s="107"/>
      <c r="EA20" s="107"/>
      <c r="EB20" s="107"/>
      <c r="EC20" s="107"/>
      <c r="ED20" s="107"/>
      <c r="EE20" s="107"/>
      <c r="EF20" s="107"/>
      <c r="EG20" s="107"/>
    </row>
    <row r="21" spans="1:137" x14ac:dyDescent="0.25">
      <c r="A21" s="107"/>
      <c r="B21" s="107"/>
      <c r="C21" s="107"/>
      <c r="D21" s="107"/>
      <c r="E21" s="107"/>
      <c r="F21" s="107"/>
      <c r="G21" s="147" t="str">
        <f>IF(_ibpOfflineCondition_,"000000000000564301-1", _xll.EPMOlapMemberO("[PRDID].[].[000000000000564301-1]","","000000000000564301-1","","000"))</f>
        <v>000000000000564301-1</v>
      </c>
      <c r="H21" s="147" t="str">
        <f>IF(_ibpOfflineCondition_,"FGR+ AIRBAND PLUS 5/340+40 BRAUN MIT", _xll.EPMOlapMemberO("[PRDDESCR].[].[FGR+ AIRBAND PLUS 5/340+40 BRAUN MIT]","","FGR+ AIRBAND PLUS 5/340+40 BRAUN MIT","","000"))</f>
        <v>FGR+ AIRBAND PLUS 5/340+40 BRAUN MIT</v>
      </c>
      <c r="I21" s="147" t="str">
        <f>IF(_ibpOfflineCondition_,"X7", _xll.EPMOlapMemberO("[MRPTYPE].[].[X7]","","X7","","000"))</f>
        <v>X7</v>
      </c>
      <c r="J21" s="147" t="str">
        <f>IF(_ibpOfflineCondition_,"Production Receipt (Adjusted by PLT)", _xll.EPMOlapMemberO("[KEY_FIGURES].[].[ZPRODUCTIONSUPPLY]","","Production Receipt (Adjusted by PLT)","","000"))</f>
        <v>Production Receipt (Adjusted by PLT)</v>
      </c>
      <c r="K21" s="80"/>
      <c r="L21" s="79"/>
      <c r="M21" s="58"/>
      <c r="N21" s="58"/>
      <c r="O21" s="58">
        <v>180</v>
      </c>
      <c r="P21" s="58"/>
      <c r="Q21" s="58"/>
      <c r="R21" s="58"/>
      <c r="S21" s="58"/>
      <c r="T21" s="58"/>
      <c r="U21" s="58"/>
      <c r="V21" s="58"/>
      <c r="W21" s="58"/>
      <c r="X21" s="58">
        <v>180</v>
      </c>
      <c r="Y21" s="58"/>
      <c r="Z21" s="58"/>
      <c r="AA21" s="58"/>
      <c r="AB21" s="58"/>
      <c r="AC21" s="58"/>
      <c r="AD21" s="58"/>
      <c r="AE21" s="58">
        <v>180</v>
      </c>
      <c r="AF21" s="58"/>
      <c r="AG21" s="58"/>
      <c r="AH21" s="58"/>
      <c r="AI21" s="58"/>
      <c r="AJ21" s="58"/>
      <c r="AK21" s="58"/>
      <c r="AL21" s="58"/>
      <c r="AM21" s="58"/>
      <c r="AN21" s="58"/>
      <c r="AO21" s="58"/>
      <c r="AP21" s="58"/>
      <c r="AQ21" s="58"/>
      <c r="AR21" s="58"/>
      <c r="AS21" s="58"/>
      <c r="AT21" s="58">
        <v>180</v>
      </c>
      <c r="AU21" s="58"/>
      <c r="AV21" s="58"/>
      <c r="AW21" s="58"/>
      <c r="AX21" s="58"/>
      <c r="AY21" s="58"/>
      <c r="AZ21" s="58"/>
      <c r="BA21" s="58"/>
      <c r="BB21" s="58"/>
      <c r="BC21" s="58"/>
      <c r="BD21" s="58"/>
      <c r="BE21" s="58"/>
      <c r="BF21" s="58"/>
      <c r="BG21" s="58"/>
      <c r="BH21" s="58"/>
      <c r="BI21" s="58"/>
      <c r="BJ21" s="58"/>
      <c r="BK21" s="58"/>
      <c r="BL21" s="58"/>
      <c r="BM21" s="58">
        <v>18</v>
      </c>
      <c r="BN21" s="58"/>
      <c r="BO21" s="58"/>
      <c r="BP21" s="58">
        <v>18</v>
      </c>
      <c r="BQ21" s="58">
        <v>54</v>
      </c>
      <c r="BR21" s="58"/>
      <c r="BS21" s="58"/>
      <c r="BT21" s="58">
        <v>22.5</v>
      </c>
      <c r="BU21" s="58">
        <v>67.5</v>
      </c>
      <c r="BV21" s="58"/>
      <c r="BW21" s="58"/>
      <c r="BX21" s="107"/>
      <c r="BY21" s="107"/>
      <c r="BZ21" s="107"/>
      <c r="CA21" s="107"/>
      <c r="CB21" s="107"/>
      <c r="CC21" s="107"/>
      <c r="CD21" s="107"/>
      <c r="CE21" s="107"/>
      <c r="CF21" s="107"/>
      <c r="CG21" s="107"/>
      <c r="CH21" s="107"/>
      <c r="CI21" s="107"/>
      <c r="CJ21" s="107"/>
      <c r="CK21" s="107"/>
      <c r="CL21" s="107"/>
      <c r="CM21" s="107"/>
      <c r="CN21" s="107"/>
      <c r="CO21" s="107"/>
      <c r="CP21" s="107"/>
      <c r="CQ21" s="107"/>
      <c r="CR21" s="107"/>
      <c r="CS21" s="107"/>
      <c r="CT21" s="107"/>
      <c r="CU21" s="107"/>
      <c r="CV21" s="107"/>
      <c r="CW21" s="107"/>
      <c r="CX21" s="107"/>
      <c r="CY21" s="107"/>
      <c r="CZ21" s="107"/>
      <c r="DA21" s="107"/>
      <c r="DB21" s="107"/>
      <c r="DC21" s="107"/>
      <c r="DD21" s="107"/>
      <c r="DE21" s="107"/>
      <c r="DF21" s="107"/>
      <c r="DG21" s="107"/>
      <c r="DH21" s="107"/>
      <c r="DI21" s="107"/>
      <c r="DJ21" s="107"/>
      <c r="DK21" s="107"/>
      <c r="DL21" s="107"/>
      <c r="DM21" s="107"/>
      <c r="DN21" s="107"/>
      <c r="DO21" s="107"/>
      <c r="DP21" s="107"/>
      <c r="DQ21" s="107"/>
      <c r="DR21" s="107"/>
      <c r="DS21" s="107"/>
      <c r="DT21" s="107"/>
      <c r="DU21" s="107"/>
      <c r="DV21" s="107"/>
      <c r="DW21" s="107"/>
      <c r="DX21" s="107"/>
      <c r="DY21" s="107"/>
      <c r="DZ21" s="107"/>
      <c r="EA21" s="107"/>
      <c r="EB21" s="107"/>
      <c r="EC21" s="107"/>
      <c r="ED21" s="107"/>
      <c r="EE21" s="107"/>
      <c r="EF21" s="107"/>
      <c r="EG21" s="107"/>
    </row>
    <row r="22" spans="1:137" x14ac:dyDescent="0.25">
      <c r="A22" s="107"/>
      <c r="B22" s="107"/>
      <c r="C22" s="107"/>
      <c r="D22" s="107"/>
      <c r="E22" s="107"/>
      <c r="F22" s="107"/>
      <c r="G22" s="147" t="str">
        <f>IF(_ibpOfflineCondition_,"000000000000564303-1", _xll.EPMOlapMemberO("[PRDID].[].[000000000000564303-1]","","000000000000564303-1","","000"))</f>
        <v>000000000000564303-1</v>
      </c>
      <c r="H22" s="147" t="str">
        <f>IF(_ibpOfflineCondition_,"FGR+ AIRBAND PLUS 5/340+40 ROT MIT", _xll.EPMOlapMemberO("[PRDDESCR].[].[FGR+ AIRBAND PLUS 5/340+40 ROT MIT]","","FGR+ AIRBAND PLUS 5/340+40 ROT MIT","","000"))</f>
        <v>FGR+ AIRBAND PLUS 5/340+40 ROT MIT</v>
      </c>
      <c r="I22" s="147" t="str">
        <f>IF(_ibpOfflineCondition_,"X7", _xll.EPMOlapMemberO("[MRPTYPE].[].[X7]","","X7","","000"))</f>
        <v>X7</v>
      </c>
      <c r="J22" s="147" t="str">
        <f>IF(_ibpOfflineCondition_,"Firmed Production Plan (Adjusted by PLT)", _xll.EPMOlapMemberO("[KEY_FIGURES].[].[ZFIRMEDPRODUCTIONPLT]","","Firmed Production Plan (Adjusted by PLT)","","000"))</f>
        <v>Firmed Production Plan (Adjusted by PLT)</v>
      </c>
      <c r="K22" s="80"/>
      <c r="L22" s="79"/>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58"/>
      <c r="BO22" s="58"/>
      <c r="BP22" s="58"/>
      <c r="BQ22" s="58"/>
      <c r="BR22" s="58"/>
      <c r="BS22" s="58"/>
      <c r="BT22" s="58"/>
      <c r="BU22" s="58"/>
      <c r="BV22" s="58"/>
      <c r="BW22" s="58"/>
      <c r="BX22" s="107"/>
      <c r="BY22" s="107"/>
      <c r="BZ22" s="107"/>
      <c r="CA22" s="107"/>
      <c r="CB22" s="107"/>
      <c r="CC22" s="107"/>
      <c r="CD22" s="107"/>
      <c r="CE22" s="107"/>
      <c r="CF22" s="107"/>
      <c r="CG22" s="107"/>
      <c r="CH22" s="107"/>
      <c r="CI22" s="107"/>
      <c r="CJ22" s="107"/>
      <c r="CK22" s="107"/>
      <c r="CL22" s="107"/>
      <c r="CM22" s="107"/>
      <c r="CN22" s="107"/>
      <c r="CO22" s="107"/>
      <c r="CP22" s="107"/>
      <c r="CQ22" s="107"/>
      <c r="CR22" s="107"/>
      <c r="CS22" s="107"/>
      <c r="CT22" s="107"/>
      <c r="CU22" s="107"/>
      <c r="CV22" s="107"/>
      <c r="CW22" s="107"/>
      <c r="CX22" s="107"/>
      <c r="CY22" s="107"/>
      <c r="CZ22" s="107"/>
      <c r="DA22" s="107"/>
      <c r="DB22" s="107"/>
      <c r="DC22" s="107"/>
      <c r="DD22" s="107"/>
      <c r="DE22" s="107"/>
      <c r="DF22" s="107"/>
      <c r="DG22" s="107"/>
      <c r="DH22" s="107"/>
      <c r="DI22" s="107"/>
      <c r="DJ22" s="107"/>
      <c r="DK22" s="107"/>
      <c r="DL22" s="107"/>
      <c r="DM22" s="107"/>
      <c r="DN22" s="107"/>
      <c r="DO22" s="107"/>
      <c r="DP22" s="107"/>
      <c r="DQ22" s="107"/>
      <c r="DR22" s="107"/>
      <c r="DS22" s="107"/>
      <c r="DT22" s="107"/>
      <c r="DU22" s="107"/>
      <c r="DV22" s="107"/>
      <c r="DW22" s="107"/>
      <c r="DX22" s="107"/>
      <c r="DY22" s="107"/>
      <c r="DZ22" s="107"/>
      <c r="EA22" s="107"/>
      <c r="EB22" s="107"/>
      <c r="EC22" s="107"/>
      <c r="ED22" s="107"/>
      <c r="EE22" s="107"/>
      <c r="EF22" s="107"/>
      <c r="EG22" s="107"/>
    </row>
    <row r="23" spans="1:137" x14ac:dyDescent="0.25">
      <c r="A23" s="107"/>
      <c r="B23" s="107"/>
      <c r="C23" s="107"/>
      <c r="D23" s="107"/>
      <c r="E23" s="107"/>
      <c r="F23" s="107"/>
      <c r="G23" s="147" t="str">
        <f>IF(_ibpOfflineCondition_,"000000000000564303-1", _xll.EPMOlapMemberO("[PRDID].[].[000000000000564303-1]","","000000000000564303-1","","000"))</f>
        <v>000000000000564303-1</v>
      </c>
      <c r="H23" s="147" t="str">
        <f>IF(_ibpOfflineCondition_,"FGR+ AIRBAND PLUS 5/340+40 ROT MIT", _xll.EPMOlapMemberO("[PRDDESCR].[].[FGR+ AIRBAND PLUS 5/340+40 ROT MIT]","","FGR+ AIRBAND PLUS 5/340+40 ROT MIT","","000"))</f>
        <v>FGR+ AIRBAND PLUS 5/340+40 ROT MIT</v>
      </c>
      <c r="I23" s="147" t="str">
        <f>IF(_ibpOfflineCondition_,"X7", _xll.EPMOlapMemberO("[MRPTYPE].[].[X7]","","X7","","000"))</f>
        <v>X7</v>
      </c>
      <c r="J23" s="147" t="str">
        <f>IF(_ibpOfflineCondition_,"Open Production Orders (Adjusted by PLT)", _xll.EPMOlapMemberO("[KEY_FIGURES].[].[ZOPENPRODUCTIONORDERPLT]","","Open Production Orders (Adjusted by PLT)","","000"))</f>
        <v>Open Production Orders (Adjusted by PLT)</v>
      </c>
      <c r="K23" s="80"/>
      <c r="L23" s="79"/>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107"/>
      <c r="BY23" s="107"/>
      <c r="BZ23" s="107"/>
      <c r="CA23" s="107"/>
      <c r="CB23" s="107"/>
      <c r="CC23" s="107"/>
      <c r="CD23" s="107"/>
      <c r="CE23" s="107"/>
      <c r="CF23" s="107"/>
      <c r="CG23" s="107"/>
      <c r="CH23" s="107"/>
      <c r="CI23" s="107"/>
      <c r="CJ23" s="107"/>
      <c r="CK23" s="107"/>
      <c r="CL23" s="107"/>
      <c r="CM23" s="107"/>
      <c r="CN23" s="107"/>
      <c r="CO23" s="107"/>
      <c r="CP23" s="107"/>
      <c r="CQ23" s="107"/>
      <c r="CR23" s="107"/>
      <c r="CS23" s="107"/>
      <c r="CT23" s="107"/>
      <c r="CU23" s="107"/>
      <c r="CV23" s="107"/>
      <c r="CW23" s="107"/>
      <c r="CX23" s="107"/>
      <c r="CY23" s="107"/>
      <c r="CZ23" s="107"/>
      <c r="DA23" s="107"/>
      <c r="DB23" s="107"/>
      <c r="DC23" s="107"/>
      <c r="DD23" s="107"/>
      <c r="DE23" s="107"/>
      <c r="DF23" s="107"/>
      <c r="DG23" s="107"/>
      <c r="DH23" s="107"/>
      <c r="DI23" s="107"/>
      <c r="DJ23" s="107"/>
      <c r="DK23" s="107"/>
      <c r="DL23" s="107"/>
      <c r="DM23" s="107"/>
      <c r="DN23" s="107"/>
      <c r="DO23" s="107"/>
      <c r="DP23" s="107"/>
      <c r="DQ23" s="107"/>
      <c r="DR23" s="107"/>
      <c r="DS23" s="107"/>
      <c r="DT23" s="107"/>
      <c r="DU23" s="107"/>
      <c r="DV23" s="107"/>
      <c r="DW23" s="107"/>
      <c r="DX23" s="107"/>
      <c r="DY23" s="107"/>
      <c r="DZ23" s="107"/>
      <c r="EA23" s="107"/>
      <c r="EB23" s="107"/>
      <c r="EC23" s="107"/>
      <c r="ED23" s="107"/>
      <c r="EE23" s="107"/>
      <c r="EF23" s="107"/>
      <c r="EG23" s="107"/>
    </row>
    <row r="24" spans="1:137" x14ac:dyDescent="0.25">
      <c r="A24" s="107"/>
      <c r="B24" s="107"/>
      <c r="C24" s="107"/>
      <c r="D24" s="107"/>
      <c r="E24" s="107"/>
      <c r="F24" s="107"/>
      <c r="G24" s="147" t="str">
        <f>IF(_ibpOfflineCondition_,"000000000000564303-1", _xll.EPMOlapMemberO("[PRDID].[].[000000000000564303-1]","","000000000000564303-1","","000"))</f>
        <v>000000000000564303-1</v>
      </c>
      <c r="H24" s="147" t="str">
        <f>IF(_ibpOfflineCondition_,"FGR+ AIRBAND PLUS 5/340+40 ROT MIT", _xll.EPMOlapMemberO("[PRDDESCR].[].[FGR+ AIRBAND PLUS 5/340+40 ROT MIT]","","FGR+ AIRBAND PLUS 5/340+40 ROT MIT","","000"))</f>
        <v>FGR+ AIRBAND PLUS 5/340+40 ROT MIT</v>
      </c>
      <c r="I24" s="147" t="str">
        <f>IF(_ibpOfflineCondition_,"X7", _xll.EPMOlapMemberO("[MRPTYPE].[].[X7]","","X7","","000"))</f>
        <v>X7</v>
      </c>
      <c r="J24" s="147" t="str">
        <f>IF(_ibpOfflineCondition_,"Total Open Production Receipts(Adjusted by PLT)", _xll.EPMOlapMemberO("[KEY_FIGURES].[].[ZTOTALOPENPRODUCTIONPLT]","","Total Open Production Receipts(Adjusted by PLT)","","000"))</f>
        <v>Total Open Production Receipts(Adjusted by PLT)</v>
      </c>
      <c r="K24" s="80"/>
      <c r="L24" s="79"/>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W24" s="58"/>
      <c r="BX24" s="107"/>
      <c r="BY24" s="107"/>
      <c r="BZ24" s="107"/>
      <c r="CA24" s="107"/>
      <c r="CB24" s="107"/>
      <c r="CC24" s="107"/>
      <c r="CD24" s="107"/>
      <c r="CE24" s="107"/>
      <c r="CF24" s="107"/>
      <c r="CG24" s="107"/>
      <c r="CH24" s="107"/>
      <c r="CI24" s="107"/>
      <c r="CJ24" s="107"/>
      <c r="CK24" s="107"/>
      <c r="CL24" s="107"/>
      <c r="CM24" s="107"/>
      <c r="CN24" s="107"/>
      <c r="CO24" s="107"/>
      <c r="CP24" s="107"/>
      <c r="CQ24" s="107"/>
      <c r="CR24" s="107"/>
      <c r="CS24" s="107"/>
      <c r="CT24" s="107"/>
      <c r="CU24" s="107"/>
      <c r="CV24" s="107"/>
      <c r="CW24" s="107"/>
      <c r="CX24" s="107"/>
      <c r="CY24" s="107"/>
      <c r="CZ24" s="107"/>
      <c r="DA24" s="107"/>
      <c r="DB24" s="107"/>
      <c r="DC24" s="107"/>
      <c r="DD24" s="107"/>
      <c r="DE24" s="107"/>
      <c r="DF24" s="107"/>
      <c r="DG24" s="107"/>
      <c r="DH24" s="107"/>
      <c r="DI24" s="107"/>
      <c r="DJ24" s="107"/>
      <c r="DK24" s="107"/>
      <c r="DL24" s="107"/>
      <c r="DM24" s="107"/>
      <c r="DN24" s="107"/>
      <c r="DO24" s="107"/>
      <c r="DP24" s="107"/>
      <c r="DQ24" s="107"/>
      <c r="DR24" s="107"/>
      <c r="DS24" s="107"/>
      <c r="DT24" s="107"/>
      <c r="DU24" s="107"/>
      <c r="DV24" s="107"/>
      <c r="DW24" s="107"/>
      <c r="DX24" s="107"/>
      <c r="DY24" s="107"/>
      <c r="DZ24" s="107"/>
      <c r="EA24" s="107"/>
      <c r="EB24" s="107"/>
      <c r="EC24" s="107"/>
      <c r="ED24" s="107"/>
      <c r="EE24" s="107"/>
      <c r="EF24" s="107"/>
      <c r="EG24" s="107"/>
    </row>
    <row r="25" spans="1:137" x14ac:dyDescent="0.25">
      <c r="A25" s="107"/>
      <c r="B25" s="107"/>
      <c r="C25" s="107"/>
      <c r="D25" s="107"/>
      <c r="E25" s="107"/>
      <c r="F25" s="107"/>
      <c r="G25" s="147" t="str">
        <f>IF(_ibpOfflineCondition_,"000000000000564303-1", _xll.EPMOlapMemberO("[PRDID].[].[000000000000564303-1]","","000000000000564303-1","","000"))</f>
        <v>000000000000564303-1</v>
      </c>
      <c r="H25" s="147" t="str">
        <f>IF(_ibpOfflineCondition_,"FGR+ AIRBAND PLUS 5/340+40 ROT MIT", _xll.EPMOlapMemberO("[PRDDESCR].[].[FGR+ AIRBAND PLUS 5/340+40 ROT MIT]","","FGR+ AIRBAND PLUS 5/340+40 ROT MIT","","000"))</f>
        <v>FGR+ AIRBAND PLUS 5/340+40 ROT MIT</v>
      </c>
      <c r="I25" s="147" t="str">
        <f>IF(_ibpOfflineCondition_,"X7", _xll.EPMOlapMemberO("[MRPTYPE].[].[X7]","","X7","","000"))</f>
        <v>X7</v>
      </c>
      <c r="J25" s="147" t="str">
        <f>IF(_ibpOfflineCondition_,"Production Receipt (Adjusted by PLT)", _xll.EPMOlapMemberO("[KEY_FIGURES].[].[ZPRODUCTIONSUPPLY]","","Production Receipt (Adjusted by PLT)","","000"))</f>
        <v>Production Receipt (Adjusted by PLT)</v>
      </c>
      <c r="K25" s="80"/>
      <c r="L25" s="79"/>
      <c r="M25" s="58"/>
      <c r="N25" s="58"/>
      <c r="O25" s="58">
        <v>180</v>
      </c>
      <c r="P25" s="58"/>
      <c r="Q25" s="58"/>
      <c r="R25" s="58"/>
      <c r="S25" s="58">
        <v>270</v>
      </c>
      <c r="T25" s="58"/>
      <c r="U25" s="58"/>
      <c r="V25" s="58"/>
      <c r="W25" s="58">
        <v>360</v>
      </c>
      <c r="X25" s="58"/>
      <c r="Y25" s="58"/>
      <c r="Z25" s="58"/>
      <c r="AA25" s="58">
        <v>180</v>
      </c>
      <c r="AB25" s="58"/>
      <c r="AC25" s="58"/>
      <c r="AD25" s="58"/>
      <c r="AE25" s="58">
        <v>180</v>
      </c>
      <c r="AF25" s="58"/>
      <c r="AG25" s="58"/>
      <c r="AH25" s="58"/>
      <c r="AI25" s="58"/>
      <c r="AJ25" s="58"/>
      <c r="AK25" s="58"/>
      <c r="AL25" s="58">
        <v>270</v>
      </c>
      <c r="AM25" s="58"/>
      <c r="AN25" s="58"/>
      <c r="AO25" s="58"/>
      <c r="AP25" s="58"/>
      <c r="AQ25" s="58"/>
      <c r="AR25" s="58"/>
      <c r="AS25" s="58">
        <v>270</v>
      </c>
      <c r="AT25" s="58"/>
      <c r="AU25" s="58"/>
      <c r="AV25" s="58"/>
      <c r="AW25" s="58"/>
      <c r="AX25" s="58">
        <v>180</v>
      </c>
      <c r="AY25" s="58"/>
      <c r="AZ25" s="58"/>
      <c r="BA25" s="58"/>
      <c r="BB25" s="58"/>
      <c r="BC25" s="58"/>
      <c r="BD25" s="58"/>
      <c r="BE25" s="58"/>
      <c r="BF25" s="58"/>
      <c r="BG25" s="58"/>
      <c r="BH25" s="58">
        <v>180</v>
      </c>
      <c r="BI25" s="58"/>
      <c r="BJ25" s="58"/>
      <c r="BK25" s="58"/>
      <c r="BL25" s="58">
        <v>36</v>
      </c>
      <c r="BM25" s="58">
        <v>144</v>
      </c>
      <c r="BN25" s="58"/>
      <c r="BO25" s="58"/>
      <c r="BP25" s="58">
        <v>54</v>
      </c>
      <c r="BQ25" s="58">
        <v>162</v>
      </c>
      <c r="BR25" s="58"/>
      <c r="BS25" s="58"/>
      <c r="BT25" s="58">
        <v>67.5</v>
      </c>
      <c r="BU25" s="58">
        <v>202.5</v>
      </c>
      <c r="BV25" s="58"/>
      <c r="BW25" s="58"/>
      <c r="BX25" s="107"/>
      <c r="BY25" s="107"/>
      <c r="BZ25" s="107"/>
      <c r="CA25" s="107"/>
      <c r="CB25" s="107"/>
      <c r="CC25" s="107"/>
      <c r="CD25" s="107"/>
      <c r="CE25" s="107"/>
      <c r="CF25" s="107"/>
      <c r="CG25" s="107"/>
      <c r="CH25" s="107"/>
      <c r="CI25" s="107"/>
      <c r="CJ25" s="107"/>
      <c r="CK25" s="107"/>
      <c r="CL25" s="107"/>
      <c r="CM25" s="107"/>
      <c r="CN25" s="107"/>
      <c r="CO25" s="107"/>
      <c r="CP25" s="107"/>
      <c r="CQ25" s="107"/>
      <c r="CR25" s="107"/>
      <c r="CS25" s="107"/>
      <c r="CT25" s="107"/>
      <c r="CU25" s="107"/>
      <c r="CV25" s="107"/>
      <c r="CW25" s="107"/>
      <c r="CX25" s="107"/>
      <c r="CY25" s="107"/>
      <c r="CZ25" s="107"/>
      <c r="DA25" s="107"/>
      <c r="DB25" s="107"/>
      <c r="DC25" s="107"/>
      <c r="DD25" s="107"/>
      <c r="DE25" s="107"/>
      <c r="DF25" s="107"/>
      <c r="DG25" s="107"/>
      <c r="DH25" s="107"/>
      <c r="DI25" s="107"/>
      <c r="DJ25" s="107"/>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row>
    <row r="26" spans="1:137" x14ac:dyDescent="0.25">
      <c r="A26" s="107"/>
      <c r="B26" s="107"/>
      <c r="C26" s="107"/>
      <c r="D26" s="107"/>
      <c r="E26" s="107"/>
      <c r="F26" s="107"/>
      <c r="G26" s="147" t="str">
        <f>IF(_ibpOfflineCondition_,"000000000000564351-1", _xll.EPMOlapMemberO("[PRDID].[].[000000000000564351-1]","","000000000000564351-1","","000"))</f>
        <v>000000000000564351-1</v>
      </c>
      <c r="H26" s="147" t="str">
        <f>IF(_ibpOfflineCondition_,"FGR+ AIRBAND PLUS 5/280+40 BRAUN MIT", _xll.EPMOlapMemberO("[PRDDESCR].[].[FGR+ AIRBAND PLUS 5/280+40 BRAUN MIT]","","FGR+ AIRBAND PLUS 5/280+40 BRAUN MIT","","000"))</f>
        <v>FGR+ AIRBAND PLUS 5/280+40 BRAUN MIT</v>
      </c>
      <c r="I26" s="147" t="str">
        <f>IF(_ibpOfflineCondition_,"X7", _xll.EPMOlapMemberO("[MRPTYPE].[].[X7]","","X7","","000"))</f>
        <v>X7</v>
      </c>
      <c r="J26" s="147" t="str">
        <f>IF(_ibpOfflineCondition_,"Firmed Production Plan (Adjusted by PLT)", _xll.EPMOlapMemberO("[KEY_FIGURES].[].[ZFIRMEDPRODUCTIONPLT]","","Firmed Production Plan (Adjusted by PLT)","","000"))</f>
        <v>Firmed Production Plan (Adjusted by PLT)</v>
      </c>
      <c r="K26" s="80"/>
      <c r="L26" s="79"/>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8"/>
      <c r="BK26" s="58"/>
      <c r="BL26" s="58"/>
      <c r="BM26" s="58"/>
      <c r="BN26" s="58"/>
      <c r="BO26" s="58"/>
      <c r="BP26" s="58"/>
      <c r="BQ26" s="58"/>
      <c r="BR26" s="58"/>
      <c r="BS26" s="58"/>
      <c r="BT26" s="58"/>
      <c r="BU26" s="58"/>
      <c r="BV26" s="58"/>
      <c r="BW26" s="58"/>
      <c r="BX26" s="107"/>
      <c r="BY26" s="107"/>
      <c r="BZ26" s="107"/>
      <c r="CA26" s="107"/>
      <c r="CB26" s="107"/>
      <c r="CC26" s="107"/>
      <c r="CD26" s="107"/>
      <c r="CE26" s="107"/>
      <c r="CF26" s="107"/>
      <c r="CG26" s="107"/>
      <c r="CH26" s="107"/>
      <c r="CI26" s="107"/>
      <c r="CJ26" s="107"/>
      <c r="CK26" s="107"/>
      <c r="CL26" s="107"/>
      <c r="CM26" s="107"/>
      <c r="CN26" s="107"/>
      <c r="CO26" s="107"/>
      <c r="CP26" s="107"/>
      <c r="CQ26" s="107"/>
      <c r="CR26" s="107"/>
      <c r="CS26" s="107"/>
      <c r="CT26" s="107"/>
      <c r="CU26" s="107"/>
      <c r="CV26" s="107"/>
      <c r="CW26" s="107"/>
      <c r="CX26" s="107"/>
      <c r="CY26" s="107"/>
      <c r="CZ26" s="107"/>
      <c r="DA26" s="107"/>
      <c r="DB26" s="107"/>
      <c r="DC26" s="107"/>
      <c r="DD26" s="107"/>
      <c r="DE26" s="107"/>
      <c r="DF26" s="107"/>
      <c r="DG26" s="107"/>
      <c r="DH26" s="107"/>
      <c r="DI26" s="107"/>
      <c r="DJ26" s="107"/>
      <c r="DK26" s="107"/>
      <c r="DL26" s="107"/>
      <c r="DM26" s="107"/>
      <c r="DN26" s="107"/>
      <c r="DO26" s="107"/>
      <c r="DP26" s="107"/>
      <c r="DQ26" s="107"/>
      <c r="DR26" s="107"/>
      <c r="DS26" s="107"/>
      <c r="DT26" s="107"/>
      <c r="DU26" s="107"/>
      <c r="DV26" s="107"/>
      <c r="DW26" s="107"/>
      <c r="DX26" s="107"/>
      <c r="DY26" s="107"/>
      <c r="DZ26" s="107"/>
      <c r="EA26" s="107"/>
      <c r="EB26" s="107"/>
      <c r="EC26" s="107"/>
      <c r="ED26" s="107"/>
      <c r="EE26" s="107"/>
      <c r="EF26" s="107"/>
      <c r="EG26" s="107"/>
    </row>
    <row r="27" spans="1:137" x14ac:dyDescent="0.25">
      <c r="A27" s="107"/>
      <c r="B27" s="107"/>
      <c r="C27" s="107"/>
      <c r="D27" s="107"/>
      <c r="E27" s="107"/>
      <c r="F27" s="107"/>
      <c r="G27" s="147" t="str">
        <f>IF(_ibpOfflineCondition_,"000000000000564351-1", _xll.EPMOlapMemberO("[PRDID].[].[000000000000564351-1]","","000000000000564351-1","","000"))</f>
        <v>000000000000564351-1</v>
      </c>
      <c r="H27" s="147" t="str">
        <f>IF(_ibpOfflineCondition_,"FGR+ AIRBAND PLUS 5/280+40 BRAUN MIT", _xll.EPMOlapMemberO("[PRDDESCR].[].[FGR+ AIRBAND PLUS 5/280+40 BRAUN MIT]","","FGR+ AIRBAND PLUS 5/280+40 BRAUN MIT","","000"))</f>
        <v>FGR+ AIRBAND PLUS 5/280+40 BRAUN MIT</v>
      </c>
      <c r="I27" s="147" t="str">
        <f>IF(_ibpOfflineCondition_,"X7", _xll.EPMOlapMemberO("[MRPTYPE].[].[X7]","","X7","","000"))</f>
        <v>X7</v>
      </c>
      <c r="J27" s="147" t="str">
        <f>IF(_ibpOfflineCondition_,"Open Production Orders (Adjusted by PLT)", _xll.EPMOlapMemberO("[KEY_FIGURES].[].[ZOPENPRODUCTIONORDERPLT]","","Open Production Orders (Adjusted by PLT)","","000"))</f>
        <v>Open Production Orders (Adjusted by PLT)</v>
      </c>
      <c r="K27" s="80"/>
      <c r="L27" s="79"/>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58"/>
      <c r="BO27" s="58"/>
      <c r="BP27" s="58"/>
      <c r="BQ27" s="58"/>
      <c r="BR27" s="58"/>
      <c r="BS27" s="58"/>
      <c r="BT27" s="58"/>
      <c r="BU27" s="58"/>
      <c r="BV27" s="58"/>
      <c r="BW27" s="58"/>
      <c r="BX27" s="107"/>
      <c r="BY27" s="107"/>
      <c r="BZ27" s="107"/>
      <c r="CA27" s="107"/>
      <c r="CB27" s="107"/>
      <c r="CC27" s="107"/>
      <c r="CD27" s="107"/>
      <c r="CE27" s="107"/>
      <c r="CF27" s="107"/>
      <c r="CG27" s="107"/>
      <c r="CH27" s="107"/>
      <c r="CI27" s="107"/>
      <c r="CJ27" s="107"/>
      <c r="CK27" s="107"/>
      <c r="CL27" s="107"/>
      <c r="CM27" s="107"/>
      <c r="CN27" s="107"/>
      <c r="CO27" s="107"/>
      <c r="CP27" s="107"/>
      <c r="CQ27" s="107"/>
      <c r="CR27" s="107"/>
      <c r="CS27" s="107"/>
      <c r="CT27" s="107"/>
      <c r="CU27" s="107"/>
      <c r="CV27" s="107"/>
      <c r="CW27" s="107"/>
      <c r="CX27" s="107"/>
      <c r="CY27" s="107"/>
      <c r="CZ27" s="107"/>
      <c r="DA27" s="107"/>
      <c r="DB27" s="107"/>
      <c r="DC27" s="107"/>
      <c r="DD27" s="107"/>
      <c r="DE27" s="107"/>
      <c r="DF27" s="107"/>
      <c r="DG27" s="107"/>
      <c r="DH27" s="107"/>
      <c r="DI27" s="107"/>
      <c r="DJ27" s="107"/>
      <c r="DK27" s="107"/>
      <c r="DL27" s="107"/>
      <c r="DM27" s="107"/>
      <c r="DN27" s="107"/>
      <c r="DO27" s="107"/>
      <c r="DP27" s="107"/>
      <c r="DQ27" s="107"/>
      <c r="DR27" s="107"/>
      <c r="DS27" s="107"/>
      <c r="DT27" s="107"/>
      <c r="DU27" s="107"/>
      <c r="DV27" s="107"/>
      <c r="DW27" s="107"/>
      <c r="DX27" s="107"/>
      <c r="DY27" s="107"/>
      <c r="DZ27" s="107"/>
      <c r="EA27" s="107"/>
      <c r="EB27" s="107"/>
      <c r="EC27" s="107"/>
      <c r="ED27" s="107"/>
      <c r="EE27" s="107"/>
      <c r="EF27" s="107"/>
      <c r="EG27" s="107"/>
    </row>
    <row r="28" spans="1:137" x14ac:dyDescent="0.25">
      <c r="A28" s="107"/>
      <c r="B28" s="107"/>
      <c r="C28" s="107"/>
      <c r="D28" s="107"/>
      <c r="E28" s="107"/>
      <c r="F28" s="107"/>
      <c r="G28" s="147" t="str">
        <f>IF(_ibpOfflineCondition_,"000000000000564351-1", _xll.EPMOlapMemberO("[PRDID].[].[000000000000564351-1]","","000000000000564351-1","","000"))</f>
        <v>000000000000564351-1</v>
      </c>
      <c r="H28" s="147" t="str">
        <f>IF(_ibpOfflineCondition_,"FGR+ AIRBAND PLUS 5/280+40 BRAUN MIT", _xll.EPMOlapMemberO("[PRDDESCR].[].[FGR+ AIRBAND PLUS 5/280+40 BRAUN MIT]","","FGR+ AIRBAND PLUS 5/280+40 BRAUN MIT","","000"))</f>
        <v>FGR+ AIRBAND PLUS 5/280+40 BRAUN MIT</v>
      </c>
      <c r="I28" s="147" t="str">
        <f>IF(_ibpOfflineCondition_,"X7", _xll.EPMOlapMemberO("[MRPTYPE].[].[X7]","","X7","","000"))</f>
        <v>X7</v>
      </c>
      <c r="J28" s="147" t="str">
        <f>IF(_ibpOfflineCondition_,"Total Open Production Receipts(Adjusted by PLT)", _xll.EPMOlapMemberO("[KEY_FIGURES].[].[ZTOTALOPENPRODUCTIONPLT]","","Total Open Production Receipts(Adjusted by PLT)","","000"))</f>
        <v>Total Open Production Receipts(Adjusted by PLT)</v>
      </c>
      <c r="K28" s="80"/>
      <c r="L28" s="79"/>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8"/>
      <c r="BK28" s="58"/>
      <c r="BL28" s="58"/>
      <c r="BM28" s="58"/>
      <c r="BN28" s="58"/>
      <c r="BO28" s="58"/>
      <c r="BP28" s="58"/>
      <c r="BQ28" s="58"/>
      <c r="BR28" s="58"/>
      <c r="BS28" s="58"/>
      <c r="BT28" s="58"/>
      <c r="BU28" s="58"/>
      <c r="BV28" s="58"/>
      <c r="BW28" s="58"/>
      <c r="BX28" s="107"/>
      <c r="BY28" s="107"/>
      <c r="BZ28" s="107"/>
      <c r="CA28" s="107"/>
      <c r="CB28" s="107"/>
      <c r="CC28" s="107"/>
      <c r="CD28" s="107"/>
      <c r="CE28" s="107"/>
      <c r="CF28" s="107"/>
      <c r="CG28" s="107"/>
      <c r="CH28" s="107"/>
      <c r="CI28" s="107"/>
      <c r="CJ28" s="107"/>
      <c r="CK28" s="107"/>
      <c r="CL28" s="107"/>
      <c r="CM28" s="107"/>
      <c r="CN28" s="107"/>
      <c r="CO28" s="107"/>
      <c r="CP28" s="107"/>
      <c r="CQ28" s="107"/>
      <c r="CR28" s="107"/>
      <c r="CS28" s="107"/>
      <c r="CT28" s="107"/>
      <c r="CU28" s="107"/>
      <c r="CV28" s="107"/>
      <c r="CW28" s="107"/>
      <c r="CX28" s="107"/>
      <c r="CY28" s="107"/>
      <c r="CZ28" s="107"/>
      <c r="DA28" s="107"/>
      <c r="DB28" s="107"/>
      <c r="DC28" s="107"/>
      <c r="DD28" s="107"/>
      <c r="DE28" s="107"/>
      <c r="DF28" s="107"/>
      <c r="DG28" s="107"/>
      <c r="DH28" s="107"/>
      <c r="DI28" s="107"/>
      <c r="DJ28" s="107"/>
      <c r="DK28" s="107"/>
      <c r="DL28" s="107"/>
      <c r="DM28" s="107"/>
      <c r="DN28" s="107"/>
      <c r="DO28" s="107"/>
      <c r="DP28" s="107"/>
      <c r="DQ28" s="107"/>
      <c r="DR28" s="107"/>
      <c r="DS28" s="107"/>
      <c r="DT28" s="107"/>
      <c r="DU28" s="107"/>
      <c r="DV28" s="107"/>
      <c r="DW28" s="107"/>
      <c r="DX28" s="107"/>
      <c r="DY28" s="107"/>
      <c r="DZ28" s="107"/>
      <c r="EA28" s="107"/>
      <c r="EB28" s="107"/>
      <c r="EC28" s="107"/>
      <c r="ED28" s="107"/>
      <c r="EE28" s="107"/>
      <c r="EF28" s="107"/>
      <c r="EG28" s="107"/>
    </row>
    <row r="29" spans="1:137" x14ac:dyDescent="0.25">
      <c r="A29" s="107"/>
      <c r="B29" s="107"/>
      <c r="C29" s="107"/>
      <c r="D29" s="107"/>
      <c r="E29" s="107"/>
      <c r="F29" s="107"/>
      <c r="G29" s="147" t="str">
        <f>IF(_ibpOfflineCondition_,"000000000000564351-1", _xll.EPMOlapMemberO("[PRDID].[].[000000000000564351-1]","","000000000000564351-1","","000"))</f>
        <v>000000000000564351-1</v>
      </c>
      <c r="H29" s="147" t="str">
        <f>IF(_ibpOfflineCondition_,"FGR+ AIRBAND PLUS 5/280+40 BRAUN MIT", _xll.EPMOlapMemberO("[PRDDESCR].[].[FGR+ AIRBAND PLUS 5/280+40 BRAUN MIT]","","FGR+ AIRBAND PLUS 5/280+40 BRAUN MIT","","000"))</f>
        <v>FGR+ AIRBAND PLUS 5/280+40 BRAUN MIT</v>
      </c>
      <c r="I29" s="147" t="str">
        <f>IF(_ibpOfflineCondition_,"X7", _xll.EPMOlapMemberO("[MRPTYPE].[].[X7]","","X7","","000"))</f>
        <v>X7</v>
      </c>
      <c r="J29" s="147" t="str">
        <f>IF(_ibpOfflineCondition_,"Production Receipt (Adjusted by PLT)", _xll.EPMOlapMemberO("[KEY_FIGURES].[].[ZPRODUCTIONSUPPLY]","","Production Receipt (Adjusted by PLT)","","000"))</f>
        <v>Production Receipt (Adjusted by PLT)</v>
      </c>
      <c r="K29" s="80"/>
      <c r="L29" s="79"/>
      <c r="M29" s="58"/>
      <c r="N29" s="58"/>
      <c r="O29" s="58">
        <v>180</v>
      </c>
      <c r="P29" s="58"/>
      <c r="Q29" s="58"/>
      <c r="R29" s="58"/>
      <c r="S29" s="58"/>
      <c r="T29" s="58"/>
      <c r="U29" s="58"/>
      <c r="V29" s="58"/>
      <c r="W29" s="58"/>
      <c r="X29" s="58"/>
      <c r="Y29" s="58"/>
      <c r="Z29" s="58"/>
      <c r="AA29" s="58">
        <v>270</v>
      </c>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8"/>
      <c r="BK29" s="58"/>
      <c r="BL29" s="58"/>
      <c r="BM29" s="58">
        <v>18</v>
      </c>
      <c r="BN29" s="58"/>
      <c r="BO29" s="58"/>
      <c r="BP29" s="58"/>
      <c r="BQ29" s="58"/>
      <c r="BR29" s="58"/>
      <c r="BS29" s="58"/>
      <c r="BT29" s="58">
        <v>22.5</v>
      </c>
      <c r="BU29" s="58">
        <v>67.5</v>
      </c>
      <c r="BV29" s="58"/>
      <c r="BW29" s="58"/>
      <c r="BX29" s="107"/>
      <c r="BY29" s="107"/>
      <c r="BZ29" s="107"/>
      <c r="CA29" s="107"/>
      <c r="CB29" s="107"/>
      <c r="CC29" s="107"/>
      <c r="CD29" s="107"/>
      <c r="CE29" s="107"/>
      <c r="CF29" s="107"/>
      <c r="CG29" s="107"/>
      <c r="CH29" s="107"/>
      <c r="CI29" s="107"/>
      <c r="CJ29" s="107"/>
      <c r="CK29" s="107"/>
      <c r="CL29" s="107"/>
      <c r="CM29" s="107"/>
      <c r="CN29" s="107"/>
      <c r="CO29" s="107"/>
      <c r="CP29" s="107"/>
      <c r="CQ29" s="107"/>
      <c r="CR29" s="107"/>
      <c r="CS29" s="107"/>
      <c r="CT29" s="107"/>
      <c r="CU29" s="107"/>
      <c r="CV29" s="107"/>
      <c r="CW29" s="107"/>
      <c r="CX29" s="107"/>
      <c r="CY29" s="107"/>
      <c r="CZ29" s="107"/>
      <c r="DA29" s="107"/>
      <c r="DB29" s="107"/>
      <c r="DC29" s="107"/>
      <c r="DD29" s="107"/>
      <c r="DE29" s="107"/>
      <c r="DF29" s="107"/>
      <c r="DG29" s="107"/>
      <c r="DH29" s="107"/>
      <c r="DI29" s="107"/>
      <c r="DJ29" s="107"/>
      <c r="DK29" s="107"/>
      <c r="DL29" s="107"/>
      <c r="DM29" s="107"/>
      <c r="DN29" s="107"/>
      <c r="DO29" s="107"/>
      <c r="DP29" s="107"/>
      <c r="DQ29" s="107"/>
      <c r="DR29" s="107"/>
      <c r="DS29" s="107"/>
      <c r="DT29" s="107"/>
      <c r="DU29" s="107"/>
      <c r="DV29" s="107"/>
      <c r="DW29" s="107"/>
      <c r="DX29" s="107"/>
      <c r="DY29" s="107"/>
      <c r="DZ29" s="107"/>
      <c r="EA29" s="107"/>
      <c r="EB29" s="107"/>
      <c r="EC29" s="107"/>
      <c r="ED29" s="107"/>
      <c r="EE29" s="107"/>
      <c r="EF29" s="107"/>
      <c r="EG29" s="107"/>
    </row>
    <row r="30" spans="1:137" x14ac:dyDescent="0.25">
      <c r="A30" s="107"/>
      <c r="B30" s="107"/>
      <c r="C30" s="107"/>
      <c r="D30" s="107"/>
      <c r="E30" s="107"/>
      <c r="F30" s="107"/>
      <c r="G30" s="147" t="str">
        <f>IF(_ibpOfflineCondition_,"000000000000564353-1", _xll.EPMOlapMemberO("[PRDID].[].[000000000000564353-1]","","000000000000564353-1","","000"))</f>
        <v>000000000000564353-1</v>
      </c>
      <c r="H30" s="147" t="str">
        <f>IF(_ibpOfflineCondition_,"FGR+ AIRBAND PLUS 5/280+40 ROT MIT", _xll.EPMOlapMemberO("[PRDDESCR].[].[FGR+ AIRBAND PLUS 5/280+40 ROT MIT]","","FGR+ AIRBAND PLUS 5/280+40 ROT MIT","","000"))</f>
        <v>FGR+ AIRBAND PLUS 5/280+40 ROT MIT</v>
      </c>
      <c r="I30" s="147" t="str">
        <f>IF(_ibpOfflineCondition_,"X7", _xll.EPMOlapMemberO("[MRPTYPE].[].[X7]","","X7","","000"))</f>
        <v>X7</v>
      </c>
      <c r="J30" s="147" t="str">
        <f>IF(_ibpOfflineCondition_,"Firmed Production Plan (Adjusted by PLT)", _xll.EPMOlapMemberO("[KEY_FIGURES].[].[ZFIRMEDPRODUCTIONPLT]","","Firmed Production Plan (Adjusted by PLT)","","000"))</f>
        <v>Firmed Production Plan (Adjusted by PLT)</v>
      </c>
      <c r="K30" s="80"/>
      <c r="L30" s="79"/>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107"/>
      <c r="BY30" s="107"/>
      <c r="BZ30" s="107"/>
      <c r="CA30" s="107"/>
      <c r="CB30" s="107"/>
      <c r="CC30" s="107"/>
      <c r="CD30" s="107"/>
      <c r="CE30" s="107"/>
      <c r="CF30" s="107"/>
      <c r="CG30" s="107"/>
      <c r="CH30" s="107"/>
      <c r="CI30" s="107"/>
      <c r="CJ30" s="107"/>
      <c r="CK30" s="107"/>
      <c r="CL30" s="107"/>
      <c r="CM30" s="107"/>
      <c r="CN30" s="107"/>
      <c r="CO30" s="107"/>
      <c r="CP30" s="107"/>
      <c r="CQ30" s="107"/>
      <c r="CR30" s="107"/>
      <c r="CS30" s="107"/>
      <c r="CT30" s="107"/>
      <c r="CU30" s="107"/>
      <c r="CV30" s="107"/>
      <c r="CW30" s="107"/>
      <c r="CX30" s="107"/>
      <c r="CY30" s="107"/>
      <c r="CZ30" s="107"/>
      <c r="DA30" s="107"/>
      <c r="DB30" s="107"/>
      <c r="DC30" s="107"/>
      <c r="DD30" s="107"/>
      <c r="DE30" s="107"/>
      <c r="DF30" s="107"/>
      <c r="DG30" s="107"/>
      <c r="DH30" s="107"/>
      <c r="DI30" s="107"/>
      <c r="DJ30" s="107"/>
      <c r="DK30" s="107"/>
      <c r="DL30" s="107"/>
      <c r="DM30" s="107"/>
      <c r="DN30" s="107"/>
      <c r="DO30" s="107"/>
      <c r="DP30" s="107"/>
      <c r="DQ30" s="107"/>
      <c r="DR30" s="107"/>
      <c r="DS30" s="107"/>
      <c r="DT30" s="107"/>
      <c r="DU30" s="107"/>
      <c r="DV30" s="107"/>
      <c r="DW30" s="107"/>
      <c r="DX30" s="107"/>
      <c r="DY30" s="107"/>
      <c r="DZ30" s="107"/>
      <c r="EA30" s="107"/>
      <c r="EB30" s="107"/>
      <c r="EC30" s="107"/>
      <c r="ED30" s="107"/>
      <c r="EE30" s="107"/>
      <c r="EF30" s="107"/>
      <c r="EG30" s="107"/>
    </row>
    <row r="31" spans="1:137" x14ac:dyDescent="0.25">
      <c r="A31" s="107"/>
      <c r="B31" s="107"/>
      <c r="C31" s="107"/>
      <c r="D31" s="107"/>
      <c r="E31" s="107"/>
      <c r="F31" s="107"/>
      <c r="G31" s="147" t="str">
        <f>IF(_ibpOfflineCondition_,"000000000000564353-1", _xll.EPMOlapMemberO("[PRDID].[].[000000000000564353-1]","","000000000000564353-1","","000"))</f>
        <v>000000000000564353-1</v>
      </c>
      <c r="H31" s="147" t="str">
        <f>IF(_ibpOfflineCondition_,"FGR+ AIRBAND PLUS 5/280+40 ROT MIT", _xll.EPMOlapMemberO("[PRDDESCR].[].[FGR+ AIRBAND PLUS 5/280+40 ROT MIT]","","FGR+ AIRBAND PLUS 5/280+40 ROT MIT","","000"))</f>
        <v>FGR+ AIRBAND PLUS 5/280+40 ROT MIT</v>
      </c>
      <c r="I31" s="147" t="str">
        <f>IF(_ibpOfflineCondition_,"X7", _xll.EPMOlapMemberO("[MRPTYPE].[].[X7]","","X7","","000"))</f>
        <v>X7</v>
      </c>
      <c r="J31" s="147" t="str">
        <f>IF(_ibpOfflineCondition_,"Open Production Orders (Adjusted by PLT)", _xll.EPMOlapMemberO("[KEY_FIGURES].[].[ZOPENPRODUCTIONORDERPLT]","","Open Production Orders (Adjusted by PLT)","","000"))</f>
        <v>Open Production Orders (Adjusted by PLT)</v>
      </c>
      <c r="K31" s="80"/>
      <c r="L31" s="79"/>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107"/>
      <c r="BY31" s="107"/>
      <c r="BZ31" s="107"/>
      <c r="CA31" s="107"/>
      <c r="CB31" s="107"/>
      <c r="CC31" s="107"/>
      <c r="CD31" s="107"/>
      <c r="CE31" s="107"/>
      <c r="CF31" s="107"/>
      <c r="CG31" s="107"/>
      <c r="CH31" s="107"/>
      <c r="CI31" s="107"/>
      <c r="CJ31" s="107"/>
      <c r="CK31" s="107"/>
      <c r="CL31" s="107"/>
      <c r="CM31" s="107"/>
      <c r="CN31" s="107"/>
      <c r="CO31" s="107"/>
      <c r="CP31" s="107"/>
      <c r="CQ31" s="107"/>
      <c r="CR31" s="107"/>
      <c r="CS31" s="107"/>
      <c r="CT31" s="107"/>
      <c r="CU31" s="107"/>
      <c r="CV31" s="107"/>
      <c r="CW31" s="107"/>
      <c r="CX31" s="107"/>
      <c r="CY31" s="107"/>
      <c r="CZ31" s="107"/>
      <c r="DA31" s="107"/>
      <c r="DB31" s="107"/>
      <c r="DC31" s="107"/>
      <c r="DD31" s="107"/>
      <c r="DE31" s="107"/>
      <c r="DF31" s="107"/>
      <c r="DG31" s="107"/>
      <c r="DH31" s="107"/>
      <c r="DI31" s="107"/>
      <c r="DJ31" s="107"/>
      <c r="DK31" s="107"/>
      <c r="DL31" s="107"/>
      <c r="DM31" s="107"/>
      <c r="DN31" s="107"/>
      <c r="DO31" s="107"/>
      <c r="DP31" s="107"/>
      <c r="DQ31" s="107"/>
      <c r="DR31" s="107"/>
      <c r="DS31" s="107"/>
      <c r="DT31" s="107"/>
      <c r="DU31" s="107"/>
      <c r="DV31" s="107"/>
      <c r="DW31" s="107"/>
      <c r="DX31" s="107"/>
      <c r="DY31" s="107"/>
      <c r="DZ31" s="107"/>
      <c r="EA31" s="107"/>
      <c r="EB31" s="107"/>
      <c r="EC31" s="107"/>
      <c r="ED31" s="107"/>
      <c r="EE31" s="107"/>
      <c r="EF31" s="107"/>
      <c r="EG31" s="107"/>
    </row>
    <row r="32" spans="1:137" x14ac:dyDescent="0.25">
      <c r="A32" s="107"/>
      <c r="B32" s="107"/>
      <c r="C32" s="107"/>
      <c r="D32" s="107"/>
      <c r="E32" s="107"/>
      <c r="F32" s="107"/>
      <c r="G32" s="147" t="str">
        <f>IF(_ibpOfflineCondition_,"000000000000564353-1", _xll.EPMOlapMemberO("[PRDID].[].[000000000000564353-1]","","000000000000564353-1","","000"))</f>
        <v>000000000000564353-1</v>
      </c>
      <c r="H32" s="147" t="str">
        <f>IF(_ibpOfflineCondition_,"FGR+ AIRBAND PLUS 5/280+40 ROT MIT", _xll.EPMOlapMemberO("[PRDDESCR].[].[FGR+ AIRBAND PLUS 5/280+40 ROT MIT]","","FGR+ AIRBAND PLUS 5/280+40 ROT MIT","","000"))</f>
        <v>FGR+ AIRBAND PLUS 5/280+40 ROT MIT</v>
      </c>
      <c r="I32" s="147" t="str">
        <f>IF(_ibpOfflineCondition_,"X7", _xll.EPMOlapMemberO("[MRPTYPE].[].[X7]","","X7","","000"))</f>
        <v>X7</v>
      </c>
      <c r="J32" s="147" t="str">
        <f>IF(_ibpOfflineCondition_,"Total Open Production Receipts(Adjusted by PLT)", _xll.EPMOlapMemberO("[KEY_FIGURES].[].[ZTOTALOPENPRODUCTIONPLT]","","Total Open Production Receipts(Adjusted by PLT)","","000"))</f>
        <v>Total Open Production Receipts(Adjusted by PLT)</v>
      </c>
      <c r="K32" s="80"/>
      <c r="L32" s="79"/>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107"/>
      <c r="BY32" s="107"/>
      <c r="BZ32" s="107"/>
      <c r="CA32" s="107"/>
      <c r="CB32" s="107"/>
      <c r="CC32" s="107"/>
      <c r="CD32" s="107"/>
      <c r="CE32" s="107"/>
      <c r="CF32" s="107"/>
      <c r="CG32" s="107"/>
      <c r="CH32" s="107"/>
      <c r="CI32" s="107"/>
      <c r="CJ32" s="107"/>
      <c r="CK32" s="107"/>
      <c r="CL32" s="107"/>
      <c r="CM32" s="107"/>
      <c r="CN32" s="107"/>
      <c r="CO32" s="107"/>
      <c r="CP32" s="107"/>
      <c r="CQ32" s="107"/>
      <c r="CR32" s="107"/>
      <c r="CS32" s="107"/>
      <c r="CT32" s="107"/>
      <c r="CU32" s="107"/>
      <c r="CV32" s="107"/>
      <c r="CW32" s="107"/>
      <c r="CX32" s="107"/>
      <c r="CY32" s="107"/>
      <c r="CZ32" s="107"/>
      <c r="DA32" s="107"/>
      <c r="DB32" s="107"/>
      <c r="DC32" s="107"/>
      <c r="DD32" s="107"/>
      <c r="DE32" s="107"/>
      <c r="DF32" s="107"/>
      <c r="DG32" s="107"/>
      <c r="DH32" s="107"/>
      <c r="DI32" s="107"/>
      <c r="DJ32" s="107"/>
      <c r="DK32" s="107"/>
      <c r="DL32" s="107"/>
      <c r="DM32" s="107"/>
      <c r="DN32" s="107"/>
      <c r="DO32" s="107"/>
      <c r="DP32" s="107"/>
      <c r="DQ32" s="107"/>
      <c r="DR32" s="107"/>
      <c r="DS32" s="107"/>
      <c r="DT32" s="107"/>
      <c r="DU32" s="107"/>
      <c r="DV32" s="107"/>
      <c r="DW32" s="107"/>
      <c r="DX32" s="107"/>
      <c r="DY32" s="107"/>
      <c r="DZ32" s="107"/>
      <c r="EA32" s="107"/>
      <c r="EB32" s="107"/>
      <c r="EC32" s="107"/>
      <c r="ED32" s="107"/>
      <c r="EE32" s="107"/>
      <c r="EF32" s="107"/>
      <c r="EG32" s="107"/>
    </row>
    <row r="33" spans="1:137" x14ac:dyDescent="0.25">
      <c r="A33" s="107"/>
      <c r="B33" s="107"/>
      <c r="C33" s="107"/>
      <c r="D33" s="107"/>
      <c r="E33" s="107"/>
      <c r="F33" s="107"/>
      <c r="G33" s="147" t="str">
        <f>IF(_ibpOfflineCondition_,"000000000000564353-1", _xll.EPMOlapMemberO("[PRDID].[].[000000000000564353-1]","","000000000000564353-1","","000"))</f>
        <v>000000000000564353-1</v>
      </c>
      <c r="H33" s="147" t="str">
        <f>IF(_ibpOfflineCondition_,"FGR+ AIRBAND PLUS 5/280+40 ROT MIT", _xll.EPMOlapMemberO("[PRDDESCR].[].[FGR+ AIRBAND PLUS 5/280+40 ROT MIT]","","FGR+ AIRBAND PLUS 5/280+40 ROT MIT","","000"))</f>
        <v>FGR+ AIRBAND PLUS 5/280+40 ROT MIT</v>
      </c>
      <c r="I33" s="147" t="str">
        <f>IF(_ibpOfflineCondition_,"X7", _xll.EPMOlapMemberO("[MRPTYPE].[].[X7]","","X7","","000"))</f>
        <v>X7</v>
      </c>
      <c r="J33" s="147" t="str">
        <f>IF(_ibpOfflineCondition_,"Production Receipt (Adjusted by PLT)", _xll.EPMOlapMemberO("[KEY_FIGURES].[].[ZPRODUCTIONSUPPLY]","","Production Receipt (Adjusted by PLT)","","000"))</f>
        <v>Production Receipt (Adjusted by PLT)</v>
      </c>
      <c r="K33" s="80"/>
      <c r="L33" s="79"/>
      <c r="M33" s="58"/>
      <c r="N33" s="58"/>
      <c r="O33" s="58"/>
      <c r="P33" s="58"/>
      <c r="Q33" s="58"/>
      <c r="R33" s="58"/>
      <c r="S33" s="58"/>
      <c r="T33" s="58"/>
      <c r="U33" s="58"/>
      <c r="V33" s="58"/>
      <c r="W33" s="58"/>
      <c r="X33" s="58">
        <v>180</v>
      </c>
      <c r="Y33" s="58"/>
      <c r="Z33" s="58"/>
      <c r="AA33" s="58"/>
      <c r="AB33" s="58"/>
      <c r="AC33" s="58"/>
      <c r="AD33" s="58"/>
      <c r="AE33" s="58"/>
      <c r="AF33" s="58">
        <v>180</v>
      </c>
      <c r="AG33" s="58"/>
      <c r="AH33" s="58"/>
      <c r="AI33" s="58"/>
      <c r="AJ33" s="58"/>
      <c r="AK33" s="58"/>
      <c r="AL33" s="58"/>
      <c r="AM33" s="58"/>
      <c r="AN33" s="58"/>
      <c r="AO33" s="58"/>
      <c r="AP33" s="58"/>
      <c r="AQ33" s="58"/>
      <c r="AR33" s="58"/>
      <c r="AS33" s="58"/>
      <c r="AT33" s="58">
        <v>180</v>
      </c>
      <c r="AU33" s="58"/>
      <c r="AV33" s="58"/>
      <c r="AW33" s="58"/>
      <c r="AX33" s="58"/>
      <c r="AY33" s="58"/>
      <c r="AZ33" s="58"/>
      <c r="BA33" s="58"/>
      <c r="BB33" s="58"/>
      <c r="BC33" s="58"/>
      <c r="BD33" s="58"/>
      <c r="BE33" s="58"/>
      <c r="BF33" s="58"/>
      <c r="BG33" s="58"/>
      <c r="BH33" s="58"/>
      <c r="BI33" s="58"/>
      <c r="BJ33" s="58"/>
      <c r="BK33" s="58"/>
      <c r="BL33" s="58"/>
      <c r="BM33" s="58">
        <v>18</v>
      </c>
      <c r="BN33" s="58"/>
      <c r="BO33" s="58"/>
      <c r="BP33" s="58">
        <v>18</v>
      </c>
      <c r="BQ33" s="58">
        <v>54</v>
      </c>
      <c r="BR33" s="58"/>
      <c r="BS33" s="58"/>
      <c r="BT33" s="58">
        <v>22.5</v>
      </c>
      <c r="BU33" s="58">
        <v>67.5</v>
      </c>
      <c r="BV33" s="58"/>
      <c r="BW33" s="58"/>
      <c r="BX33" s="107"/>
      <c r="BY33" s="107"/>
      <c r="BZ33" s="107"/>
      <c r="CA33" s="107"/>
      <c r="CB33" s="107"/>
      <c r="CC33" s="107"/>
      <c r="CD33" s="107"/>
      <c r="CE33" s="107"/>
      <c r="CF33" s="107"/>
      <c r="CG33" s="107"/>
      <c r="CH33" s="107"/>
      <c r="CI33" s="107"/>
      <c r="CJ33" s="107"/>
      <c r="CK33" s="107"/>
      <c r="CL33" s="107"/>
      <c r="CM33" s="107"/>
      <c r="CN33" s="107"/>
      <c r="CO33" s="107"/>
      <c r="CP33" s="107"/>
      <c r="CQ33" s="107"/>
      <c r="CR33" s="107"/>
      <c r="CS33" s="107"/>
      <c r="CT33" s="107"/>
      <c r="CU33" s="107"/>
      <c r="CV33" s="107"/>
      <c r="CW33" s="107"/>
      <c r="CX33" s="107"/>
      <c r="CY33" s="107"/>
      <c r="CZ33" s="107"/>
      <c r="DA33" s="107"/>
      <c r="DB33" s="107"/>
      <c r="DC33" s="107"/>
      <c r="DD33" s="107"/>
      <c r="DE33" s="107"/>
      <c r="DF33" s="107"/>
      <c r="DG33" s="107"/>
      <c r="DH33" s="107"/>
      <c r="DI33" s="107"/>
      <c r="DJ33" s="107"/>
      <c r="DK33" s="107"/>
      <c r="DL33" s="107"/>
      <c r="DM33" s="107"/>
      <c r="DN33" s="107"/>
      <c r="DO33" s="107"/>
      <c r="DP33" s="107"/>
      <c r="DQ33" s="107"/>
      <c r="DR33" s="107"/>
      <c r="DS33" s="107"/>
      <c r="DT33" s="107"/>
      <c r="DU33" s="107"/>
      <c r="DV33" s="107"/>
      <c r="DW33" s="107"/>
      <c r="DX33" s="107"/>
      <c r="DY33" s="107"/>
      <c r="DZ33" s="107"/>
      <c r="EA33" s="107"/>
      <c r="EB33" s="107"/>
      <c r="EC33" s="107"/>
      <c r="ED33" s="107"/>
      <c r="EE33" s="107"/>
      <c r="EF33" s="107"/>
      <c r="EG33" s="107"/>
    </row>
    <row r="34" spans="1:137" x14ac:dyDescent="0.25">
      <c r="A34" s="107"/>
      <c r="B34" s="107"/>
      <c r="C34" s="107"/>
      <c r="D34" s="107"/>
      <c r="E34" s="107"/>
      <c r="F34" s="107"/>
      <c r="G34" s="147" t="str">
        <f>IF(_ibpOfflineCondition_,"000000000000564481-1", _xll.EPMOlapMemberO("[PRDID].[].[000000000000564481-1]","","000000000000564481-1","","000"))</f>
        <v>000000000000564481-1</v>
      </c>
      <c r="H34" s="147" t="str">
        <f>IF(_ibpOfflineCondition_,"FGR+ FIG.PLUS 5/280+40 BRAUN MONIER WB", _xll.EPMOlapMemberO("[PRDDESCR].[].[FGR+ FIG.PLUS 5/280+40 BRAUN MONIER WB]","","FGR+ FIG.PLUS 5/280+40 BRAUN MONIER WB","","000"))</f>
        <v>FGR+ FIG.PLUS 5/280+40 BRAUN MONIER WB</v>
      </c>
      <c r="I34" s="147" t="str">
        <f>IF(_ibpOfflineCondition_,"X0", _xll.EPMOlapMemberO("[MRPTYPE].[].[X0]","","X0","","000"))</f>
        <v>X0</v>
      </c>
      <c r="J34" s="147" t="str">
        <f>IF(_ibpOfflineCondition_,"Firmed Production Plan (Adjusted by PLT)", _xll.EPMOlapMemberO("[KEY_FIGURES].[].[ZFIRMEDPRODUCTIONPLT]","","Firmed Production Plan (Adjusted by PLT)","","000"))</f>
        <v>Firmed Production Plan (Adjusted by PLT)</v>
      </c>
      <c r="K34" s="80"/>
      <c r="L34" s="79"/>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107"/>
      <c r="BY34" s="107"/>
      <c r="BZ34" s="107"/>
      <c r="CA34" s="107"/>
      <c r="CB34" s="107"/>
      <c r="CC34" s="107"/>
      <c r="CD34" s="107"/>
      <c r="CE34" s="107"/>
      <c r="CF34" s="107"/>
      <c r="CG34" s="107"/>
      <c r="CH34" s="107"/>
      <c r="CI34" s="107"/>
      <c r="CJ34" s="107"/>
      <c r="CK34" s="107"/>
      <c r="CL34" s="107"/>
      <c r="CM34" s="107"/>
      <c r="CN34" s="107"/>
      <c r="CO34" s="107"/>
      <c r="CP34" s="107"/>
      <c r="CQ34" s="107"/>
      <c r="CR34" s="107"/>
      <c r="CS34" s="107"/>
      <c r="CT34" s="107"/>
      <c r="CU34" s="107"/>
      <c r="CV34" s="107"/>
      <c r="CW34" s="107"/>
      <c r="CX34" s="107"/>
      <c r="CY34" s="107"/>
      <c r="CZ34" s="107"/>
      <c r="DA34" s="107"/>
      <c r="DB34" s="107"/>
      <c r="DC34" s="107"/>
      <c r="DD34" s="107"/>
      <c r="DE34" s="107"/>
      <c r="DF34" s="107"/>
      <c r="DG34" s="107"/>
      <c r="DH34" s="107"/>
      <c r="DI34" s="107"/>
      <c r="DJ34" s="107"/>
      <c r="DK34" s="107"/>
      <c r="DL34" s="107"/>
      <c r="DM34" s="107"/>
      <c r="DN34" s="107"/>
      <c r="DO34" s="107"/>
      <c r="DP34" s="107"/>
      <c r="DQ34" s="107"/>
      <c r="DR34" s="107"/>
      <c r="DS34" s="107"/>
      <c r="DT34" s="107"/>
      <c r="DU34" s="107"/>
      <c r="DV34" s="107"/>
      <c r="DW34" s="107"/>
      <c r="DX34" s="107"/>
      <c r="DY34" s="107"/>
      <c r="DZ34" s="107"/>
      <c r="EA34" s="107"/>
      <c r="EB34" s="107"/>
      <c r="EC34" s="107"/>
      <c r="ED34" s="107"/>
      <c r="EE34" s="107"/>
      <c r="EF34" s="107"/>
      <c r="EG34" s="107"/>
    </row>
    <row r="35" spans="1:137" x14ac:dyDescent="0.25">
      <c r="A35" s="107"/>
      <c r="B35" s="107"/>
      <c r="C35" s="107"/>
      <c r="D35" s="107"/>
      <c r="E35" s="107"/>
      <c r="F35" s="107"/>
      <c r="G35" s="147" t="str">
        <f>IF(_ibpOfflineCondition_,"000000000000564481-1", _xll.EPMOlapMemberO("[PRDID].[].[000000000000564481-1]","","000000000000564481-1","","000"))</f>
        <v>000000000000564481-1</v>
      </c>
      <c r="H35" s="147" t="str">
        <f>IF(_ibpOfflineCondition_,"FGR+ FIG.PLUS 5/280+40 BRAUN MONIER WB", _xll.EPMOlapMemberO("[PRDDESCR].[].[FGR+ FIG.PLUS 5/280+40 BRAUN MONIER WB]","","FGR+ FIG.PLUS 5/280+40 BRAUN MONIER WB","","000"))</f>
        <v>FGR+ FIG.PLUS 5/280+40 BRAUN MONIER WB</v>
      </c>
      <c r="I35" s="147" t="str">
        <f>IF(_ibpOfflineCondition_,"X0", _xll.EPMOlapMemberO("[MRPTYPE].[].[X0]","","X0","","000"))</f>
        <v>X0</v>
      </c>
      <c r="J35" s="147" t="str">
        <f>IF(_ibpOfflineCondition_,"Open Production Orders (Adjusted by PLT)", _xll.EPMOlapMemberO("[KEY_FIGURES].[].[ZOPENPRODUCTIONORDERPLT]","","Open Production Orders (Adjusted by PLT)","","000"))</f>
        <v>Open Production Orders (Adjusted by PLT)</v>
      </c>
      <c r="K35" s="80"/>
      <c r="L35" s="79"/>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107"/>
      <c r="BY35" s="107"/>
      <c r="BZ35" s="107"/>
      <c r="CA35" s="107"/>
      <c r="CB35" s="107"/>
      <c r="CC35" s="107"/>
      <c r="CD35" s="107"/>
      <c r="CE35" s="107"/>
      <c r="CF35" s="107"/>
      <c r="CG35" s="107"/>
      <c r="CH35" s="107"/>
      <c r="CI35" s="107"/>
      <c r="CJ35" s="107"/>
      <c r="CK35" s="107"/>
      <c r="CL35" s="107"/>
      <c r="CM35" s="107"/>
      <c r="CN35" s="107"/>
      <c r="CO35" s="107"/>
      <c r="CP35" s="107"/>
      <c r="CQ35" s="107"/>
      <c r="CR35" s="107"/>
      <c r="CS35" s="107"/>
      <c r="CT35" s="107"/>
      <c r="CU35" s="107"/>
      <c r="CV35" s="107"/>
      <c r="CW35" s="107"/>
      <c r="CX35" s="107"/>
      <c r="CY35" s="107"/>
      <c r="CZ35" s="107"/>
      <c r="DA35" s="107"/>
      <c r="DB35" s="107"/>
      <c r="DC35" s="107"/>
      <c r="DD35" s="107"/>
      <c r="DE35" s="107"/>
      <c r="DF35" s="107"/>
      <c r="DG35" s="107"/>
      <c r="DH35" s="107"/>
      <c r="DI35" s="107"/>
      <c r="DJ35" s="107"/>
      <c r="DK35" s="107"/>
      <c r="DL35" s="107"/>
      <c r="DM35" s="107"/>
      <c r="DN35" s="107"/>
      <c r="DO35" s="107"/>
      <c r="DP35" s="107"/>
      <c r="DQ35" s="107"/>
      <c r="DR35" s="107"/>
      <c r="DS35" s="107"/>
      <c r="DT35" s="107"/>
      <c r="DU35" s="107"/>
      <c r="DV35" s="107"/>
      <c r="DW35" s="107"/>
      <c r="DX35" s="107"/>
      <c r="DY35" s="107"/>
      <c r="DZ35" s="107"/>
      <c r="EA35" s="107"/>
      <c r="EB35" s="107"/>
      <c r="EC35" s="107"/>
      <c r="ED35" s="107"/>
      <c r="EE35" s="107"/>
      <c r="EF35" s="107"/>
      <c r="EG35" s="107"/>
    </row>
    <row r="36" spans="1:137" x14ac:dyDescent="0.25">
      <c r="A36" s="107"/>
      <c r="B36" s="107"/>
      <c r="C36" s="107"/>
      <c r="D36" s="107"/>
      <c r="E36" s="107"/>
      <c r="F36" s="107"/>
      <c r="G36" s="147" t="str">
        <f>IF(_ibpOfflineCondition_,"000000000000564481-1", _xll.EPMOlapMemberO("[PRDID].[].[000000000000564481-1]","","000000000000564481-1","","000"))</f>
        <v>000000000000564481-1</v>
      </c>
      <c r="H36" s="147" t="str">
        <f>IF(_ibpOfflineCondition_,"FGR+ FIG.PLUS 5/280+40 BRAUN MONIER WB", _xll.EPMOlapMemberO("[PRDDESCR].[].[FGR+ FIG.PLUS 5/280+40 BRAUN MONIER WB]","","FGR+ FIG.PLUS 5/280+40 BRAUN MONIER WB","","000"))</f>
        <v>FGR+ FIG.PLUS 5/280+40 BRAUN MONIER WB</v>
      </c>
      <c r="I36" s="147" t="str">
        <f>IF(_ibpOfflineCondition_,"X0", _xll.EPMOlapMemberO("[MRPTYPE].[].[X0]","","X0","","000"))</f>
        <v>X0</v>
      </c>
      <c r="J36" s="147" t="str">
        <f>IF(_ibpOfflineCondition_,"Total Open Production Receipts(Adjusted by PLT)", _xll.EPMOlapMemberO("[KEY_FIGURES].[].[ZTOTALOPENPRODUCTIONPLT]","","Total Open Production Receipts(Adjusted by PLT)","","000"))</f>
        <v>Total Open Production Receipts(Adjusted by PLT)</v>
      </c>
      <c r="K36" s="80"/>
      <c r="L36" s="79"/>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107"/>
      <c r="BY36" s="107"/>
      <c r="BZ36" s="107"/>
      <c r="CA36" s="107"/>
      <c r="CB36" s="107"/>
      <c r="CC36" s="107"/>
      <c r="CD36" s="107"/>
      <c r="CE36" s="107"/>
      <c r="CF36" s="107"/>
      <c r="CG36" s="107"/>
      <c r="CH36" s="107"/>
      <c r="CI36" s="107"/>
      <c r="CJ36" s="107"/>
      <c r="CK36" s="107"/>
      <c r="CL36" s="107"/>
      <c r="CM36" s="107"/>
      <c r="CN36" s="107"/>
      <c r="CO36" s="107"/>
      <c r="CP36" s="107"/>
      <c r="CQ36" s="107"/>
      <c r="CR36" s="107"/>
      <c r="CS36" s="107"/>
      <c r="CT36" s="107"/>
      <c r="CU36" s="107"/>
      <c r="CV36" s="107"/>
      <c r="CW36" s="107"/>
      <c r="CX36" s="107"/>
      <c r="CY36" s="107"/>
      <c r="CZ36" s="107"/>
      <c r="DA36" s="107"/>
      <c r="DB36" s="107"/>
      <c r="DC36" s="107"/>
      <c r="DD36" s="107"/>
      <c r="DE36" s="107"/>
      <c r="DF36" s="107"/>
      <c r="DG36" s="107"/>
      <c r="DH36" s="107"/>
      <c r="DI36" s="107"/>
      <c r="DJ36" s="107"/>
      <c r="DK36" s="107"/>
      <c r="DL36" s="107"/>
      <c r="DM36" s="107"/>
      <c r="DN36" s="107"/>
      <c r="DO36" s="107"/>
      <c r="DP36" s="107"/>
      <c r="DQ36" s="107"/>
      <c r="DR36" s="107"/>
      <c r="DS36" s="107"/>
      <c r="DT36" s="107"/>
      <c r="DU36" s="107"/>
      <c r="DV36" s="107"/>
      <c r="DW36" s="107"/>
      <c r="DX36" s="107"/>
      <c r="DY36" s="107"/>
      <c r="DZ36" s="107"/>
      <c r="EA36" s="107"/>
      <c r="EB36" s="107"/>
      <c r="EC36" s="107"/>
      <c r="ED36" s="107"/>
      <c r="EE36" s="107"/>
      <c r="EF36" s="107"/>
      <c r="EG36" s="107"/>
    </row>
    <row r="37" spans="1:137" x14ac:dyDescent="0.25">
      <c r="A37" s="107"/>
      <c r="B37" s="107"/>
      <c r="C37" s="107"/>
      <c r="D37" s="107"/>
      <c r="E37" s="107"/>
      <c r="F37" s="107"/>
      <c r="G37" s="147" t="str">
        <f>IF(_ibpOfflineCondition_,"000000000000564481-1", _xll.EPMOlapMemberO("[PRDID].[].[000000000000564481-1]","","000000000000564481-1","","000"))</f>
        <v>000000000000564481-1</v>
      </c>
      <c r="H37" s="147" t="str">
        <f>IF(_ibpOfflineCondition_,"FGR+ FIG.PLUS 5/280+40 BRAUN MONIER WB", _xll.EPMOlapMemberO("[PRDDESCR].[].[FGR+ FIG.PLUS 5/280+40 BRAUN MONIER WB]","","FGR+ FIG.PLUS 5/280+40 BRAUN MONIER WB","","000"))</f>
        <v>FGR+ FIG.PLUS 5/280+40 BRAUN MONIER WB</v>
      </c>
      <c r="I37" s="147" t="str">
        <f>IF(_ibpOfflineCondition_,"X0", _xll.EPMOlapMemberO("[MRPTYPE].[].[X0]","","X0","","000"))</f>
        <v>X0</v>
      </c>
      <c r="J37" s="147" t="str">
        <f>IF(_ibpOfflineCondition_,"Production Receipt (Adjusted by PLT)", _xll.EPMOlapMemberO("[KEY_FIGURES].[].[ZPRODUCTIONSUPPLY]","","Production Receipt (Adjusted by PLT)","","000"))</f>
        <v>Production Receipt (Adjusted by PLT)</v>
      </c>
      <c r="K37" s="80"/>
      <c r="L37" s="79"/>
      <c r="M37" s="58"/>
      <c r="N37" s="58"/>
      <c r="O37" s="58"/>
      <c r="P37" s="58">
        <v>180</v>
      </c>
      <c r="Q37" s="58"/>
      <c r="R37" s="58"/>
      <c r="S37" s="58"/>
      <c r="T37" s="58"/>
      <c r="U37" s="58"/>
      <c r="V37" s="58"/>
      <c r="W37" s="58"/>
      <c r="X37" s="58"/>
      <c r="Y37" s="58"/>
      <c r="Z37" s="58"/>
      <c r="AA37" s="58"/>
      <c r="AB37" s="58">
        <v>180</v>
      </c>
      <c r="AC37" s="58"/>
      <c r="AD37" s="58"/>
      <c r="AE37" s="58"/>
      <c r="AF37" s="58"/>
      <c r="AG37" s="58"/>
      <c r="AH37" s="58"/>
      <c r="AI37" s="58"/>
      <c r="AJ37" s="58"/>
      <c r="AK37" s="58"/>
      <c r="AL37" s="58">
        <v>450</v>
      </c>
      <c r="AM37" s="58"/>
      <c r="AN37" s="58"/>
      <c r="AO37" s="58">
        <v>180</v>
      </c>
      <c r="AP37" s="58">
        <v>180</v>
      </c>
      <c r="AQ37" s="58"/>
      <c r="AR37" s="58"/>
      <c r="AS37" s="58">
        <v>180</v>
      </c>
      <c r="AT37" s="58"/>
      <c r="AU37" s="58"/>
      <c r="AV37" s="58"/>
      <c r="AW37" s="58">
        <v>180</v>
      </c>
      <c r="AX37" s="58">
        <v>180</v>
      </c>
      <c r="AY37" s="58"/>
      <c r="AZ37" s="58"/>
      <c r="BA37" s="58"/>
      <c r="BB37" s="58">
        <v>180</v>
      </c>
      <c r="BC37" s="58">
        <v>540</v>
      </c>
      <c r="BD37" s="58"/>
      <c r="BE37" s="58"/>
      <c r="BF37" s="58"/>
      <c r="BG37" s="58"/>
      <c r="BH37" s="58">
        <v>360</v>
      </c>
      <c r="BI37" s="58"/>
      <c r="BJ37" s="58"/>
      <c r="BK37" s="58"/>
      <c r="BL37" s="58">
        <v>90</v>
      </c>
      <c r="BM37" s="58">
        <v>270</v>
      </c>
      <c r="BN37" s="58"/>
      <c r="BO37" s="58"/>
      <c r="BP37" s="58">
        <v>180</v>
      </c>
      <c r="BQ37" s="58">
        <v>270</v>
      </c>
      <c r="BR37" s="58"/>
      <c r="BS37" s="58"/>
      <c r="BT37" s="58">
        <v>180</v>
      </c>
      <c r="BU37" s="58">
        <v>270</v>
      </c>
      <c r="BV37" s="58"/>
      <c r="BW37" s="58"/>
      <c r="BX37" s="107"/>
      <c r="BY37" s="107"/>
      <c r="BZ37" s="107"/>
      <c r="CA37" s="107"/>
      <c r="CB37" s="107"/>
      <c r="CC37" s="107"/>
      <c r="CD37" s="107"/>
      <c r="CE37" s="107"/>
      <c r="CF37" s="107"/>
      <c r="CG37" s="107"/>
      <c r="CH37" s="107"/>
      <c r="CI37" s="107"/>
      <c r="CJ37" s="107"/>
      <c r="CK37" s="107"/>
      <c r="CL37" s="107"/>
      <c r="CM37" s="107"/>
      <c r="CN37" s="107"/>
      <c r="CO37" s="107"/>
      <c r="CP37" s="107"/>
      <c r="CQ37" s="107"/>
      <c r="CR37" s="107"/>
      <c r="CS37" s="107"/>
      <c r="CT37" s="107"/>
      <c r="CU37" s="107"/>
      <c r="CV37" s="107"/>
      <c r="CW37" s="107"/>
      <c r="CX37" s="107"/>
      <c r="CY37" s="107"/>
      <c r="CZ37" s="107"/>
      <c r="DA37" s="107"/>
      <c r="DB37" s="107"/>
      <c r="DC37" s="107"/>
      <c r="DD37" s="107"/>
      <c r="DE37" s="107"/>
      <c r="DF37" s="107"/>
      <c r="DG37" s="107"/>
      <c r="DH37" s="107"/>
      <c r="DI37" s="107"/>
      <c r="DJ37" s="107"/>
      <c r="DK37" s="107"/>
      <c r="DL37" s="107"/>
      <c r="DM37" s="107"/>
      <c r="DN37" s="107"/>
      <c r="DO37" s="107"/>
      <c r="DP37" s="107"/>
      <c r="DQ37" s="107"/>
      <c r="DR37" s="107"/>
      <c r="DS37" s="107"/>
      <c r="DT37" s="107"/>
      <c r="DU37" s="107"/>
      <c r="DV37" s="107"/>
      <c r="DW37" s="107"/>
      <c r="DX37" s="107"/>
      <c r="DY37" s="107"/>
      <c r="DZ37" s="107"/>
      <c r="EA37" s="107"/>
      <c r="EB37" s="107"/>
      <c r="EC37" s="107"/>
      <c r="ED37" s="107"/>
      <c r="EE37" s="107"/>
      <c r="EF37" s="107"/>
      <c r="EG37" s="107"/>
    </row>
    <row r="38" spans="1:137" x14ac:dyDescent="0.25">
      <c r="A38" s="107"/>
      <c r="B38" s="107"/>
      <c r="C38" s="107"/>
      <c r="D38" s="107"/>
      <c r="E38" s="107"/>
      <c r="F38" s="107"/>
      <c r="G38" s="147" t="str">
        <f>IF(_ibpOfflineCondition_,"000000000000564482-1", _xll.EPMOlapMemberO("[PRDID].[].[000000000000564482-1]","","000000000000564482-1","","000"))</f>
        <v>000000000000564482-1</v>
      </c>
      <c r="H38" s="147" t="str">
        <f>IF(_ibpOfflineCondition_,"FGR+ FIG.PLUS 5/280+40 ANTHR MONIER WB", _xll.EPMOlapMemberO("[PRDDESCR].[].[FGR+ FIG.PLUS 5/280+40 ANTHR MONIER WB]","","FGR+ FIG.PLUS 5/280+40 ANTHR MONIER WB","","000"))</f>
        <v>FGR+ FIG.PLUS 5/280+40 ANTHR MONIER WB</v>
      </c>
      <c r="I38" s="147" t="str">
        <f>IF(_ibpOfflineCondition_,"X0", _xll.EPMOlapMemberO("[MRPTYPE].[].[X0]","","X0","","000"))</f>
        <v>X0</v>
      </c>
      <c r="J38" s="147" t="str">
        <f>IF(_ibpOfflineCondition_,"Firmed Production Plan (Adjusted by PLT)", _xll.EPMOlapMemberO("[KEY_FIGURES].[].[ZFIRMEDPRODUCTIONPLT]","","Firmed Production Plan (Adjusted by PLT)","","000"))</f>
        <v>Firmed Production Plan (Adjusted by PLT)</v>
      </c>
      <c r="K38" s="80"/>
      <c r="L38" s="79"/>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c r="BA38" s="58"/>
      <c r="BB38" s="58"/>
      <c r="BC38" s="58"/>
      <c r="BD38" s="58"/>
      <c r="BE38" s="58"/>
      <c r="BF38" s="58"/>
      <c r="BG38" s="58"/>
      <c r="BH38" s="58"/>
      <c r="BI38" s="58"/>
      <c r="BJ38" s="58"/>
      <c r="BK38" s="58"/>
      <c r="BL38" s="58"/>
      <c r="BM38" s="58"/>
      <c r="BN38" s="58"/>
      <c r="BO38" s="58"/>
      <c r="BP38" s="58"/>
      <c r="BQ38" s="58"/>
      <c r="BR38" s="58"/>
      <c r="BS38" s="58"/>
      <c r="BT38" s="58"/>
      <c r="BU38" s="58"/>
      <c r="BV38" s="58"/>
      <c r="BW38" s="58"/>
      <c r="BX38" s="107"/>
      <c r="BY38" s="107"/>
      <c r="BZ38" s="107"/>
      <c r="CA38" s="107"/>
      <c r="CB38" s="107"/>
      <c r="CC38" s="107"/>
      <c r="CD38" s="107"/>
      <c r="CE38" s="107"/>
      <c r="CF38" s="107"/>
      <c r="CG38" s="107"/>
      <c r="CH38" s="107"/>
      <c r="CI38" s="107"/>
      <c r="CJ38" s="107"/>
      <c r="CK38" s="107"/>
      <c r="CL38" s="107"/>
      <c r="CM38" s="107"/>
      <c r="CN38" s="107"/>
      <c r="CO38" s="107"/>
      <c r="CP38" s="107"/>
      <c r="CQ38" s="107"/>
      <c r="CR38" s="107"/>
      <c r="CS38" s="107"/>
      <c r="CT38" s="107"/>
      <c r="CU38" s="107"/>
      <c r="CV38" s="107"/>
      <c r="CW38" s="107"/>
      <c r="CX38" s="107"/>
      <c r="CY38" s="107"/>
      <c r="CZ38" s="107"/>
      <c r="DA38" s="107"/>
      <c r="DB38" s="107"/>
      <c r="DC38" s="107"/>
      <c r="DD38" s="107"/>
      <c r="DE38" s="107"/>
      <c r="DF38" s="107"/>
      <c r="DG38" s="107"/>
      <c r="DH38" s="107"/>
      <c r="DI38" s="107"/>
      <c r="DJ38" s="107"/>
      <c r="DK38" s="107"/>
      <c r="DL38" s="107"/>
      <c r="DM38" s="107"/>
      <c r="DN38" s="107"/>
      <c r="DO38" s="107"/>
      <c r="DP38" s="107"/>
      <c r="DQ38" s="107"/>
      <c r="DR38" s="107"/>
      <c r="DS38" s="107"/>
      <c r="DT38" s="107"/>
      <c r="DU38" s="107"/>
      <c r="DV38" s="107"/>
      <c r="DW38" s="107"/>
      <c r="DX38" s="107"/>
      <c r="DY38" s="107"/>
      <c r="DZ38" s="107"/>
      <c r="EA38" s="107"/>
      <c r="EB38" s="107"/>
      <c r="EC38" s="107"/>
      <c r="ED38" s="107"/>
      <c r="EE38" s="107"/>
      <c r="EF38" s="107"/>
      <c r="EG38" s="107"/>
    </row>
    <row r="39" spans="1:137" x14ac:dyDescent="0.25">
      <c r="A39" s="107"/>
      <c r="B39" s="107"/>
      <c r="C39" s="107"/>
      <c r="D39" s="107"/>
      <c r="E39" s="107"/>
      <c r="F39" s="107"/>
      <c r="G39" s="147" t="str">
        <f>IF(_ibpOfflineCondition_,"000000000000564482-1", _xll.EPMOlapMemberO("[PRDID].[].[000000000000564482-1]","","000000000000564482-1","","000"))</f>
        <v>000000000000564482-1</v>
      </c>
      <c r="H39" s="147" t="str">
        <f>IF(_ibpOfflineCondition_,"FGR+ FIG.PLUS 5/280+40 ANTHR MONIER WB", _xll.EPMOlapMemberO("[PRDDESCR].[].[FGR+ FIG.PLUS 5/280+40 ANTHR MONIER WB]","","FGR+ FIG.PLUS 5/280+40 ANTHR MONIER WB","","000"))</f>
        <v>FGR+ FIG.PLUS 5/280+40 ANTHR MONIER WB</v>
      </c>
      <c r="I39" s="147" t="str">
        <f>IF(_ibpOfflineCondition_,"X0", _xll.EPMOlapMemberO("[MRPTYPE].[].[X0]","","X0","","000"))</f>
        <v>X0</v>
      </c>
      <c r="J39" s="147" t="str">
        <f>IF(_ibpOfflineCondition_,"Open Production Orders (Adjusted by PLT)", _xll.EPMOlapMemberO("[KEY_FIGURES].[].[ZOPENPRODUCTIONORDERPLT]","","Open Production Orders (Adjusted by PLT)","","000"))</f>
        <v>Open Production Orders (Adjusted by PLT)</v>
      </c>
      <c r="K39" s="80">
        <v>540</v>
      </c>
      <c r="L39" s="79"/>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B39" s="58"/>
      <c r="BC39" s="58"/>
      <c r="BD39" s="58"/>
      <c r="BE39" s="58"/>
      <c r="BF39" s="58"/>
      <c r="BG39" s="58"/>
      <c r="BH39" s="58"/>
      <c r="BI39" s="58"/>
      <c r="BJ39" s="58"/>
      <c r="BK39" s="58"/>
      <c r="BL39" s="58"/>
      <c r="BM39" s="58"/>
      <c r="BN39" s="58"/>
      <c r="BO39" s="58"/>
      <c r="BP39" s="58"/>
      <c r="BQ39" s="58"/>
      <c r="BR39" s="58"/>
      <c r="BS39" s="58"/>
      <c r="BT39" s="58"/>
      <c r="BU39" s="58"/>
      <c r="BV39" s="58"/>
      <c r="BW39" s="58"/>
      <c r="BX39" s="107"/>
      <c r="BY39" s="107"/>
      <c r="BZ39" s="107"/>
      <c r="CA39" s="107"/>
      <c r="CB39" s="107"/>
      <c r="CC39" s="107"/>
      <c r="CD39" s="107"/>
      <c r="CE39" s="107"/>
      <c r="CF39" s="107"/>
      <c r="CG39" s="107"/>
      <c r="CH39" s="107"/>
      <c r="CI39" s="107"/>
      <c r="CJ39" s="107"/>
      <c r="CK39" s="107"/>
      <c r="CL39" s="107"/>
      <c r="CM39" s="107"/>
      <c r="CN39" s="107"/>
      <c r="CO39" s="107"/>
      <c r="CP39" s="107"/>
      <c r="CQ39" s="107"/>
      <c r="CR39" s="107"/>
      <c r="CS39" s="107"/>
      <c r="CT39" s="107"/>
      <c r="CU39" s="107"/>
      <c r="CV39" s="107"/>
      <c r="CW39" s="107"/>
      <c r="CX39" s="107"/>
      <c r="CY39" s="107"/>
      <c r="CZ39" s="107"/>
      <c r="DA39" s="107"/>
      <c r="DB39" s="107"/>
      <c r="DC39" s="107"/>
      <c r="DD39" s="107"/>
      <c r="DE39" s="107"/>
      <c r="DF39" s="107"/>
      <c r="DG39" s="107"/>
      <c r="DH39" s="107"/>
      <c r="DI39" s="107"/>
      <c r="DJ39" s="107"/>
      <c r="DK39" s="107"/>
      <c r="DL39" s="107"/>
      <c r="DM39" s="107"/>
      <c r="DN39" s="107"/>
      <c r="DO39" s="107"/>
      <c r="DP39" s="107"/>
      <c r="DQ39" s="107"/>
      <c r="DR39" s="107"/>
      <c r="DS39" s="107"/>
      <c r="DT39" s="107"/>
      <c r="DU39" s="107"/>
      <c r="DV39" s="107"/>
      <c r="DW39" s="107"/>
      <c r="DX39" s="107"/>
      <c r="DY39" s="107"/>
      <c r="DZ39" s="107"/>
      <c r="EA39" s="107"/>
      <c r="EB39" s="107"/>
      <c r="EC39" s="107"/>
      <c r="ED39" s="107"/>
      <c r="EE39" s="107"/>
      <c r="EF39" s="107"/>
      <c r="EG39" s="107"/>
    </row>
    <row r="40" spans="1:137" x14ac:dyDescent="0.25">
      <c r="A40" s="107"/>
      <c r="B40" s="107"/>
      <c r="C40" s="107"/>
      <c r="D40" s="107"/>
      <c r="E40" s="107"/>
      <c r="F40" s="107"/>
      <c r="G40" s="147" t="str">
        <f>IF(_ibpOfflineCondition_,"000000000000564482-1", _xll.EPMOlapMemberO("[PRDID].[].[000000000000564482-1]","","000000000000564482-1","","000"))</f>
        <v>000000000000564482-1</v>
      </c>
      <c r="H40" s="147" t="str">
        <f>IF(_ibpOfflineCondition_,"FGR+ FIG.PLUS 5/280+40 ANTHR MONIER WB", _xll.EPMOlapMemberO("[PRDDESCR].[].[FGR+ FIG.PLUS 5/280+40 ANTHR MONIER WB]","","FGR+ FIG.PLUS 5/280+40 ANTHR MONIER WB","","000"))</f>
        <v>FGR+ FIG.PLUS 5/280+40 ANTHR MONIER WB</v>
      </c>
      <c r="I40" s="147" t="str">
        <f>IF(_ibpOfflineCondition_,"X0", _xll.EPMOlapMemberO("[MRPTYPE].[].[X0]","","X0","","000"))</f>
        <v>X0</v>
      </c>
      <c r="J40" s="147" t="str">
        <f>IF(_ibpOfflineCondition_,"Total Open Production Receipts(Adjusted by PLT)", _xll.EPMOlapMemberO("[KEY_FIGURES].[].[ZTOTALOPENPRODUCTIONPLT]","","Total Open Production Receipts(Adjusted by PLT)","","000"))</f>
        <v>Total Open Production Receipts(Adjusted by PLT)</v>
      </c>
      <c r="K40" s="80">
        <v>540</v>
      </c>
      <c r="L40" s="79"/>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c r="BM40" s="58"/>
      <c r="BN40" s="58"/>
      <c r="BO40" s="58"/>
      <c r="BP40" s="58"/>
      <c r="BQ40" s="58"/>
      <c r="BR40" s="58"/>
      <c r="BS40" s="58"/>
      <c r="BT40" s="58"/>
      <c r="BU40" s="58"/>
      <c r="BV40" s="58"/>
      <c r="BW40" s="58"/>
      <c r="BX40" s="107"/>
      <c r="BY40" s="107"/>
      <c r="BZ40" s="107"/>
      <c r="CA40" s="107"/>
      <c r="CB40" s="107"/>
      <c r="CC40" s="107"/>
      <c r="CD40" s="107"/>
      <c r="CE40" s="107"/>
      <c r="CF40" s="107"/>
      <c r="CG40" s="107"/>
      <c r="CH40" s="107"/>
      <c r="CI40" s="107"/>
      <c r="CJ40" s="107"/>
      <c r="CK40" s="107"/>
      <c r="CL40" s="107"/>
      <c r="CM40" s="107"/>
      <c r="CN40" s="107"/>
      <c r="CO40" s="107"/>
      <c r="CP40" s="107"/>
      <c r="CQ40" s="107"/>
      <c r="CR40" s="107"/>
      <c r="CS40" s="107"/>
      <c r="CT40" s="107"/>
      <c r="CU40" s="107"/>
      <c r="CV40" s="107"/>
      <c r="CW40" s="107"/>
      <c r="CX40" s="107"/>
      <c r="CY40" s="107"/>
      <c r="CZ40" s="107"/>
      <c r="DA40" s="107"/>
      <c r="DB40" s="107"/>
      <c r="DC40" s="107"/>
      <c r="DD40" s="107"/>
      <c r="DE40" s="107"/>
      <c r="DF40" s="107"/>
      <c r="DG40" s="107"/>
      <c r="DH40" s="107"/>
      <c r="DI40" s="107"/>
      <c r="DJ40" s="107"/>
      <c r="DK40" s="107"/>
      <c r="DL40" s="107"/>
      <c r="DM40" s="107"/>
      <c r="DN40" s="107"/>
      <c r="DO40" s="107"/>
      <c r="DP40" s="107"/>
      <c r="DQ40" s="107"/>
      <c r="DR40" s="107"/>
      <c r="DS40" s="107"/>
      <c r="DT40" s="107"/>
      <c r="DU40" s="107"/>
      <c r="DV40" s="107"/>
      <c r="DW40" s="107"/>
      <c r="DX40" s="107"/>
      <c r="DY40" s="107"/>
      <c r="DZ40" s="107"/>
      <c r="EA40" s="107"/>
      <c r="EB40" s="107"/>
      <c r="EC40" s="107"/>
      <c r="ED40" s="107"/>
      <c r="EE40" s="107"/>
      <c r="EF40" s="107"/>
      <c r="EG40" s="107"/>
    </row>
    <row r="41" spans="1:137" x14ac:dyDescent="0.25">
      <c r="A41" s="107"/>
      <c r="B41" s="107"/>
      <c r="C41" s="107"/>
      <c r="D41" s="107"/>
      <c r="E41" s="107"/>
      <c r="F41" s="107"/>
      <c r="G41" s="147" t="str">
        <f>IF(_ibpOfflineCondition_,"000000000000564482-1", _xll.EPMOlapMemberO("[PRDID].[].[000000000000564482-1]","","000000000000564482-1","","000"))</f>
        <v>000000000000564482-1</v>
      </c>
      <c r="H41" s="147" t="str">
        <f>IF(_ibpOfflineCondition_,"FGR+ FIG.PLUS 5/280+40 ANTHR MONIER WB", _xll.EPMOlapMemberO("[PRDDESCR].[].[FGR+ FIG.PLUS 5/280+40 ANTHR MONIER WB]","","FGR+ FIG.PLUS 5/280+40 ANTHR MONIER WB","","000"))</f>
        <v>FGR+ FIG.PLUS 5/280+40 ANTHR MONIER WB</v>
      </c>
      <c r="I41" s="147" t="str">
        <f>IF(_ibpOfflineCondition_,"X0", _xll.EPMOlapMemberO("[MRPTYPE].[].[X0]","","X0","","000"))</f>
        <v>X0</v>
      </c>
      <c r="J41" s="147" t="str">
        <f>IF(_ibpOfflineCondition_,"Production Receipt (Adjusted by PLT)", _xll.EPMOlapMemberO("[KEY_FIGURES].[].[ZPRODUCTIONSUPPLY]","","Production Receipt (Adjusted by PLT)","","000"))</f>
        <v>Production Receipt (Adjusted by PLT)</v>
      </c>
      <c r="K41" s="80">
        <v>540</v>
      </c>
      <c r="L41" s="79"/>
      <c r="M41" s="58"/>
      <c r="N41" s="58"/>
      <c r="O41" s="58"/>
      <c r="P41" s="58">
        <v>360</v>
      </c>
      <c r="Q41" s="58"/>
      <c r="R41" s="58"/>
      <c r="S41" s="58">
        <v>270</v>
      </c>
      <c r="T41" s="58">
        <v>810</v>
      </c>
      <c r="U41" s="58"/>
      <c r="V41" s="58"/>
      <c r="W41" s="58">
        <v>450</v>
      </c>
      <c r="X41" s="58">
        <v>1080</v>
      </c>
      <c r="Y41" s="58"/>
      <c r="Z41" s="58"/>
      <c r="AA41" s="58">
        <v>360</v>
      </c>
      <c r="AB41" s="58">
        <v>1170</v>
      </c>
      <c r="AC41" s="58"/>
      <c r="AD41" s="58"/>
      <c r="AE41" s="58">
        <v>630</v>
      </c>
      <c r="AF41" s="58">
        <v>2610</v>
      </c>
      <c r="AG41" s="58"/>
      <c r="AH41" s="58"/>
      <c r="AI41" s="58"/>
      <c r="AJ41" s="58"/>
      <c r="AK41" s="58"/>
      <c r="AL41" s="58">
        <v>1170</v>
      </c>
      <c r="AM41" s="58"/>
      <c r="AN41" s="58"/>
      <c r="AO41" s="58">
        <v>450</v>
      </c>
      <c r="AP41" s="58">
        <v>1890</v>
      </c>
      <c r="AQ41" s="58"/>
      <c r="AR41" s="58"/>
      <c r="AS41" s="58">
        <v>450</v>
      </c>
      <c r="AT41" s="58">
        <v>990</v>
      </c>
      <c r="AU41" s="58"/>
      <c r="AV41" s="58"/>
      <c r="AW41" s="58">
        <v>180</v>
      </c>
      <c r="AX41" s="58">
        <v>180</v>
      </c>
      <c r="AY41" s="58"/>
      <c r="AZ41" s="58"/>
      <c r="BA41" s="58"/>
      <c r="BB41" s="58">
        <v>270</v>
      </c>
      <c r="BC41" s="58">
        <v>2070</v>
      </c>
      <c r="BD41" s="58"/>
      <c r="BE41" s="58"/>
      <c r="BF41" s="58"/>
      <c r="BG41" s="58"/>
      <c r="BH41" s="58">
        <v>1530</v>
      </c>
      <c r="BI41" s="58"/>
      <c r="BJ41" s="58"/>
      <c r="BK41" s="58"/>
      <c r="BL41" s="58">
        <v>204.8</v>
      </c>
      <c r="BM41" s="58">
        <v>832.2</v>
      </c>
      <c r="BN41" s="58"/>
      <c r="BO41" s="58"/>
      <c r="BP41" s="58">
        <v>496.75</v>
      </c>
      <c r="BQ41" s="58">
        <v>1580.25</v>
      </c>
      <c r="BR41" s="58"/>
      <c r="BS41" s="58"/>
      <c r="BT41" s="58">
        <v>227.25</v>
      </c>
      <c r="BU41" s="58">
        <v>1491.75</v>
      </c>
      <c r="BV41" s="58"/>
      <c r="BW41" s="58"/>
      <c r="BX41" s="107"/>
      <c r="BY41" s="107"/>
      <c r="BZ41" s="107"/>
      <c r="CA41" s="107"/>
      <c r="CB41" s="107"/>
      <c r="CC41" s="107"/>
      <c r="CD41" s="107"/>
      <c r="CE41" s="107"/>
      <c r="CF41" s="107"/>
      <c r="CG41" s="107"/>
      <c r="CH41" s="107"/>
      <c r="CI41" s="107"/>
      <c r="CJ41" s="107"/>
      <c r="CK41" s="107"/>
      <c r="CL41" s="107"/>
      <c r="CM41" s="107"/>
      <c r="CN41" s="107"/>
      <c r="CO41" s="107"/>
      <c r="CP41" s="107"/>
      <c r="CQ41" s="107"/>
      <c r="CR41" s="107"/>
      <c r="CS41" s="107"/>
      <c r="CT41" s="107"/>
      <c r="CU41" s="107"/>
      <c r="CV41" s="107"/>
      <c r="CW41" s="107"/>
      <c r="CX41" s="107"/>
      <c r="CY41" s="107"/>
      <c r="CZ41" s="107"/>
      <c r="DA41" s="107"/>
      <c r="DB41" s="107"/>
      <c r="DC41" s="107"/>
      <c r="DD41" s="107"/>
      <c r="DE41" s="107"/>
      <c r="DF41" s="107"/>
      <c r="DG41" s="107"/>
      <c r="DH41" s="107"/>
      <c r="DI41" s="107"/>
      <c r="DJ41" s="107"/>
      <c r="DK41" s="107"/>
      <c r="DL41" s="107"/>
      <c r="DM41" s="107"/>
      <c r="DN41" s="107"/>
      <c r="DO41" s="107"/>
      <c r="DP41" s="107"/>
      <c r="DQ41" s="107"/>
      <c r="DR41" s="107"/>
      <c r="DS41" s="107"/>
      <c r="DT41" s="107"/>
      <c r="DU41" s="107"/>
      <c r="DV41" s="107"/>
      <c r="DW41" s="107"/>
      <c r="DX41" s="107"/>
      <c r="DY41" s="107"/>
      <c r="DZ41" s="107"/>
      <c r="EA41" s="107"/>
      <c r="EB41" s="107"/>
      <c r="EC41" s="107"/>
      <c r="ED41" s="107"/>
      <c r="EE41" s="107"/>
      <c r="EF41" s="107"/>
      <c r="EG41" s="107"/>
    </row>
    <row r="42" spans="1:137" x14ac:dyDescent="0.25">
      <c r="A42" s="107"/>
      <c r="B42" s="107"/>
      <c r="C42" s="107"/>
      <c r="D42" s="107"/>
      <c r="E42" s="107"/>
      <c r="F42" s="107"/>
      <c r="G42" s="147" t="str">
        <f>IF(_ibpOfflineCondition_,"000000000000564483-1", _xll.EPMOlapMemberO("[PRDID].[].[000000000000564483-1]","","000000000000564483-1","","000"))</f>
        <v>000000000000564483-1</v>
      </c>
      <c r="H42" s="147" t="str">
        <f>IF(_ibpOfflineCondition_,"FGR+ FIG.PLUS 5/280+40 ROT MONIER WB", _xll.EPMOlapMemberO("[PRDDESCR].[].[FGR+ FIG.PLUS 5/280+40 ROT MONIER WB]","","FGR+ FIG.PLUS 5/280+40 ROT MONIER WB","","000"))</f>
        <v>FGR+ FIG.PLUS 5/280+40 ROT MONIER WB</v>
      </c>
      <c r="I42" s="147" t="str">
        <f>IF(_ibpOfflineCondition_,"X0", _xll.EPMOlapMemberO("[MRPTYPE].[].[X0]","","X0","","000"))</f>
        <v>X0</v>
      </c>
      <c r="J42" s="147" t="str">
        <f>IF(_ibpOfflineCondition_,"Firmed Production Plan (Adjusted by PLT)", _xll.EPMOlapMemberO("[KEY_FIGURES].[].[ZFIRMEDPRODUCTIONPLT]","","Firmed Production Plan (Adjusted by PLT)","","000"))</f>
        <v>Firmed Production Plan (Adjusted by PLT)</v>
      </c>
      <c r="K42" s="80"/>
      <c r="L42" s="79"/>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c r="BA42" s="58"/>
      <c r="BB42" s="58"/>
      <c r="BC42" s="58"/>
      <c r="BD42" s="58"/>
      <c r="BE42" s="58"/>
      <c r="BF42" s="58"/>
      <c r="BG42" s="58"/>
      <c r="BH42" s="58"/>
      <c r="BI42" s="58"/>
      <c r="BJ42" s="58"/>
      <c r="BK42" s="58"/>
      <c r="BL42" s="58"/>
      <c r="BM42" s="58"/>
      <c r="BN42" s="58"/>
      <c r="BO42" s="58"/>
      <c r="BP42" s="58"/>
      <c r="BQ42" s="58"/>
      <c r="BR42" s="58"/>
      <c r="BS42" s="58"/>
      <c r="BT42" s="58"/>
      <c r="BU42" s="58"/>
      <c r="BV42" s="58"/>
      <c r="BW42" s="58"/>
      <c r="BX42" s="107"/>
      <c r="BY42" s="107"/>
      <c r="BZ42" s="107"/>
      <c r="CA42" s="107"/>
      <c r="CB42" s="107"/>
      <c r="CC42" s="107"/>
      <c r="CD42" s="107"/>
      <c r="CE42" s="107"/>
      <c r="CF42" s="107"/>
      <c r="CG42" s="107"/>
      <c r="CH42" s="107"/>
      <c r="CI42" s="107"/>
      <c r="CJ42" s="107"/>
      <c r="CK42" s="107"/>
      <c r="CL42" s="107"/>
      <c r="CM42" s="107"/>
      <c r="CN42" s="107"/>
      <c r="CO42" s="107"/>
      <c r="CP42" s="107"/>
      <c r="CQ42" s="107"/>
      <c r="CR42" s="107"/>
      <c r="CS42" s="107"/>
      <c r="CT42" s="107"/>
      <c r="CU42" s="107"/>
      <c r="CV42" s="107"/>
      <c r="CW42" s="107"/>
      <c r="CX42" s="107"/>
      <c r="CY42" s="107"/>
      <c r="CZ42" s="107"/>
      <c r="DA42" s="107"/>
      <c r="DB42" s="107"/>
      <c r="DC42" s="107"/>
      <c r="DD42" s="107"/>
      <c r="DE42" s="107"/>
      <c r="DF42" s="107"/>
      <c r="DG42" s="107"/>
      <c r="DH42" s="107"/>
      <c r="DI42" s="107"/>
      <c r="DJ42" s="107"/>
      <c r="DK42" s="107"/>
      <c r="DL42" s="107"/>
      <c r="DM42" s="107"/>
      <c r="DN42" s="107"/>
      <c r="DO42" s="107"/>
      <c r="DP42" s="107"/>
      <c r="DQ42" s="107"/>
      <c r="DR42" s="107"/>
      <c r="DS42" s="107"/>
      <c r="DT42" s="107"/>
      <c r="DU42" s="107"/>
      <c r="DV42" s="107"/>
      <c r="DW42" s="107"/>
      <c r="DX42" s="107"/>
      <c r="DY42" s="107"/>
      <c r="DZ42" s="107"/>
      <c r="EA42" s="107"/>
      <c r="EB42" s="107"/>
      <c r="EC42" s="107"/>
      <c r="ED42" s="107"/>
      <c r="EE42" s="107"/>
      <c r="EF42" s="107"/>
      <c r="EG42" s="107"/>
    </row>
    <row r="43" spans="1:137" x14ac:dyDescent="0.25">
      <c r="A43" s="107"/>
      <c r="B43" s="107"/>
      <c r="C43" s="107"/>
      <c r="D43" s="107"/>
      <c r="E43" s="107"/>
      <c r="F43" s="107"/>
      <c r="G43" s="147" t="str">
        <f>IF(_ibpOfflineCondition_,"000000000000564483-1", _xll.EPMOlapMemberO("[PRDID].[].[000000000000564483-1]","","000000000000564483-1","","000"))</f>
        <v>000000000000564483-1</v>
      </c>
      <c r="H43" s="147" t="str">
        <f>IF(_ibpOfflineCondition_,"FGR+ FIG.PLUS 5/280+40 ROT MONIER WB", _xll.EPMOlapMemberO("[PRDDESCR].[].[FGR+ FIG.PLUS 5/280+40 ROT MONIER WB]","","FGR+ FIG.PLUS 5/280+40 ROT MONIER WB","","000"))</f>
        <v>FGR+ FIG.PLUS 5/280+40 ROT MONIER WB</v>
      </c>
      <c r="I43" s="147" t="str">
        <f>IF(_ibpOfflineCondition_,"X0", _xll.EPMOlapMemberO("[MRPTYPE].[].[X0]","","X0","","000"))</f>
        <v>X0</v>
      </c>
      <c r="J43" s="147" t="str">
        <f>IF(_ibpOfflineCondition_,"Open Production Orders (Adjusted by PLT)", _xll.EPMOlapMemberO("[KEY_FIGURES].[].[ZOPENPRODUCTIONORDERPLT]","","Open Production Orders (Adjusted by PLT)","","000"))</f>
        <v>Open Production Orders (Adjusted by PLT)</v>
      </c>
      <c r="K43" s="80">
        <v>2070</v>
      </c>
      <c r="L43" s="79"/>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c r="BA43" s="58"/>
      <c r="BB43" s="58"/>
      <c r="BC43" s="58"/>
      <c r="BD43" s="58"/>
      <c r="BE43" s="58"/>
      <c r="BF43" s="58"/>
      <c r="BG43" s="58"/>
      <c r="BH43" s="58"/>
      <c r="BI43" s="58"/>
      <c r="BJ43" s="58"/>
      <c r="BK43" s="58"/>
      <c r="BL43" s="58"/>
      <c r="BM43" s="58"/>
      <c r="BN43" s="58"/>
      <c r="BO43" s="58"/>
      <c r="BP43" s="58"/>
      <c r="BQ43" s="58"/>
      <c r="BR43" s="58"/>
      <c r="BS43" s="58"/>
      <c r="BT43" s="58"/>
      <c r="BU43" s="58"/>
      <c r="BV43" s="58"/>
      <c r="BW43" s="58"/>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c r="DI43" s="107"/>
      <c r="DJ43" s="107"/>
      <c r="DK43" s="107"/>
      <c r="DL43" s="107"/>
      <c r="DM43" s="107"/>
      <c r="DN43" s="107"/>
      <c r="DO43" s="107"/>
      <c r="DP43" s="107"/>
      <c r="DQ43" s="107"/>
      <c r="DR43" s="107"/>
      <c r="DS43" s="107"/>
      <c r="DT43" s="107"/>
      <c r="DU43" s="107"/>
      <c r="DV43" s="107"/>
      <c r="DW43" s="107"/>
      <c r="DX43" s="107"/>
      <c r="DY43" s="107"/>
      <c r="DZ43" s="107"/>
      <c r="EA43" s="107"/>
      <c r="EB43" s="107"/>
      <c r="EC43" s="107"/>
      <c r="ED43" s="107"/>
      <c r="EE43" s="107"/>
      <c r="EF43" s="107"/>
      <c r="EG43" s="107"/>
    </row>
    <row r="44" spans="1:137" x14ac:dyDescent="0.25">
      <c r="A44" s="107"/>
      <c r="B44" s="107"/>
      <c r="C44" s="107"/>
      <c r="D44" s="107"/>
      <c r="E44" s="107"/>
      <c r="F44" s="107"/>
      <c r="G44" s="147" t="str">
        <f>IF(_ibpOfflineCondition_,"000000000000564483-1", _xll.EPMOlapMemberO("[PRDID].[].[000000000000564483-1]","","000000000000564483-1","","000"))</f>
        <v>000000000000564483-1</v>
      </c>
      <c r="H44" s="147" t="str">
        <f>IF(_ibpOfflineCondition_,"FGR+ FIG.PLUS 5/280+40 ROT MONIER WB", _xll.EPMOlapMemberO("[PRDDESCR].[].[FGR+ FIG.PLUS 5/280+40 ROT MONIER WB]","","FGR+ FIG.PLUS 5/280+40 ROT MONIER WB","","000"))</f>
        <v>FGR+ FIG.PLUS 5/280+40 ROT MONIER WB</v>
      </c>
      <c r="I44" s="147" t="str">
        <f>IF(_ibpOfflineCondition_,"X0", _xll.EPMOlapMemberO("[MRPTYPE].[].[X0]","","X0","","000"))</f>
        <v>X0</v>
      </c>
      <c r="J44" s="147" t="str">
        <f>IF(_ibpOfflineCondition_,"Total Open Production Receipts(Adjusted by PLT)", _xll.EPMOlapMemberO("[KEY_FIGURES].[].[ZTOTALOPENPRODUCTIONPLT]","","Total Open Production Receipts(Adjusted by PLT)","","000"))</f>
        <v>Total Open Production Receipts(Adjusted by PLT)</v>
      </c>
      <c r="K44" s="80">
        <v>2070</v>
      </c>
      <c r="L44" s="79"/>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c r="BA44" s="58"/>
      <c r="BB44" s="58"/>
      <c r="BC44" s="58"/>
      <c r="BD44" s="58"/>
      <c r="BE44" s="58"/>
      <c r="BF44" s="58"/>
      <c r="BG44" s="58"/>
      <c r="BH44" s="58"/>
      <c r="BI44" s="58"/>
      <c r="BJ44" s="58"/>
      <c r="BK44" s="58"/>
      <c r="BL44" s="58"/>
      <c r="BM44" s="58"/>
      <c r="BN44" s="58"/>
      <c r="BO44" s="58"/>
      <c r="BP44" s="58"/>
      <c r="BQ44" s="58"/>
      <c r="BR44" s="58"/>
      <c r="BS44" s="58"/>
      <c r="BT44" s="58"/>
      <c r="BU44" s="58"/>
      <c r="BV44" s="58"/>
      <c r="BW44" s="58"/>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c r="DI44" s="107"/>
      <c r="DJ44" s="107"/>
      <c r="DK44" s="107"/>
      <c r="DL44" s="107"/>
      <c r="DM44" s="107"/>
      <c r="DN44" s="107"/>
      <c r="DO44" s="107"/>
      <c r="DP44" s="107"/>
      <c r="DQ44" s="107"/>
      <c r="DR44" s="107"/>
      <c r="DS44" s="107"/>
      <c r="DT44" s="107"/>
      <c r="DU44" s="107"/>
      <c r="DV44" s="107"/>
      <c r="DW44" s="107"/>
      <c r="DX44" s="107"/>
      <c r="DY44" s="107"/>
      <c r="DZ44" s="107"/>
      <c r="EA44" s="107"/>
      <c r="EB44" s="107"/>
      <c r="EC44" s="107"/>
      <c r="ED44" s="107"/>
      <c r="EE44" s="107"/>
      <c r="EF44" s="107"/>
      <c r="EG44" s="107"/>
    </row>
    <row r="45" spans="1:137" x14ac:dyDescent="0.25">
      <c r="A45" s="107"/>
      <c r="B45" s="107"/>
      <c r="C45" s="107"/>
      <c r="D45" s="107"/>
      <c r="E45" s="107"/>
      <c r="F45" s="107"/>
      <c r="G45" s="147" t="str">
        <f>IF(_ibpOfflineCondition_,"000000000000564483-1", _xll.EPMOlapMemberO("[PRDID].[].[000000000000564483-1]","","000000000000564483-1","","000"))</f>
        <v>000000000000564483-1</v>
      </c>
      <c r="H45" s="147" t="str">
        <f>IF(_ibpOfflineCondition_,"FGR+ FIG.PLUS 5/280+40 ROT MONIER WB", _xll.EPMOlapMemberO("[PRDDESCR].[].[FGR+ FIG.PLUS 5/280+40 ROT MONIER WB]","","FGR+ FIG.PLUS 5/280+40 ROT MONIER WB","","000"))</f>
        <v>FGR+ FIG.PLUS 5/280+40 ROT MONIER WB</v>
      </c>
      <c r="I45" s="147" t="str">
        <f>IF(_ibpOfflineCondition_,"X0", _xll.EPMOlapMemberO("[MRPTYPE].[].[X0]","","X0","","000"))</f>
        <v>X0</v>
      </c>
      <c r="J45" s="147" t="str">
        <f>IF(_ibpOfflineCondition_,"Production Receipt (Adjusted by PLT)", _xll.EPMOlapMemberO("[KEY_FIGURES].[].[ZPRODUCTIONSUPPLY]","","Production Receipt (Adjusted by PLT)","","000"))</f>
        <v>Production Receipt (Adjusted by PLT)</v>
      </c>
      <c r="K45" s="80">
        <v>2070</v>
      </c>
      <c r="L45" s="79"/>
      <c r="M45" s="58"/>
      <c r="N45" s="58"/>
      <c r="O45" s="58">
        <v>720</v>
      </c>
      <c r="P45" s="58">
        <v>1170</v>
      </c>
      <c r="Q45" s="58"/>
      <c r="R45" s="58"/>
      <c r="S45" s="58">
        <v>1530</v>
      </c>
      <c r="T45" s="58">
        <v>180</v>
      </c>
      <c r="U45" s="58"/>
      <c r="V45" s="58"/>
      <c r="W45" s="58">
        <v>810</v>
      </c>
      <c r="X45" s="58">
        <v>2610</v>
      </c>
      <c r="Y45" s="58"/>
      <c r="Z45" s="58"/>
      <c r="AA45" s="58"/>
      <c r="AB45" s="58">
        <v>1800</v>
      </c>
      <c r="AC45" s="58"/>
      <c r="AD45" s="58"/>
      <c r="AE45" s="58">
        <v>450</v>
      </c>
      <c r="AF45" s="58">
        <v>2340</v>
      </c>
      <c r="AG45" s="58"/>
      <c r="AH45" s="58"/>
      <c r="AI45" s="58">
        <v>720</v>
      </c>
      <c r="AJ45" s="58"/>
      <c r="AK45" s="58"/>
      <c r="AL45" s="58">
        <v>1350</v>
      </c>
      <c r="AM45" s="58"/>
      <c r="AN45" s="58"/>
      <c r="AO45" s="58">
        <v>900</v>
      </c>
      <c r="AP45" s="58">
        <v>2070</v>
      </c>
      <c r="AQ45" s="58"/>
      <c r="AR45" s="58"/>
      <c r="AS45" s="58">
        <v>1440</v>
      </c>
      <c r="AT45" s="58">
        <v>630</v>
      </c>
      <c r="AU45" s="58"/>
      <c r="AV45" s="58"/>
      <c r="AW45" s="58">
        <v>270</v>
      </c>
      <c r="AX45" s="58">
        <v>1350</v>
      </c>
      <c r="AY45" s="58"/>
      <c r="AZ45" s="58"/>
      <c r="BA45" s="58"/>
      <c r="BB45" s="58">
        <v>3060</v>
      </c>
      <c r="BC45" s="58"/>
      <c r="BD45" s="58"/>
      <c r="BE45" s="58"/>
      <c r="BF45" s="58"/>
      <c r="BG45" s="58"/>
      <c r="BH45" s="58">
        <v>2430</v>
      </c>
      <c r="BI45" s="58"/>
      <c r="BJ45" s="58"/>
      <c r="BK45" s="58"/>
      <c r="BL45" s="58">
        <v>242.6</v>
      </c>
      <c r="BM45" s="58">
        <v>1454.4</v>
      </c>
      <c r="BN45" s="58"/>
      <c r="BO45" s="58"/>
      <c r="BP45" s="58">
        <v>521.25</v>
      </c>
      <c r="BQ45" s="58">
        <v>1023.75</v>
      </c>
      <c r="BR45" s="58"/>
      <c r="BS45" s="58"/>
      <c r="BT45" s="58">
        <v>237.75</v>
      </c>
      <c r="BU45" s="58">
        <v>1523.25</v>
      </c>
      <c r="BV45" s="58"/>
      <c r="BW45" s="58"/>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c r="DI45" s="107"/>
      <c r="DJ45" s="107"/>
      <c r="DK45" s="107"/>
      <c r="DL45" s="107"/>
      <c r="DM45" s="107"/>
      <c r="DN45" s="107"/>
      <c r="DO45" s="107"/>
      <c r="DP45" s="107"/>
      <c r="DQ45" s="107"/>
      <c r="DR45" s="107"/>
      <c r="DS45" s="107"/>
      <c r="DT45" s="107"/>
      <c r="DU45" s="107"/>
      <c r="DV45" s="107"/>
      <c r="DW45" s="107"/>
      <c r="DX45" s="107"/>
      <c r="DY45" s="107"/>
      <c r="DZ45" s="107"/>
      <c r="EA45" s="107"/>
      <c r="EB45" s="107"/>
      <c r="EC45" s="107"/>
      <c r="ED45" s="107"/>
      <c r="EE45" s="107"/>
      <c r="EF45" s="107"/>
      <c r="EG45" s="107"/>
    </row>
    <row r="46" spans="1:137" x14ac:dyDescent="0.25">
      <c r="A46" s="107"/>
      <c r="B46" s="107"/>
      <c r="C46" s="107"/>
      <c r="D46" s="107"/>
      <c r="E46" s="107"/>
      <c r="F46" s="107"/>
      <c r="G46" s="147" t="str">
        <f>IF(_ibpOfflineCondition_,"000000000000564551-1", _xll.EPMOlapMemberO("[PRDID].[].[000000000000564551-1]","","000000000000564551-1","","000"))</f>
        <v>000000000000564551-1</v>
      </c>
      <c r="H46" s="147" t="str">
        <f>IF(_ibpOfflineCondition_,"FGR+ FIGAROLLPLUS 5/340+40 BRAUN MONIER", _xll.EPMOlapMemberO("[PRDDESCR].[].[FGR+ FIGAROLLPLUS 5/340+40 BRAUN MONIER]","","FGR+ FIGAROLLPLUS 5/340+40 BRAUN MONIER","","000"))</f>
        <v>FGR+ FIGAROLLPLUS 5/340+40 BRAUN MONIER</v>
      </c>
      <c r="I46" s="147" t="str">
        <f>IF(_ibpOfflineCondition_,"X0", _xll.EPMOlapMemberO("[MRPTYPE].[].[X0]","","X0","","000"))</f>
        <v>X0</v>
      </c>
      <c r="J46" s="147" t="str">
        <f>IF(_ibpOfflineCondition_,"Firmed Production Plan (Adjusted by PLT)", _xll.EPMOlapMemberO("[KEY_FIGURES].[].[ZFIRMEDPRODUCTIONPLT]","","Firmed Production Plan (Adjusted by PLT)","","000"))</f>
        <v>Firmed Production Plan (Adjusted by PLT)</v>
      </c>
      <c r="K46" s="80"/>
      <c r="L46" s="79"/>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c r="BA46" s="58"/>
      <c r="BB46" s="58"/>
      <c r="BC46" s="58"/>
      <c r="BD46" s="58"/>
      <c r="BE46" s="58"/>
      <c r="BF46" s="58"/>
      <c r="BG46" s="58"/>
      <c r="BH46" s="58"/>
      <c r="BI46" s="58"/>
      <c r="BJ46" s="58"/>
      <c r="BK46" s="58"/>
      <c r="BL46" s="58"/>
      <c r="BM46" s="58"/>
      <c r="BN46" s="58"/>
      <c r="BO46" s="58"/>
      <c r="BP46" s="58"/>
      <c r="BQ46" s="58"/>
      <c r="BR46" s="58"/>
      <c r="BS46" s="58"/>
      <c r="BT46" s="58"/>
      <c r="BU46" s="58"/>
      <c r="BV46" s="58"/>
      <c r="BW46" s="58"/>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c r="DI46" s="107"/>
      <c r="DJ46" s="107"/>
      <c r="DK46" s="107"/>
      <c r="DL46" s="107"/>
      <c r="DM46" s="107"/>
      <c r="DN46" s="107"/>
      <c r="DO46" s="107"/>
      <c r="DP46" s="107"/>
      <c r="DQ46" s="107"/>
      <c r="DR46" s="107"/>
      <c r="DS46" s="107"/>
      <c r="DT46" s="107"/>
      <c r="DU46" s="107"/>
      <c r="DV46" s="107"/>
      <c r="DW46" s="107"/>
      <c r="DX46" s="107"/>
      <c r="DY46" s="107"/>
      <c r="DZ46" s="107"/>
      <c r="EA46" s="107"/>
      <c r="EB46" s="107"/>
      <c r="EC46" s="107"/>
      <c r="ED46" s="107"/>
      <c r="EE46" s="107"/>
      <c r="EF46" s="107"/>
      <c r="EG46" s="107"/>
    </row>
    <row r="47" spans="1:137" x14ac:dyDescent="0.25">
      <c r="A47" s="107"/>
      <c r="B47" s="107"/>
      <c r="C47" s="107"/>
      <c r="D47" s="107"/>
      <c r="E47" s="107"/>
      <c r="F47" s="107"/>
      <c r="G47" s="147" t="str">
        <f>IF(_ibpOfflineCondition_,"000000000000564551-1", _xll.EPMOlapMemberO("[PRDID].[].[000000000000564551-1]","","000000000000564551-1","","000"))</f>
        <v>000000000000564551-1</v>
      </c>
      <c r="H47" s="147" t="str">
        <f>IF(_ibpOfflineCondition_,"FGR+ FIGAROLLPLUS 5/340+40 BRAUN MONIER", _xll.EPMOlapMemberO("[PRDDESCR].[].[FGR+ FIGAROLLPLUS 5/340+40 BRAUN MONIER]","","FGR+ FIGAROLLPLUS 5/340+40 BRAUN MONIER","","000"))</f>
        <v>FGR+ FIGAROLLPLUS 5/340+40 BRAUN MONIER</v>
      </c>
      <c r="I47" s="147" t="str">
        <f>IF(_ibpOfflineCondition_,"X0", _xll.EPMOlapMemberO("[MRPTYPE].[].[X0]","","X0","","000"))</f>
        <v>X0</v>
      </c>
      <c r="J47" s="147" t="str">
        <f>IF(_ibpOfflineCondition_,"Open Production Orders (Adjusted by PLT)", _xll.EPMOlapMemberO("[KEY_FIGURES].[].[ZOPENPRODUCTIONORDERPLT]","","Open Production Orders (Adjusted by PLT)","","000"))</f>
        <v>Open Production Orders (Adjusted by PLT)</v>
      </c>
      <c r="K47" s="80"/>
      <c r="L47" s="79"/>
      <c r="M47" s="58"/>
      <c r="N47" s="58"/>
      <c r="O47" s="58">
        <v>720</v>
      </c>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c r="BA47" s="58"/>
      <c r="BB47" s="58"/>
      <c r="BC47" s="58"/>
      <c r="BD47" s="58"/>
      <c r="BE47" s="58"/>
      <c r="BF47" s="58"/>
      <c r="BG47" s="58"/>
      <c r="BH47" s="58"/>
      <c r="BI47" s="58"/>
      <c r="BJ47" s="58"/>
      <c r="BK47" s="58"/>
      <c r="BL47" s="58"/>
      <c r="BM47" s="58"/>
      <c r="BN47" s="58"/>
      <c r="BO47" s="58"/>
      <c r="BP47" s="58"/>
      <c r="BQ47" s="58"/>
      <c r="BR47" s="58"/>
      <c r="BS47" s="58"/>
      <c r="BT47" s="58"/>
      <c r="BU47" s="58"/>
      <c r="BV47" s="58"/>
      <c r="BW47" s="58"/>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c r="DI47" s="107"/>
      <c r="DJ47" s="107"/>
      <c r="DK47" s="107"/>
      <c r="DL47" s="107"/>
      <c r="DM47" s="107"/>
      <c r="DN47" s="107"/>
      <c r="DO47" s="107"/>
      <c r="DP47" s="107"/>
      <c r="DQ47" s="107"/>
      <c r="DR47" s="107"/>
      <c r="DS47" s="107"/>
      <c r="DT47" s="107"/>
      <c r="DU47" s="107"/>
      <c r="DV47" s="107"/>
      <c r="DW47" s="107"/>
      <c r="DX47" s="107"/>
      <c r="DY47" s="107"/>
      <c r="DZ47" s="107"/>
      <c r="EA47" s="107"/>
      <c r="EB47" s="107"/>
      <c r="EC47" s="107"/>
      <c r="ED47" s="107"/>
      <c r="EE47" s="107"/>
      <c r="EF47" s="107"/>
      <c r="EG47" s="107"/>
    </row>
    <row r="48" spans="1:137" x14ac:dyDescent="0.25">
      <c r="A48" s="107"/>
      <c r="B48" s="107"/>
      <c r="C48" s="107"/>
      <c r="D48" s="107"/>
      <c r="E48" s="107"/>
      <c r="F48" s="107"/>
      <c r="G48" s="147" t="str">
        <f>IF(_ibpOfflineCondition_,"000000000000564551-1", _xll.EPMOlapMemberO("[PRDID].[].[000000000000564551-1]","","000000000000564551-1","","000"))</f>
        <v>000000000000564551-1</v>
      </c>
      <c r="H48" s="147" t="str">
        <f>IF(_ibpOfflineCondition_,"FGR+ FIGAROLLPLUS 5/340+40 BRAUN MONIER", _xll.EPMOlapMemberO("[PRDDESCR].[].[FGR+ FIGAROLLPLUS 5/340+40 BRAUN MONIER]","","FGR+ FIGAROLLPLUS 5/340+40 BRAUN MONIER","","000"))</f>
        <v>FGR+ FIGAROLLPLUS 5/340+40 BRAUN MONIER</v>
      </c>
      <c r="I48" s="147" t="str">
        <f>IF(_ibpOfflineCondition_,"X0", _xll.EPMOlapMemberO("[MRPTYPE].[].[X0]","","X0","","000"))</f>
        <v>X0</v>
      </c>
      <c r="J48" s="147" t="str">
        <f>IF(_ibpOfflineCondition_,"Total Open Production Receipts(Adjusted by PLT)", _xll.EPMOlapMemberO("[KEY_FIGURES].[].[ZTOTALOPENPRODUCTIONPLT]","","Total Open Production Receipts(Adjusted by PLT)","","000"))</f>
        <v>Total Open Production Receipts(Adjusted by PLT)</v>
      </c>
      <c r="K48" s="80"/>
      <c r="L48" s="79"/>
      <c r="M48" s="58"/>
      <c r="N48" s="58"/>
      <c r="O48" s="58">
        <v>720</v>
      </c>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c r="BA48" s="58"/>
      <c r="BB48" s="58"/>
      <c r="BC48" s="58"/>
      <c r="BD48" s="58"/>
      <c r="BE48" s="58"/>
      <c r="BF48" s="58"/>
      <c r="BG48" s="58"/>
      <c r="BH48" s="58"/>
      <c r="BI48" s="58"/>
      <c r="BJ48" s="58"/>
      <c r="BK48" s="58"/>
      <c r="BL48" s="58"/>
      <c r="BM48" s="58"/>
      <c r="BN48" s="58"/>
      <c r="BO48" s="58"/>
      <c r="BP48" s="58"/>
      <c r="BQ48" s="58"/>
      <c r="BR48" s="58"/>
      <c r="BS48" s="58"/>
      <c r="BT48" s="58"/>
      <c r="BU48" s="58"/>
      <c r="BV48" s="58"/>
      <c r="BW48" s="58"/>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c r="DI48" s="107"/>
      <c r="DJ48" s="107"/>
      <c r="DK48" s="107"/>
      <c r="DL48" s="107"/>
      <c r="DM48" s="107"/>
      <c r="DN48" s="107"/>
      <c r="DO48" s="107"/>
      <c r="DP48" s="107"/>
      <c r="DQ48" s="107"/>
      <c r="DR48" s="107"/>
      <c r="DS48" s="107"/>
      <c r="DT48" s="107"/>
      <c r="DU48" s="107"/>
      <c r="DV48" s="107"/>
      <c r="DW48" s="107"/>
      <c r="DX48" s="107"/>
      <c r="DY48" s="107"/>
      <c r="DZ48" s="107"/>
      <c r="EA48" s="107"/>
      <c r="EB48" s="107"/>
      <c r="EC48" s="107"/>
      <c r="ED48" s="107"/>
      <c r="EE48" s="107"/>
      <c r="EF48" s="107"/>
      <c r="EG48" s="107"/>
    </row>
    <row r="49" spans="1:137" x14ac:dyDescent="0.25">
      <c r="A49" s="107"/>
      <c r="B49" s="107"/>
      <c r="C49" s="107"/>
      <c r="D49" s="107"/>
      <c r="E49" s="107"/>
      <c r="F49" s="107"/>
      <c r="G49" s="147" t="str">
        <f>IF(_ibpOfflineCondition_,"000000000000564551-1", _xll.EPMOlapMemberO("[PRDID].[].[000000000000564551-1]","","000000000000564551-1","","000"))</f>
        <v>000000000000564551-1</v>
      </c>
      <c r="H49" s="147" t="str">
        <f>IF(_ibpOfflineCondition_,"FGR+ FIGAROLLPLUS 5/340+40 BRAUN MONIER", _xll.EPMOlapMemberO("[PRDDESCR].[].[FGR+ FIGAROLLPLUS 5/340+40 BRAUN MONIER]","","FGR+ FIGAROLLPLUS 5/340+40 BRAUN MONIER","","000"))</f>
        <v>FGR+ FIGAROLLPLUS 5/340+40 BRAUN MONIER</v>
      </c>
      <c r="I49" s="147" t="str">
        <f>IF(_ibpOfflineCondition_,"X0", _xll.EPMOlapMemberO("[MRPTYPE].[].[X0]","","X0","","000"))</f>
        <v>X0</v>
      </c>
      <c r="J49" s="147" t="str">
        <f>IF(_ibpOfflineCondition_,"Production Receipt (Adjusted by PLT)", _xll.EPMOlapMemberO("[KEY_FIGURES].[].[ZPRODUCTIONSUPPLY]","","Production Receipt (Adjusted by PLT)","","000"))</f>
        <v>Production Receipt (Adjusted by PLT)</v>
      </c>
      <c r="K49" s="80"/>
      <c r="L49" s="79"/>
      <c r="M49" s="58"/>
      <c r="N49" s="58"/>
      <c r="O49" s="58">
        <v>720</v>
      </c>
      <c r="P49" s="58"/>
      <c r="Q49" s="58"/>
      <c r="R49" s="58"/>
      <c r="S49" s="58">
        <v>180</v>
      </c>
      <c r="T49" s="58"/>
      <c r="U49" s="58"/>
      <c r="V49" s="58"/>
      <c r="W49" s="58"/>
      <c r="X49" s="58"/>
      <c r="Y49" s="58"/>
      <c r="Z49" s="58"/>
      <c r="AA49" s="58"/>
      <c r="AB49" s="58"/>
      <c r="AC49" s="58"/>
      <c r="AD49" s="58"/>
      <c r="AE49" s="58"/>
      <c r="AF49" s="58">
        <v>270</v>
      </c>
      <c r="AG49" s="58"/>
      <c r="AH49" s="58"/>
      <c r="AI49" s="58"/>
      <c r="AJ49" s="58"/>
      <c r="AK49" s="58"/>
      <c r="AL49" s="58"/>
      <c r="AM49" s="58"/>
      <c r="AN49" s="58"/>
      <c r="AO49" s="58">
        <v>180</v>
      </c>
      <c r="AP49" s="58"/>
      <c r="AQ49" s="58"/>
      <c r="AR49" s="58"/>
      <c r="AS49" s="58"/>
      <c r="AT49" s="58">
        <v>180</v>
      </c>
      <c r="AU49" s="58"/>
      <c r="AV49" s="58"/>
      <c r="AW49" s="58"/>
      <c r="AX49" s="58">
        <v>270</v>
      </c>
      <c r="AY49" s="58"/>
      <c r="AZ49" s="58"/>
      <c r="BA49" s="58"/>
      <c r="BB49" s="58"/>
      <c r="BC49" s="58"/>
      <c r="BD49" s="58"/>
      <c r="BE49" s="58"/>
      <c r="BF49" s="58"/>
      <c r="BG49" s="58"/>
      <c r="BH49" s="58"/>
      <c r="BI49" s="58"/>
      <c r="BJ49" s="58"/>
      <c r="BK49" s="58"/>
      <c r="BL49" s="58"/>
      <c r="BM49" s="58">
        <v>112.4</v>
      </c>
      <c r="BN49" s="58"/>
      <c r="BO49" s="58"/>
      <c r="BP49" s="58">
        <v>20.8</v>
      </c>
      <c r="BQ49" s="58">
        <v>157.6</v>
      </c>
      <c r="BR49" s="58"/>
      <c r="BS49" s="58"/>
      <c r="BT49" s="58">
        <v>116</v>
      </c>
      <c r="BU49" s="58">
        <v>84.5</v>
      </c>
      <c r="BV49" s="58"/>
      <c r="BW49" s="58"/>
      <c r="BX49" s="107"/>
      <c r="BY49" s="107"/>
      <c r="BZ49" s="107"/>
      <c r="CA49" s="107"/>
      <c r="CB49" s="107"/>
      <c r="CC49" s="107"/>
      <c r="CD49" s="107"/>
      <c r="CE49" s="107"/>
      <c r="CF49" s="107"/>
      <c r="CG49" s="107"/>
      <c r="CH49" s="107"/>
      <c r="CI49" s="107"/>
      <c r="CJ49" s="107"/>
      <c r="CK49" s="107"/>
      <c r="CL49" s="107"/>
      <c r="CM49" s="107"/>
      <c r="CN49" s="107"/>
      <c r="CO49" s="107"/>
      <c r="CP49" s="107"/>
      <c r="CQ49" s="107"/>
      <c r="CR49" s="107"/>
      <c r="CS49" s="107"/>
      <c r="CT49" s="107"/>
      <c r="CU49" s="107"/>
      <c r="CV49" s="107"/>
      <c r="CW49" s="107"/>
      <c r="CX49" s="107"/>
      <c r="CY49" s="107"/>
      <c r="CZ49" s="107"/>
      <c r="DA49" s="107"/>
      <c r="DB49" s="107"/>
      <c r="DC49" s="107"/>
      <c r="DD49" s="107"/>
      <c r="DE49" s="107"/>
      <c r="DF49" s="107"/>
      <c r="DG49" s="107"/>
      <c r="DH49" s="107"/>
      <c r="DI49" s="107"/>
      <c r="DJ49" s="107"/>
      <c r="DK49" s="107"/>
      <c r="DL49" s="107"/>
      <c r="DM49" s="107"/>
      <c r="DN49" s="107"/>
      <c r="DO49" s="107"/>
      <c r="DP49" s="107"/>
      <c r="DQ49" s="107"/>
      <c r="DR49" s="107"/>
      <c r="DS49" s="107"/>
      <c r="DT49" s="107"/>
      <c r="DU49" s="107"/>
      <c r="DV49" s="107"/>
      <c r="DW49" s="107"/>
      <c r="DX49" s="107"/>
      <c r="DY49" s="107"/>
      <c r="DZ49" s="107"/>
      <c r="EA49" s="107"/>
      <c r="EB49" s="107"/>
      <c r="EC49" s="107"/>
      <c r="ED49" s="107"/>
      <c r="EE49" s="107"/>
      <c r="EF49" s="107"/>
      <c r="EG49" s="107"/>
    </row>
    <row r="50" spans="1:137" x14ac:dyDescent="0.25">
      <c r="A50" s="107"/>
      <c r="B50" s="107"/>
      <c r="C50" s="107"/>
      <c r="D50" s="107"/>
      <c r="E50" s="107"/>
      <c r="F50" s="107"/>
      <c r="G50" s="147" t="str">
        <f>IF(_ibpOfflineCondition_,"000000000000564552-1", _xll.EPMOlapMemberO("[PRDID].[].[000000000000564552-1]","","000000000000564552-1","","000"))</f>
        <v>000000000000564552-1</v>
      </c>
      <c r="H50" s="147" t="str">
        <f>IF(_ibpOfflineCondition_,"FGR+ FIGAROLLPLUS 5/340+40 ANTHR MONIER", _xll.EPMOlapMemberO("[PRDDESCR].[].[FGR+ FIGAROLLPLUS 5/340+40 ANTHR MONIER]","","FGR+ FIGAROLLPLUS 5/340+40 ANTHR MONIER","","000"))</f>
        <v>FGR+ FIGAROLLPLUS 5/340+40 ANTHR MONIER</v>
      </c>
      <c r="I50" s="147" t="str">
        <f>IF(_ibpOfflineCondition_,"X0", _xll.EPMOlapMemberO("[MRPTYPE].[].[X0]","","X0","","000"))</f>
        <v>X0</v>
      </c>
      <c r="J50" s="147" t="str">
        <f>IF(_ibpOfflineCondition_,"Firmed Production Plan (Adjusted by PLT)", _xll.EPMOlapMemberO("[KEY_FIGURES].[].[ZFIRMEDPRODUCTIONPLT]","","Firmed Production Plan (Adjusted by PLT)","","000"))</f>
        <v>Firmed Production Plan (Adjusted by PLT)</v>
      </c>
      <c r="K50" s="80"/>
      <c r="L50" s="79"/>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c r="BA50" s="58"/>
      <c r="BB50" s="58"/>
      <c r="BC50" s="58"/>
      <c r="BD50" s="58"/>
      <c r="BE50" s="58"/>
      <c r="BF50" s="58"/>
      <c r="BG50" s="58"/>
      <c r="BH50" s="58"/>
      <c r="BI50" s="58"/>
      <c r="BJ50" s="58"/>
      <c r="BK50" s="58"/>
      <c r="BL50" s="58"/>
      <c r="BM50" s="58"/>
      <c r="BN50" s="58"/>
      <c r="BO50" s="58"/>
      <c r="BP50" s="58"/>
      <c r="BQ50" s="58"/>
      <c r="BR50" s="58"/>
      <c r="BS50" s="58"/>
      <c r="BT50" s="58"/>
      <c r="BU50" s="58"/>
      <c r="BV50" s="58"/>
      <c r="BW50" s="58"/>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row>
    <row r="51" spans="1:137" x14ac:dyDescent="0.25">
      <c r="A51" s="107"/>
      <c r="B51" s="107"/>
      <c r="C51" s="107"/>
      <c r="D51" s="107"/>
      <c r="E51" s="107"/>
      <c r="F51" s="107"/>
      <c r="G51" s="147" t="str">
        <f>IF(_ibpOfflineCondition_,"000000000000564552-1", _xll.EPMOlapMemberO("[PRDID].[].[000000000000564552-1]","","000000000000564552-1","","000"))</f>
        <v>000000000000564552-1</v>
      </c>
      <c r="H51" s="147" t="str">
        <f>IF(_ibpOfflineCondition_,"FGR+ FIGAROLLPLUS 5/340+40 ANTHR MONIER", _xll.EPMOlapMemberO("[PRDDESCR].[].[FGR+ FIGAROLLPLUS 5/340+40 ANTHR MONIER]","","FGR+ FIGAROLLPLUS 5/340+40 ANTHR MONIER","","000"))</f>
        <v>FGR+ FIGAROLLPLUS 5/340+40 ANTHR MONIER</v>
      </c>
      <c r="I51" s="147" t="str">
        <f>IF(_ibpOfflineCondition_,"X0", _xll.EPMOlapMemberO("[MRPTYPE].[].[X0]","","X0","","000"))</f>
        <v>X0</v>
      </c>
      <c r="J51" s="147" t="str">
        <f>IF(_ibpOfflineCondition_,"Open Production Orders (Adjusted by PLT)", _xll.EPMOlapMemberO("[KEY_FIGURES].[].[ZOPENPRODUCTIONORDERPLT]","","Open Production Orders (Adjusted by PLT)","","000"))</f>
        <v>Open Production Orders (Adjusted by PLT)</v>
      </c>
      <c r="K51" s="80"/>
      <c r="L51" s="79"/>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c r="BA51" s="58"/>
      <c r="BB51" s="58"/>
      <c r="BC51" s="58"/>
      <c r="BD51" s="58"/>
      <c r="BE51" s="58"/>
      <c r="BF51" s="58"/>
      <c r="BG51" s="58"/>
      <c r="BH51" s="58"/>
      <c r="BI51" s="58"/>
      <c r="BJ51" s="58"/>
      <c r="BK51" s="58"/>
      <c r="BL51" s="58"/>
      <c r="BM51" s="58"/>
      <c r="BN51" s="58"/>
      <c r="BO51" s="58"/>
      <c r="BP51" s="58"/>
      <c r="BQ51" s="58"/>
      <c r="BR51" s="58"/>
      <c r="BS51" s="58"/>
      <c r="BT51" s="58"/>
      <c r="BU51" s="58"/>
      <c r="BV51" s="58"/>
      <c r="BW51" s="58"/>
      <c r="BX51" s="107"/>
      <c r="BY51" s="107"/>
      <c r="BZ51" s="107"/>
      <c r="CA51" s="107"/>
      <c r="CB51" s="107"/>
      <c r="CC51" s="107"/>
      <c r="CD51" s="107"/>
      <c r="CE51" s="107"/>
      <c r="CF51" s="107"/>
      <c r="CG51" s="107"/>
      <c r="CH51" s="107"/>
      <c r="CI51" s="107"/>
      <c r="CJ51" s="107"/>
      <c r="CK51" s="107"/>
      <c r="CL51" s="107"/>
      <c r="CM51" s="107"/>
      <c r="CN51" s="107"/>
      <c r="CO51" s="107"/>
      <c r="CP51" s="107"/>
      <c r="CQ51" s="107"/>
      <c r="CR51" s="107"/>
      <c r="CS51" s="107"/>
      <c r="CT51" s="107"/>
      <c r="CU51" s="107"/>
      <c r="CV51" s="107"/>
      <c r="CW51" s="107"/>
      <c r="CX51" s="107"/>
      <c r="CY51" s="107"/>
      <c r="CZ51" s="107"/>
      <c r="DA51" s="107"/>
      <c r="DB51" s="107"/>
      <c r="DC51" s="107"/>
      <c r="DD51" s="107"/>
      <c r="DE51" s="107"/>
      <c r="DF51" s="107"/>
      <c r="DG51" s="107"/>
      <c r="DH51" s="107"/>
      <c r="DI51" s="107"/>
      <c r="DJ51" s="107"/>
      <c r="DK51" s="107"/>
      <c r="DL51" s="107"/>
      <c r="DM51" s="107"/>
      <c r="DN51" s="107"/>
      <c r="DO51" s="107"/>
      <c r="DP51" s="107"/>
      <c r="DQ51" s="107"/>
      <c r="DR51" s="107"/>
      <c r="DS51" s="107"/>
      <c r="DT51" s="107"/>
      <c r="DU51" s="107"/>
      <c r="DV51" s="107"/>
      <c r="DW51" s="107"/>
      <c r="DX51" s="107"/>
      <c r="DY51" s="107"/>
      <c r="DZ51" s="107"/>
      <c r="EA51" s="107"/>
      <c r="EB51" s="107"/>
      <c r="EC51" s="107"/>
      <c r="ED51" s="107"/>
      <c r="EE51" s="107"/>
      <c r="EF51" s="107"/>
      <c r="EG51" s="107"/>
    </row>
    <row r="52" spans="1:137" x14ac:dyDescent="0.25">
      <c r="A52" s="107"/>
      <c r="B52" s="107"/>
      <c r="C52" s="107"/>
      <c r="D52" s="107"/>
      <c r="E52" s="107"/>
      <c r="F52" s="107"/>
      <c r="G52" s="147" t="str">
        <f>IF(_ibpOfflineCondition_,"000000000000564552-1", _xll.EPMOlapMemberO("[PRDID].[].[000000000000564552-1]","","000000000000564552-1","","000"))</f>
        <v>000000000000564552-1</v>
      </c>
      <c r="H52" s="147" t="str">
        <f>IF(_ibpOfflineCondition_,"FGR+ FIGAROLLPLUS 5/340+40 ANTHR MONIER", _xll.EPMOlapMemberO("[PRDDESCR].[].[FGR+ FIGAROLLPLUS 5/340+40 ANTHR MONIER]","","FGR+ FIGAROLLPLUS 5/340+40 ANTHR MONIER","","000"))</f>
        <v>FGR+ FIGAROLLPLUS 5/340+40 ANTHR MONIER</v>
      </c>
      <c r="I52" s="147" t="str">
        <f>IF(_ibpOfflineCondition_,"X0", _xll.EPMOlapMemberO("[MRPTYPE].[].[X0]","","X0","","000"))</f>
        <v>X0</v>
      </c>
      <c r="J52" s="147" t="str">
        <f>IF(_ibpOfflineCondition_,"Total Open Production Receipts(Adjusted by PLT)", _xll.EPMOlapMemberO("[KEY_FIGURES].[].[ZTOTALOPENPRODUCTIONPLT]","","Total Open Production Receipts(Adjusted by PLT)","","000"))</f>
        <v>Total Open Production Receipts(Adjusted by PLT)</v>
      </c>
      <c r="K52" s="80"/>
      <c r="L52" s="79"/>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c r="BA52" s="58"/>
      <c r="BB52" s="58"/>
      <c r="BC52" s="58"/>
      <c r="BD52" s="58"/>
      <c r="BE52" s="58"/>
      <c r="BF52" s="58"/>
      <c r="BG52" s="58"/>
      <c r="BH52" s="58"/>
      <c r="BI52" s="58"/>
      <c r="BJ52" s="58"/>
      <c r="BK52" s="58"/>
      <c r="BL52" s="58"/>
      <c r="BM52" s="58"/>
      <c r="BN52" s="58"/>
      <c r="BO52" s="58"/>
      <c r="BP52" s="58"/>
      <c r="BQ52" s="58"/>
      <c r="BR52" s="58"/>
      <c r="BS52" s="58"/>
      <c r="BT52" s="58"/>
      <c r="BU52" s="58"/>
      <c r="BV52" s="58"/>
      <c r="BW52" s="58"/>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7"/>
      <c r="CY52" s="107"/>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row>
    <row r="53" spans="1:137" x14ac:dyDescent="0.25">
      <c r="A53" s="107"/>
      <c r="B53" s="107"/>
      <c r="C53" s="107"/>
      <c r="D53" s="107"/>
      <c r="E53" s="107"/>
      <c r="F53" s="107"/>
      <c r="G53" s="147" t="str">
        <f>IF(_ibpOfflineCondition_,"000000000000564552-1", _xll.EPMOlapMemberO("[PRDID].[].[000000000000564552-1]","","000000000000564552-1","","000"))</f>
        <v>000000000000564552-1</v>
      </c>
      <c r="H53" s="147" t="str">
        <f>IF(_ibpOfflineCondition_,"FGR+ FIGAROLLPLUS 5/340+40 ANTHR MONIER", _xll.EPMOlapMemberO("[PRDDESCR].[].[FGR+ FIGAROLLPLUS 5/340+40 ANTHR MONIER]","","FGR+ FIGAROLLPLUS 5/340+40 ANTHR MONIER","","000"))</f>
        <v>FGR+ FIGAROLLPLUS 5/340+40 ANTHR MONIER</v>
      </c>
      <c r="I53" s="147" t="str">
        <f>IF(_ibpOfflineCondition_,"X0", _xll.EPMOlapMemberO("[MRPTYPE].[].[X0]","","X0","","000"))</f>
        <v>X0</v>
      </c>
      <c r="J53" s="147" t="str">
        <f>IF(_ibpOfflineCondition_,"Production Receipt (Adjusted by PLT)", _xll.EPMOlapMemberO("[KEY_FIGURES].[].[ZPRODUCTIONSUPPLY]","","Production Receipt (Adjusted by PLT)","","000"))</f>
        <v>Production Receipt (Adjusted by PLT)</v>
      </c>
      <c r="K53" s="80"/>
      <c r="L53" s="79"/>
      <c r="M53" s="58"/>
      <c r="N53" s="58"/>
      <c r="O53" s="58"/>
      <c r="P53" s="58"/>
      <c r="Q53" s="58"/>
      <c r="R53" s="58"/>
      <c r="S53" s="58"/>
      <c r="T53" s="58"/>
      <c r="U53" s="58"/>
      <c r="V53" s="58"/>
      <c r="W53" s="58">
        <v>180</v>
      </c>
      <c r="X53" s="58"/>
      <c r="Y53" s="58"/>
      <c r="Z53" s="58"/>
      <c r="AA53" s="58"/>
      <c r="AB53" s="58">
        <v>180</v>
      </c>
      <c r="AC53" s="58"/>
      <c r="AD53" s="58"/>
      <c r="AE53" s="58">
        <v>180</v>
      </c>
      <c r="AF53" s="58"/>
      <c r="AG53" s="58"/>
      <c r="AH53" s="58"/>
      <c r="AI53" s="58"/>
      <c r="AJ53" s="58"/>
      <c r="AK53" s="58"/>
      <c r="AL53" s="58">
        <v>180</v>
      </c>
      <c r="AM53" s="58"/>
      <c r="AN53" s="58"/>
      <c r="AO53" s="58"/>
      <c r="AP53" s="58">
        <v>180</v>
      </c>
      <c r="AQ53" s="58"/>
      <c r="AR53" s="58"/>
      <c r="AS53" s="58"/>
      <c r="AT53" s="58">
        <v>180</v>
      </c>
      <c r="AU53" s="58"/>
      <c r="AV53" s="58"/>
      <c r="AW53" s="58"/>
      <c r="AX53" s="58">
        <v>180</v>
      </c>
      <c r="AY53" s="58"/>
      <c r="AZ53" s="58"/>
      <c r="BA53" s="58"/>
      <c r="BB53" s="58"/>
      <c r="BC53" s="58"/>
      <c r="BD53" s="58"/>
      <c r="BE53" s="58"/>
      <c r="BF53" s="58"/>
      <c r="BG53" s="58"/>
      <c r="BH53" s="58">
        <v>180</v>
      </c>
      <c r="BI53" s="58"/>
      <c r="BJ53" s="58"/>
      <c r="BK53" s="58"/>
      <c r="BL53" s="58"/>
      <c r="BM53" s="58">
        <v>62.2</v>
      </c>
      <c r="BN53" s="58"/>
      <c r="BO53" s="58"/>
      <c r="BP53" s="58">
        <v>28.6</v>
      </c>
      <c r="BQ53" s="58">
        <v>92.95</v>
      </c>
      <c r="BR53" s="58"/>
      <c r="BS53" s="58"/>
      <c r="BT53" s="58">
        <v>35.75</v>
      </c>
      <c r="BU53" s="58">
        <v>116</v>
      </c>
      <c r="BV53" s="58"/>
      <c r="BW53" s="58"/>
      <c r="BX53" s="107"/>
      <c r="BY53" s="107"/>
      <c r="BZ53" s="107"/>
      <c r="CA53" s="107"/>
      <c r="CB53" s="107"/>
      <c r="CC53" s="107"/>
      <c r="CD53" s="107"/>
      <c r="CE53" s="107"/>
      <c r="CF53" s="107"/>
      <c r="CG53" s="107"/>
      <c r="CH53" s="107"/>
      <c r="CI53" s="107"/>
      <c r="CJ53" s="107"/>
      <c r="CK53" s="107"/>
      <c r="CL53" s="107"/>
      <c r="CM53" s="107"/>
      <c r="CN53" s="107"/>
      <c r="CO53" s="107"/>
      <c r="CP53" s="107"/>
      <c r="CQ53" s="107"/>
      <c r="CR53" s="107"/>
      <c r="CS53" s="107"/>
      <c r="CT53" s="107"/>
      <c r="CU53" s="107"/>
      <c r="CV53" s="107"/>
      <c r="CW53" s="107"/>
      <c r="CX53" s="107"/>
      <c r="CY53" s="107"/>
      <c r="CZ53" s="107"/>
      <c r="DA53" s="107"/>
      <c r="DB53" s="107"/>
      <c r="DC53" s="107"/>
      <c r="DD53" s="107"/>
      <c r="DE53" s="107"/>
      <c r="DF53" s="107"/>
      <c r="DG53" s="107"/>
      <c r="DH53" s="107"/>
      <c r="DI53" s="107"/>
      <c r="DJ53" s="107"/>
      <c r="DK53" s="107"/>
      <c r="DL53" s="107"/>
      <c r="DM53" s="107"/>
      <c r="DN53" s="107"/>
      <c r="DO53" s="107"/>
      <c r="DP53" s="107"/>
      <c r="DQ53" s="107"/>
      <c r="DR53" s="107"/>
      <c r="DS53" s="107"/>
      <c r="DT53" s="107"/>
      <c r="DU53" s="107"/>
      <c r="DV53" s="107"/>
      <c r="DW53" s="107"/>
      <c r="DX53" s="107"/>
      <c r="DY53" s="107"/>
      <c r="DZ53" s="107"/>
      <c r="EA53" s="107"/>
      <c r="EB53" s="107"/>
      <c r="EC53" s="107"/>
      <c r="ED53" s="107"/>
      <c r="EE53" s="107"/>
      <c r="EF53" s="107"/>
      <c r="EG53" s="107"/>
    </row>
    <row r="54" spans="1:137" x14ac:dyDescent="0.25">
      <c r="A54" s="107"/>
      <c r="B54" s="107"/>
      <c r="C54" s="107"/>
      <c r="D54" s="107"/>
      <c r="E54" s="107"/>
      <c r="F54" s="107"/>
      <c r="G54" s="147" t="str">
        <f>IF(_ibpOfflineCondition_,"000000000000564553-1", _xll.EPMOlapMemberO("[PRDID].[].[000000000000564553-1]","","000000000000564553-1","","000"))</f>
        <v>000000000000564553-1</v>
      </c>
      <c r="H54" s="147" t="str">
        <f>IF(_ibpOfflineCondition_,"FGR+ FIGAROLLPLUS 5/340+40 ROT MONIER", _xll.EPMOlapMemberO("[PRDDESCR].[].[FGR+ FIGAROLLPLUS 5/340+40 ROT MONIER]","","FGR+ FIGAROLLPLUS 5/340+40 ROT MONIER","","000"))</f>
        <v>FGR+ FIGAROLLPLUS 5/340+40 ROT MONIER</v>
      </c>
      <c r="I54" s="147" t="str">
        <f>IF(_ibpOfflineCondition_,"X0", _xll.EPMOlapMemberO("[MRPTYPE].[].[X0]","","X0","","000"))</f>
        <v>X0</v>
      </c>
      <c r="J54" s="147" t="str">
        <f>IF(_ibpOfflineCondition_,"Firmed Production Plan (Adjusted by PLT)", _xll.EPMOlapMemberO("[KEY_FIGURES].[].[ZFIRMEDPRODUCTIONPLT]","","Firmed Production Plan (Adjusted by PLT)","","000"))</f>
        <v>Firmed Production Plan (Adjusted by PLT)</v>
      </c>
      <c r="K54" s="80"/>
      <c r="L54" s="79"/>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c r="BA54" s="58"/>
      <c r="BB54" s="58"/>
      <c r="BC54" s="58"/>
      <c r="BD54" s="58"/>
      <c r="BE54" s="58"/>
      <c r="BF54" s="58"/>
      <c r="BG54" s="58"/>
      <c r="BH54" s="58"/>
      <c r="BI54" s="58"/>
      <c r="BJ54" s="58"/>
      <c r="BK54" s="58"/>
      <c r="BL54" s="58"/>
      <c r="BM54" s="58"/>
      <c r="BN54" s="58"/>
      <c r="BO54" s="58"/>
      <c r="BP54" s="58"/>
      <c r="BQ54" s="58"/>
      <c r="BR54" s="58"/>
      <c r="BS54" s="58"/>
      <c r="BT54" s="58"/>
      <c r="BU54" s="58"/>
      <c r="BV54" s="58"/>
      <c r="BW54" s="58"/>
      <c r="BX54" s="107"/>
      <c r="BY54" s="107"/>
      <c r="BZ54" s="107"/>
      <c r="CA54" s="107"/>
      <c r="CB54" s="107"/>
      <c r="CC54" s="107"/>
      <c r="CD54" s="107"/>
      <c r="CE54" s="107"/>
      <c r="CF54" s="107"/>
      <c r="CG54" s="107"/>
      <c r="CH54" s="107"/>
      <c r="CI54" s="107"/>
      <c r="CJ54" s="107"/>
      <c r="CK54" s="107"/>
      <c r="CL54" s="107"/>
      <c r="CM54" s="107"/>
      <c r="CN54" s="107"/>
      <c r="CO54" s="107"/>
      <c r="CP54" s="107"/>
      <c r="CQ54" s="107"/>
      <c r="CR54" s="107"/>
      <c r="CS54" s="107"/>
      <c r="CT54" s="107"/>
      <c r="CU54" s="107"/>
      <c r="CV54" s="107"/>
      <c r="CW54" s="107"/>
      <c r="CX54" s="107"/>
      <c r="CY54" s="107"/>
      <c r="CZ54" s="107"/>
      <c r="DA54" s="107"/>
      <c r="DB54" s="107"/>
      <c r="DC54" s="107"/>
      <c r="DD54" s="107"/>
      <c r="DE54" s="107"/>
      <c r="DF54" s="107"/>
      <c r="DG54" s="107"/>
      <c r="DH54" s="107"/>
      <c r="DI54" s="107"/>
      <c r="DJ54" s="107"/>
      <c r="DK54" s="107"/>
      <c r="DL54" s="107"/>
      <c r="DM54" s="107"/>
      <c r="DN54" s="107"/>
      <c r="DO54" s="107"/>
      <c r="DP54" s="107"/>
      <c r="DQ54" s="107"/>
      <c r="DR54" s="107"/>
      <c r="DS54" s="107"/>
      <c r="DT54" s="107"/>
      <c r="DU54" s="107"/>
      <c r="DV54" s="107"/>
      <c r="DW54" s="107"/>
      <c r="DX54" s="107"/>
      <c r="DY54" s="107"/>
      <c r="DZ54" s="107"/>
      <c r="EA54" s="107"/>
      <c r="EB54" s="107"/>
      <c r="EC54" s="107"/>
      <c r="ED54" s="107"/>
      <c r="EE54" s="107"/>
      <c r="EF54" s="107"/>
      <c r="EG54" s="107"/>
    </row>
    <row r="55" spans="1:137" x14ac:dyDescent="0.25">
      <c r="A55" s="107"/>
      <c r="B55" s="107"/>
      <c r="C55" s="107"/>
      <c r="D55" s="107"/>
      <c r="E55" s="107"/>
      <c r="F55" s="107"/>
      <c r="G55" s="147" t="str">
        <f>IF(_ibpOfflineCondition_,"000000000000564553-1", _xll.EPMOlapMemberO("[PRDID].[].[000000000000564553-1]","","000000000000564553-1","","000"))</f>
        <v>000000000000564553-1</v>
      </c>
      <c r="H55" s="147" t="str">
        <f>IF(_ibpOfflineCondition_,"FGR+ FIGAROLLPLUS 5/340+40 ROT MONIER", _xll.EPMOlapMemberO("[PRDDESCR].[].[FGR+ FIGAROLLPLUS 5/340+40 ROT MONIER]","","FGR+ FIGAROLLPLUS 5/340+40 ROT MONIER","","000"))</f>
        <v>FGR+ FIGAROLLPLUS 5/340+40 ROT MONIER</v>
      </c>
      <c r="I55" s="147" t="str">
        <f>IF(_ibpOfflineCondition_,"X0", _xll.EPMOlapMemberO("[MRPTYPE].[].[X0]","","X0","","000"))</f>
        <v>X0</v>
      </c>
      <c r="J55" s="147" t="str">
        <f>IF(_ibpOfflineCondition_,"Open Production Orders (Adjusted by PLT)", _xll.EPMOlapMemberO("[KEY_FIGURES].[].[ZOPENPRODUCTIONORDERPLT]","","Open Production Orders (Adjusted by PLT)","","000"))</f>
        <v>Open Production Orders (Adjusted by PLT)</v>
      </c>
      <c r="K55" s="80"/>
      <c r="L55" s="79"/>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c r="BA55" s="58"/>
      <c r="BB55" s="58"/>
      <c r="BC55" s="58"/>
      <c r="BD55" s="58"/>
      <c r="BE55" s="58"/>
      <c r="BF55" s="58"/>
      <c r="BG55" s="58"/>
      <c r="BH55" s="58"/>
      <c r="BI55" s="58"/>
      <c r="BJ55" s="58"/>
      <c r="BK55" s="58"/>
      <c r="BL55" s="58"/>
      <c r="BM55" s="58"/>
      <c r="BN55" s="58"/>
      <c r="BO55" s="58"/>
      <c r="BP55" s="58"/>
      <c r="BQ55" s="58"/>
      <c r="BR55" s="58"/>
      <c r="BS55" s="58"/>
      <c r="BT55" s="58"/>
      <c r="BU55" s="58"/>
      <c r="BV55" s="58"/>
      <c r="BW55" s="58"/>
      <c r="BX55" s="107"/>
      <c r="BY55" s="107"/>
      <c r="BZ55" s="107"/>
      <c r="CA55" s="107"/>
      <c r="CB55" s="107"/>
      <c r="CC55" s="107"/>
      <c r="CD55" s="107"/>
      <c r="CE55" s="107"/>
      <c r="CF55" s="107"/>
      <c r="CG55" s="107"/>
      <c r="CH55" s="107"/>
      <c r="CI55" s="107"/>
      <c r="CJ55" s="107"/>
      <c r="CK55" s="107"/>
      <c r="CL55" s="107"/>
      <c r="CM55" s="107"/>
      <c r="CN55" s="107"/>
      <c r="CO55" s="107"/>
      <c r="CP55" s="107"/>
      <c r="CQ55" s="107"/>
      <c r="CR55" s="107"/>
      <c r="CS55" s="107"/>
      <c r="CT55" s="107"/>
      <c r="CU55" s="107"/>
      <c r="CV55" s="107"/>
      <c r="CW55" s="107"/>
      <c r="CX55" s="107"/>
      <c r="CY55" s="107"/>
      <c r="CZ55" s="107"/>
      <c r="DA55" s="107"/>
      <c r="DB55" s="107"/>
      <c r="DC55" s="107"/>
      <c r="DD55" s="107"/>
      <c r="DE55" s="107"/>
      <c r="DF55" s="107"/>
      <c r="DG55" s="107"/>
      <c r="DH55" s="107"/>
      <c r="DI55" s="107"/>
      <c r="DJ55" s="107"/>
      <c r="DK55" s="107"/>
      <c r="DL55" s="107"/>
      <c r="DM55" s="107"/>
      <c r="DN55" s="107"/>
      <c r="DO55" s="107"/>
      <c r="DP55" s="107"/>
      <c r="DQ55" s="107"/>
      <c r="DR55" s="107"/>
      <c r="DS55" s="107"/>
      <c r="DT55" s="107"/>
      <c r="DU55" s="107"/>
      <c r="DV55" s="107"/>
      <c r="DW55" s="107"/>
      <c r="DX55" s="107"/>
      <c r="DY55" s="107"/>
      <c r="DZ55" s="107"/>
      <c r="EA55" s="107"/>
      <c r="EB55" s="107"/>
      <c r="EC55" s="107"/>
      <c r="ED55" s="107"/>
      <c r="EE55" s="107"/>
      <c r="EF55" s="107"/>
      <c r="EG55" s="107"/>
    </row>
    <row r="56" spans="1:137" x14ac:dyDescent="0.25">
      <c r="A56" s="107"/>
      <c r="B56" s="107"/>
      <c r="C56" s="107"/>
      <c r="D56" s="107"/>
      <c r="E56" s="107"/>
      <c r="F56" s="107"/>
      <c r="G56" s="147" t="str">
        <f>IF(_ibpOfflineCondition_,"000000000000564553-1", _xll.EPMOlapMemberO("[PRDID].[].[000000000000564553-1]","","000000000000564553-1","","000"))</f>
        <v>000000000000564553-1</v>
      </c>
      <c r="H56" s="147" t="str">
        <f>IF(_ibpOfflineCondition_,"FGR+ FIGAROLLPLUS 5/340+40 ROT MONIER", _xll.EPMOlapMemberO("[PRDDESCR].[].[FGR+ FIGAROLLPLUS 5/340+40 ROT MONIER]","","FGR+ FIGAROLLPLUS 5/340+40 ROT MONIER","","000"))</f>
        <v>FGR+ FIGAROLLPLUS 5/340+40 ROT MONIER</v>
      </c>
      <c r="I56" s="147" t="str">
        <f>IF(_ibpOfflineCondition_,"X0", _xll.EPMOlapMemberO("[MRPTYPE].[].[X0]","","X0","","000"))</f>
        <v>X0</v>
      </c>
      <c r="J56" s="147" t="str">
        <f>IF(_ibpOfflineCondition_,"Total Open Production Receipts(Adjusted by PLT)", _xll.EPMOlapMemberO("[KEY_FIGURES].[].[ZTOTALOPENPRODUCTIONPLT]","","Total Open Production Receipts(Adjusted by PLT)","","000"))</f>
        <v>Total Open Production Receipts(Adjusted by PLT)</v>
      </c>
      <c r="K56" s="80"/>
      <c r="L56" s="79"/>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c r="BA56" s="58"/>
      <c r="BB56" s="58"/>
      <c r="BC56" s="58"/>
      <c r="BD56" s="58"/>
      <c r="BE56" s="58"/>
      <c r="BF56" s="58"/>
      <c r="BG56" s="58"/>
      <c r="BH56" s="58"/>
      <c r="BI56" s="58"/>
      <c r="BJ56" s="58"/>
      <c r="BK56" s="58"/>
      <c r="BL56" s="58"/>
      <c r="BM56" s="58"/>
      <c r="BN56" s="58"/>
      <c r="BO56" s="58"/>
      <c r="BP56" s="58"/>
      <c r="BQ56" s="58"/>
      <c r="BR56" s="58"/>
      <c r="BS56" s="58"/>
      <c r="BT56" s="58"/>
      <c r="BU56" s="58"/>
      <c r="BV56" s="58"/>
      <c r="BW56" s="58"/>
      <c r="BX56" s="107"/>
      <c r="BY56" s="107"/>
      <c r="BZ56" s="107"/>
      <c r="CA56" s="107"/>
      <c r="CB56" s="107"/>
      <c r="CC56" s="107"/>
      <c r="CD56" s="107"/>
      <c r="CE56" s="107"/>
      <c r="CF56" s="107"/>
      <c r="CG56" s="107"/>
      <c r="CH56" s="107"/>
      <c r="CI56" s="107"/>
      <c r="CJ56" s="107"/>
      <c r="CK56" s="107"/>
      <c r="CL56" s="107"/>
      <c r="CM56" s="107"/>
      <c r="CN56" s="107"/>
      <c r="CO56" s="107"/>
      <c r="CP56" s="107"/>
      <c r="CQ56" s="107"/>
      <c r="CR56" s="107"/>
      <c r="CS56" s="107"/>
      <c r="CT56" s="107"/>
      <c r="CU56" s="107"/>
      <c r="CV56" s="107"/>
      <c r="CW56" s="107"/>
      <c r="CX56" s="107"/>
      <c r="CY56" s="107"/>
      <c r="CZ56" s="107"/>
      <c r="DA56" s="107"/>
      <c r="DB56" s="107"/>
      <c r="DC56" s="107"/>
      <c r="DD56" s="107"/>
      <c r="DE56" s="107"/>
      <c r="DF56" s="107"/>
      <c r="DG56" s="107"/>
      <c r="DH56" s="107"/>
      <c r="DI56" s="107"/>
      <c r="DJ56" s="107"/>
      <c r="DK56" s="107"/>
      <c r="DL56" s="107"/>
      <c r="DM56" s="107"/>
      <c r="DN56" s="107"/>
      <c r="DO56" s="107"/>
      <c r="DP56" s="107"/>
      <c r="DQ56" s="107"/>
      <c r="DR56" s="107"/>
      <c r="DS56" s="107"/>
      <c r="DT56" s="107"/>
      <c r="DU56" s="107"/>
      <c r="DV56" s="107"/>
      <c r="DW56" s="107"/>
      <c r="DX56" s="107"/>
      <c r="DY56" s="107"/>
      <c r="DZ56" s="107"/>
      <c r="EA56" s="107"/>
      <c r="EB56" s="107"/>
      <c r="EC56" s="107"/>
      <c r="ED56" s="107"/>
      <c r="EE56" s="107"/>
      <c r="EF56" s="107"/>
      <c r="EG56" s="107"/>
    </row>
    <row r="57" spans="1:137" x14ac:dyDescent="0.25">
      <c r="A57" s="107"/>
      <c r="B57" s="107"/>
      <c r="C57" s="107"/>
      <c r="D57" s="107"/>
      <c r="E57" s="107"/>
      <c r="F57" s="107"/>
      <c r="G57" s="147" t="str">
        <f>IF(_ibpOfflineCondition_,"000000000000564553-1", _xll.EPMOlapMemberO("[PRDID].[].[000000000000564553-1]","","000000000000564553-1","","000"))</f>
        <v>000000000000564553-1</v>
      </c>
      <c r="H57" s="147" t="str">
        <f>IF(_ibpOfflineCondition_,"FGR+ FIGAROLLPLUS 5/340+40 ROT MONIER", _xll.EPMOlapMemberO("[PRDDESCR].[].[FGR+ FIGAROLLPLUS 5/340+40 ROT MONIER]","","FGR+ FIGAROLLPLUS 5/340+40 ROT MONIER","","000"))</f>
        <v>FGR+ FIGAROLLPLUS 5/340+40 ROT MONIER</v>
      </c>
      <c r="I57" s="147" t="str">
        <f>IF(_ibpOfflineCondition_,"X0", _xll.EPMOlapMemberO("[MRPTYPE].[].[X0]","","X0","","000"))</f>
        <v>X0</v>
      </c>
      <c r="J57" s="147" t="str">
        <f>IF(_ibpOfflineCondition_,"Production Receipt (Adjusted by PLT)", _xll.EPMOlapMemberO("[KEY_FIGURES].[].[ZPRODUCTIONSUPPLY]","","Production Receipt (Adjusted by PLT)","","000"))</f>
        <v>Production Receipt (Adjusted by PLT)</v>
      </c>
      <c r="K57" s="80"/>
      <c r="L57" s="79"/>
      <c r="M57" s="58"/>
      <c r="N57" s="58"/>
      <c r="O57" s="58">
        <v>270</v>
      </c>
      <c r="P57" s="58">
        <v>4500</v>
      </c>
      <c r="Q57" s="58"/>
      <c r="R57" s="58"/>
      <c r="S57" s="58">
        <v>810</v>
      </c>
      <c r="T57" s="58">
        <v>180</v>
      </c>
      <c r="U57" s="58"/>
      <c r="V57" s="58"/>
      <c r="W57" s="58">
        <v>720</v>
      </c>
      <c r="X57" s="58">
        <v>2790</v>
      </c>
      <c r="Y57" s="58"/>
      <c r="Z57" s="58"/>
      <c r="AA57" s="58">
        <v>900</v>
      </c>
      <c r="AB57" s="58">
        <v>2340</v>
      </c>
      <c r="AC57" s="58"/>
      <c r="AD57" s="58"/>
      <c r="AE57" s="58">
        <v>990</v>
      </c>
      <c r="AF57" s="58">
        <v>1530</v>
      </c>
      <c r="AG57" s="58"/>
      <c r="AH57" s="58"/>
      <c r="AI57" s="58">
        <v>2340</v>
      </c>
      <c r="AJ57" s="58"/>
      <c r="AK57" s="58"/>
      <c r="AL57" s="58">
        <v>3060</v>
      </c>
      <c r="AM57" s="58"/>
      <c r="AN57" s="58"/>
      <c r="AO57" s="58">
        <v>990</v>
      </c>
      <c r="AP57" s="58">
        <v>2430</v>
      </c>
      <c r="AQ57" s="58"/>
      <c r="AR57" s="58"/>
      <c r="AS57" s="58">
        <v>720</v>
      </c>
      <c r="AT57" s="58">
        <v>2160</v>
      </c>
      <c r="AU57" s="58"/>
      <c r="AV57" s="58"/>
      <c r="AW57" s="58">
        <v>630</v>
      </c>
      <c r="AX57" s="58">
        <v>2880</v>
      </c>
      <c r="AY57" s="58"/>
      <c r="AZ57" s="58"/>
      <c r="BA57" s="58"/>
      <c r="BB57" s="58">
        <v>1710</v>
      </c>
      <c r="BC57" s="58">
        <v>3780</v>
      </c>
      <c r="BD57" s="58"/>
      <c r="BE57" s="58"/>
      <c r="BF57" s="58"/>
      <c r="BG57" s="58"/>
      <c r="BH57" s="58">
        <v>1620</v>
      </c>
      <c r="BI57" s="58"/>
      <c r="BJ57" s="58"/>
      <c r="BK57" s="58"/>
      <c r="BL57" s="58">
        <v>592.6</v>
      </c>
      <c r="BM57" s="58">
        <v>1914</v>
      </c>
      <c r="BN57" s="58"/>
      <c r="BO57" s="58"/>
      <c r="BP57" s="58">
        <v>775</v>
      </c>
      <c r="BQ57" s="58">
        <v>2055</v>
      </c>
      <c r="BR57" s="58"/>
      <c r="BS57" s="58"/>
      <c r="BT57" s="58">
        <v>743.5</v>
      </c>
      <c r="BU57" s="58">
        <v>2050.5</v>
      </c>
      <c r="BV57" s="58"/>
      <c r="BW57" s="58"/>
      <c r="BX57" s="107"/>
      <c r="BY57" s="107"/>
      <c r="BZ57" s="107"/>
      <c r="CA57" s="107"/>
      <c r="CB57" s="107"/>
      <c r="CC57" s="107"/>
      <c r="CD57" s="107"/>
      <c r="CE57" s="107"/>
      <c r="CF57" s="107"/>
      <c r="CG57" s="107"/>
      <c r="CH57" s="107"/>
      <c r="CI57" s="107"/>
      <c r="CJ57" s="107"/>
      <c r="CK57" s="107"/>
      <c r="CL57" s="107"/>
      <c r="CM57" s="107"/>
      <c r="CN57" s="107"/>
      <c r="CO57" s="107"/>
      <c r="CP57" s="107"/>
      <c r="CQ57" s="107"/>
      <c r="CR57" s="107"/>
      <c r="CS57" s="107"/>
      <c r="CT57" s="107"/>
      <c r="CU57" s="107"/>
      <c r="CV57" s="107"/>
      <c r="CW57" s="107"/>
      <c r="CX57" s="107"/>
      <c r="CY57" s="107"/>
      <c r="CZ57" s="107"/>
      <c r="DA57" s="107"/>
      <c r="DB57" s="107"/>
      <c r="DC57" s="107"/>
      <c r="DD57" s="107"/>
      <c r="DE57" s="107"/>
      <c r="DF57" s="107"/>
      <c r="DG57" s="107"/>
      <c r="DH57" s="107"/>
      <c r="DI57" s="107"/>
      <c r="DJ57" s="107"/>
      <c r="DK57" s="107"/>
      <c r="DL57" s="107"/>
      <c r="DM57" s="107"/>
      <c r="DN57" s="107"/>
      <c r="DO57" s="107"/>
      <c r="DP57" s="107"/>
      <c r="DQ57" s="107"/>
      <c r="DR57" s="107"/>
      <c r="DS57" s="107"/>
      <c r="DT57" s="107"/>
      <c r="DU57" s="107"/>
      <c r="DV57" s="107"/>
      <c r="DW57" s="107"/>
      <c r="DX57" s="107"/>
      <c r="DY57" s="107"/>
      <c r="DZ57" s="107"/>
      <c r="EA57" s="107"/>
      <c r="EB57" s="107"/>
      <c r="EC57" s="107"/>
      <c r="ED57" s="107"/>
      <c r="EE57" s="107"/>
      <c r="EF57" s="107"/>
      <c r="EG57" s="107"/>
    </row>
    <row r="58" spans="1:137" x14ac:dyDescent="0.25">
      <c r="A58" s="107"/>
      <c r="B58" s="107"/>
      <c r="C58" s="107"/>
      <c r="D58" s="107"/>
      <c r="E58" s="107"/>
      <c r="F58" s="107"/>
      <c r="G58" s="147" t="str">
        <f>IF(_ibpOfflineCondition_,"000000000000564691-1", _xll.EPMOlapMemberO("[PRDID].[].[000000000000564691-1]","","000000000000564691-1","","000"))</f>
        <v>000000000000564691-1</v>
      </c>
      <c r="H58" s="147" t="str">
        <f>IF(_ibpOfflineCondition_,"FGR+ FIGAROLLPLUS 5/340+40 ROSE MFR", _xll.EPMOlapMemberO("[PRDDESCR].[].[FGR+ FIGAROLLPLUS 5/340+40 ROSE MFR]","","FGR+ FIGAROLLPLUS 5/340+40 ROSE MFR","","000"))</f>
        <v>FGR+ FIGAROLLPLUS 5/340+40 ROSE MFR</v>
      </c>
      <c r="I58" s="147" t="str">
        <f>IF(_ibpOfflineCondition_,"X7", _xll.EPMOlapMemberO("[MRPTYPE].[].[X7]","","X7","","000"))</f>
        <v>X7</v>
      </c>
      <c r="J58" s="147" t="str">
        <f>IF(_ibpOfflineCondition_,"Firmed Production Plan (Adjusted by PLT)", _xll.EPMOlapMemberO("[KEY_FIGURES].[].[ZFIRMEDPRODUCTIONPLT]","","Firmed Production Plan (Adjusted by PLT)","","000"))</f>
        <v>Firmed Production Plan (Adjusted by PLT)</v>
      </c>
      <c r="K58" s="80"/>
      <c r="L58" s="79"/>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c r="BM58" s="58"/>
      <c r="BN58" s="58"/>
      <c r="BO58" s="58"/>
      <c r="BP58" s="58"/>
      <c r="BQ58" s="58"/>
      <c r="BR58" s="58"/>
      <c r="BS58" s="58"/>
      <c r="BT58" s="58"/>
      <c r="BU58" s="58"/>
      <c r="BV58" s="58"/>
      <c r="BW58" s="58"/>
      <c r="BX58" s="107"/>
      <c r="BY58" s="107"/>
      <c r="BZ58" s="107"/>
      <c r="CA58" s="107"/>
      <c r="CB58" s="107"/>
      <c r="CC58" s="107"/>
      <c r="CD58" s="107"/>
      <c r="CE58" s="107"/>
      <c r="CF58" s="107"/>
      <c r="CG58" s="107"/>
      <c r="CH58" s="107"/>
      <c r="CI58" s="107"/>
      <c r="CJ58" s="107"/>
      <c r="CK58" s="107"/>
      <c r="CL58" s="107"/>
      <c r="CM58" s="107"/>
      <c r="CN58" s="107"/>
      <c r="CO58" s="107"/>
      <c r="CP58" s="107"/>
      <c r="CQ58" s="107"/>
      <c r="CR58" s="107"/>
      <c r="CS58" s="107"/>
      <c r="CT58" s="107"/>
      <c r="CU58" s="107"/>
      <c r="CV58" s="107"/>
      <c r="CW58" s="107"/>
      <c r="CX58" s="107"/>
      <c r="CY58" s="107"/>
      <c r="CZ58" s="107"/>
      <c r="DA58" s="107"/>
      <c r="DB58" s="107"/>
      <c r="DC58" s="107"/>
      <c r="DD58" s="107"/>
      <c r="DE58" s="107"/>
      <c r="DF58" s="107"/>
      <c r="DG58" s="107"/>
      <c r="DH58" s="107"/>
      <c r="DI58" s="107"/>
      <c r="DJ58" s="107"/>
      <c r="DK58" s="107"/>
      <c r="DL58" s="107"/>
      <c r="DM58" s="107"/>
      <c r="DN58" s="107"/>
      <c r="DO58" s="107"/>
      <c r="DP58" s="107"/>
      <c r="DQ58" s="107"/>
      <c r="DR58" s="107"/>
      <c r="DS58" s="107"/>
      <c r="DT58" s="107"/>
      <c r="DU58" s="107"/>
      <c r="DV58" s="107"/>
      <c r="DW58" s="107"/>
      <c r="DX58" s="107"/>
      <c r="DY58" s="107"/>
      <c r="DZ58" s="107"/>
      <c r="EA58" s="107"/>
      <c r="EB58" s="107"/>
      <c r="EC58" s="107"/>
      <c r="ED58" s="107"/>
      <c r="EE58" s="107"/>
      <c r="EF58" s="107"/>
      <c r="EG58" s="107"/>
    </row>
    <row r="59" spans="1:137" x14ac:dyDescent="0.25">
      <c r="A59" s="107"/>
      <c r="B59" s="107"/>
      <c r="C59" s="107"/>
      <c r="D59" s="107"/>
      <c r="E59" s="107"/>
      <c r="F59" s="107"/>
      <c r="G59" s="147" t="str">
        <f>IF(_ibpOfflineCondition_,"000000000000564691-1", _xll.EPMOlapMemberO("[PRDID].[].[000000000000564691-1]","","000000000000564691-1","","000"))</f>
        <v>000000000000564691-1</v>
      </c>
      <c r="H59" s="147" t="str">
        <f>IF(_ibpOfflineCondition_,"FGR+ FIGAROLLPLUS 5/340+40 ROSE MFR", _xll.EPMOlapMemberO("[PRDDESCR].[].[FGR+ FIGAROLLPLUS 5/340+40 ROSE MFR]","","FGR+ FIGAROLLPLUS 5/340+40 ROSE MFR","","000"))</f>
        <v>FGR+ FIGAROLLPLUS 5/340+40 ROSE MFR</v>
      </c>
      <c r="I59" s="147" t="str">
        <f>IF(_ibpOfflineCondition_,"X7", _xll.EPMOlapMemberO("[MRPTYPE].[].[X7]","","X7","","000"))</f>
        <v>X7</v>
      </c>
      <c r="J59" s="147" t="str">
        <f>IF(_ibpOfflineCondition_,"Open Production Orders (Adjusted by PLT)", _xll.EPMOlapMemberO("[KEY_FIGURES].[].[ZOPENPRODUCTIONORDERPLT]","","Open Production Orders (Adjusted by PLT)","","000"))</f>
        <v>Open Production Orders (Adjusted by PLT)</v>
      </c>
      <c r="K59" s="80"/>
      <c r="L59" s="79"/>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c r="BA59" s="58"/>
      <c r="BB59" s="58"/>
      <c r="BC59" s="58"/>
      <c r="BD59" s="58"/>
      <c r="BE59" s="58"/>
      <c r="BF59" s="58"/>
      <c r="BG59" s="58"/>
      <c r="BH59" s="58"/>
      <c r="BI59" s="58"/>
      <c r="BJ59" s="58"/>
      <c r="BK59" s="58"/>
      <c r="BL59" s="58"/>
      <c r="BM59" s="58"/>
      <c r="BN59" s="58"/>
      <c r="BO59" s="58"/>
      <c r="BP59" s="58"/>
      <c r="BQ59" s="58"/>
      <c r="BR59" s="58"/>
      <c r="BS59" s="58"/>
      <c r="BT59" s="58"/>
      <c r="BU59" s="58"/>
      <c r="BV59" s="58"/>
      <c r="BW59" s="58"/>
      <c r="BX59" s="107"/>
      <c r="BY59" s="107"/>
      <c r="BZ59" s="107"/>
      <c r="CA59" s="107"/>
      <c r="CB59" s="107"/>
      <c r="CC59" s="107"/>
      <c r="CD59" s="107"/>
      <c r="CE59" s="107"/>
      <c r="CF59" s="107"/>
      <c r="CG59" s="107"/>
      <c r="CH59" s="107"/>
      <c r="CI59" s="107"/>
      <c r="CJ59" s="107"/>
      <c r="CK59" s="107"/>
      <c r="CL59" s="107"/>
      <c r="CM59" s="107"/>
      <c r="CN59" s="107"/>
      <c r="CO59" s="107"/>
      <c r="CP59" s="107"/>
      <c r="CQ59" s="107"/>
      <c r="CR59" s="107"/>
      <c r="CS59" s="107"/>
      <c r="CT59" s="107"/>
      <c r="CU59" s="107"/>
      <c r="CV59" s="107"/>
      <c r="CW59" s="107"/>
      <c r="CX59" s="107"/>
      <c r="CY59" s="107"/>
      <c r="CZ59" s="107"/>
      <c r="DA59" s="107"/>
      <c r="DB59" s="107"/>
      <c r="DC59" s="107"/>
      <c r="DD59" s="107"/>
      <c r="DE59" s="107"/>
      <c r="DF59" s="107"/>
      <c r="DG59" s="107"/>
      <c r="DH59" s="107"/>
      <c r="DI59" s="107"/>
      <c r="DJ59" s="107"/>
      <c r="DK59" s="107"/>
      <c r="DL59" s="107"/>
      <c r="DM59" s="107"/>
      <c r="DN59" s="107"/>
      <c r="DO59" s="107"/>
      <c r="DP59" s="107"/>
      <c r="DQ59" s="107"/>
      <c r="DR59" s="107"/>
      <c r="DS59" s="107"/>
      <c r="DT59" s="107"/>
      <c r="DU59" s="107"/>
      <c r="DV59" s="107"/>
      <c r="DW59" s="107"/>
      <c r="DX59" s="107"/>
      <c r="DY59" s="107"/>
      <c r="DZ59" s="107"/>
      <c r="EA59" s="107"/>
      <c r="EB59" s="107"/>
      <c r="EC59" s="107"/>
      <c r="ED59" s="107"/>
      <c r="EE59" s="107"/>
      <c r="EF59" s="107"/>
      <c r="EG59" s="107"/>
    </row>
    <row r="60" spans="1:137" x14ac:dyDescent="0.25">
      <c r="A60" s="107"/>
      <c r="B60" s="107"/>
      <c r="C60" s="107"/>
      <c r="D60" s="107"/>
      <c r="E60" s="107"/>
      <c r="F60" s="107"/>
      <c r="G60" s="147" t="str">
        <f>IF(_ibpOfflineCondition_,"000000000000564691-1", _xll.EPMOlapMemberO("[PRDID].[].[000000000000564691-1]","","000000000000564691-1","","000"))</f>
        <v>000000000000564691-1</v>
      </c>
      <c r="H60" s="147" t="str">
        <f>IF(_ibpOfflineCondition_,"FGR+ FIGAROLLPLUS 5/340+40 ROSE MFR", _xll.EPMOlapMemberO("[PRDDESCR].[].[FGR+ FIGAROLLPLUS 5/340+40 ROSE MFR]","","FGR+ FIGAROLLPLUS 5/340+40 ROSE MFR","","000"))</f>
        <v>FGR+ FIGAROLLPLUS 5/340+40 ROSE MFR</v>
      </c>
      <c r="I60" s="147" t="str">
        <f>IF(_ibpOfflineCondition_,"X7", _xll.EPMOlapMemberO("[MRPTYPE].[].[X7]","","X7","","000"))</f>
        <v>X7</v>
      </c>
      <c r="J60" s="147" t="str">
        <f>IF(_ibpOfflineCondition_,"Total Open Production Receipts(Adjusted by PLT)", _xll.EPMOlapMemberO("[KEY_FIGURES].[].[ZTOTALOPENPRODUCTIONPLT]","","Total Open Production Receipts(Adjusted by PLT)","","000"))</f>
        <v>Total Open Production Receipts(Adjusted by PLT)</v>
      </c>
      <c r="K60" s="80"/>
      <c r="L60" s="79"/>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c r="BA60" s="58"/>
      <c r="BB60" s="58"/>
      <c r="BC60" s="58"/>
      <c r="BD60" s="58"/>
      <c r="BE60" s="58"/>
      <c r="BF60" s="58"/>
      <c r="BG60" s="58"/>
      <c r="BH60" s="58"/>
      <c r="BI60" s="58"/>
      <c r="BJ60" s="58"/>
      <c r="BK60" s="58"/>
      <c r="BL60" s="58"/>
      <c r="BM60" s="58"/>
      <c r="BN60" s="58"/>
      <c r="BO60" s="58"/>
      <c r="BP60" s="58"/>
      <c r="BQ60" s="58"/>
      <c r="BR60" s="58"/>
      <c r="BS60" s="58"/>
      <c r="BT60" s="58"/>
      <c r="BU60" s="58"/>
      <c r="BV60" s="58"/>
      <c r="BW60" s="58"/>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c r="DI60" s="107"/>
      <c r="DJ60" s="107"/>
      <c r="DK60" s="107"/>
      <c r="DL60" s="107"/>
      <c r="DM60" s="107"/>
      <c r="DN60" s="107"/>
      <c r="DO60" s="107"/>
      <c r="DP60" s="107"/>
      <c r="DQ60" s="107"/>
      <c r="DR60" s="107"/>
      <c r="DS60" s="107"/>
      <c r="DT60" s="107"/>
      <c r="DU60" s="107"/>
      <c r="DV60" s="107"/>
      <c r="DW60" s="107"/>
      <c r="DX60" s="107"/>
      <c r="DY60" s="107"/>
      <c r="DZ60" s="107"/>
      <c r="EA60" s="107"/>
      <c r="EB60" s="107"/>
      <c r="EC60" s="107"/>
      <c r="ED60" s="107"/>
      <c r="EE60" s="107"/>
      <c r="EF60" s="107"/>
      <c r="EG60" s="107"/>
    </row>
    <row r="61" spans="1:137" x14ac:dyDescent="0.25">
      <c r="A61" s="107"/>
      <c r="B61" s="107"/>
      <c r="C61" s="107"/>
      <c r="D61" s="107"/>
      <c r="E61" s="107"/>
      <c r="F61" s="107"/>
      <c r="G61" s="147" t="str">
        <f>IF(_ibpOfflineCondition_,"000000000000564691-1", _xll.EPMOlapMemberO("[PRDID].[].[000000000000564691-1]","","000000000000564691-1","","000"))</f>
        <v>000000000000564691-1</v>
      </c>
      <c r="H61" s="147" t="str">
        <f>IF(_ibpOfflineCondition_,"FGR+ FIGAROLLPLUS 5/340+40 ROSE MFR", _xll.EPMOlapMemberO("[PRDDESCR].[].[FGR+ FIGAROLLPLUS 5/340+40 ROSE MFR]","","FGR+ FIGAROLLPLUS 5/340+40 ROSE MFR","","000"))</f>
        <v>FGR+ FIGAROLLPLUS 5/340+40 ROSE MFR</v>
      </c>
      <c r="I61" s="147" t="str">
        <f>IF(_ibpOfflineCondition_,"X7", _xll.EPMOlapMemberO("[MRPTYPE].[].[X7]","","X7","","000"))</f>
        <v>X7</v>
      </c>
      <c r="J61" s="147" t="str">
        <f>IF(_ibpOfflineCondition_,"Production Receipt (Adjusted by PLT)", _xll.EPMOlapMemberO("[KEY_FIGURES].[].[ZPRODUCTIONSUPPLY]","","Production Receipt (Adjusted by PLT)","","000"))</f>
        <v>Production Receipt (Adjusted by PLT)</v>
      </c>
      <c r="K61" s="80"/>
      <c r="L61" s="79"/>
      <c r="M61" s="58"/>
      <c r="N61" s="58"/>
      <c r="O61" s="58">
        <v>450</v>
      </c>
      <c r="P61" s="58"/>
      <c r="Q61" s="58"/>
      <c r="R61" s="58"/>
      <c r="S61" s="58"/>
      <c r="T61" s="58">
        <v>270</v>
      </c>
      <c r="U61" s="58"/>
      <c r="V61" s="58"/>
      <c r="W61" s="58"/>
      <c r="X61" s="58">
        <v>270</v>
      </c>
      <c r="Y61" s="58"/>
      <c r="Z61" s="58"/>
      <c r="AA61" s="58">
        <v>540</v>
      </c>
      <c r="AB61" s="58"/>
      <c r="AC61" s="58"/>
      <c r="AD61" s="58"/>
      <c r="AE61" s="58"/>
      <c r="AF61" s="58">
        <v>180</v>
      </c>
      <c r="AG61" s="58"/>
      <c r="AH61" s="58"/>
      <c r="AI61" s="58">
        <v>270</v>
      </c>
      <c r="AJ61" s="58"/>
      <c r="AK61" s="58"/>
      <c r="AL61" s="58">
        <v>180</v>
      </c>
      <c r="AM61" s="58"/>
      <c r="AN61" s="58"/>
      <c r="AO61" s="58"/>
      <c r="AP61" s="58">
        <v>180</v>
      </c>
      <c r="AQ61" s="58"/>
      <c r="AR61" s="58"/>
      <c r="AS61" s="58">
        <v>180</v>
      </c>
      <c r="AT61" s="58">
        <v>180</v>
      </c>
      <c r="AU61" s="58"/>
      <c r="AV61" s="58"/>
      <c r="AW61" s="58">
        <v>270</v>
      </c>
      <c r="AX61" s="58"/>
      <c r="AY61" s="58"/>
      <c r="AZ61" s="58"/>
      <c r="BA61" s="58"/>
      <c r="BB61" s="58">
        <v>360</v>
      </c>
      <c r="BC61" s="58">
        <v>180</v>
      </c>
      <c r="BD61" s="58"/>
      <c r="BE61" s="58"/>
      <c r="BF61" s="58"/>
      <c r="BG61" s="58"/>
      <c r="BH61" s="58">
        <v>360</v>
      </c>
      <c r="BI61" s="58"/>
      <c r="BJ61" s="58"/>
      <c r="BK61" s="58"/>
      <c r="BL61" s="58">
        <v>1</v>
      </c>
      <c r="BM61" s="58">
        <v>180</v>
      </c>
      <c r="BN61" s="58"/>
      <c r="BO61" s="58"/>
      <c r="BP61" s="58"/>
      <c r="BQ61" s="58">
        <v>270</v>
      </c>
      <c r="BR61" s="58"/>
      <c r="BS61" s="58"/>
      <c r="BT61" s="58"/>
      <c r="BU61" s="58">
        <v>90</v>
      </c>
      <c r="BV61" s="58"/>
      <c r="BW61" s="58"/>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c r="DI61" s="107"/>
      <c r="DJ61" s="107"/>
      <c r="DK61" s="107"/>
      <c r="DL61" s="107"/>
      <c r="DM61" s="107"/>
      <c r="DN61" s="107"/>
      <c r="DO61" s="107"/>
      <c r="DP61" s="107"/>
      <c r="DQ61" s="107"/>
      <c r="DR61" s="107"/>
      <c r="DS61" s="107"/>
      <c r="DT61" s="107"/>
      <c r="DU61" s="107"/>
      <c r="DV61" s="107"/>
      <c r="DW61" s="107"/>
      <c r="DX61" s="107"/>
      <c r="DY61" s="107"/>
      <c r="DZ61" s="107"/>
      <c r="EA61" s="107"/>
      <c r="EB61" s="107"/>
      <c r="EC61" s="107"/>
      <c r="ED61" s="107"/>
      <c r="EE61" s="107"/>
      <c r="EF61" s="107"/>
      <c r="EG61" s="107"/>
    </row>
    <row r="62" spans="1:137" x14ac:dyDescent="0.25">
      <c r="A62" s="107"/>
      <c r="B62" s="107"/>
      <c r="C62" s="107"/>
      <c r="D62" s="107"/>
      <c r="E62" s="107"/>
      <c r="F62" s="107"/>
      <c r="G62" s="147" t="str">
        <f>IF(_ibpOfflineCondition_,"000000000000564701-1", _xll.EPMOlapMemberO("[PRDID].[].[000000000000564701-1]","","000000000000564701-1","","000"))</f>
        <v>000000000000564701-1</v>
      </c>
      <c r="H62" s="147" t="str">
        <f>IF(_ibpOfflineCondition_,"FGR+ FIGAROLLPLUS 10/280+40 BRAUN BRAAS", _xll.EPMOlapMemberO("[PRDDESCR].[].[FGR+ FIGAROLLPLUS 10/280+40 BRAUN BRAAS]","","FGR+ FIGAROLLPLUS 10/280+40 BRAUN BRAAS","","000"))</f>
        <v>FGR+ FIGAROLLPLUS 10/280+40 BRAUN BRAAS</v>
      </c>
      <c r="I62" s="147" t="str">
        <f>IF(_ibpOfflineCondition_,"X0", _xll.EPMOlapMemberO("[MRPTYPE].[].[X0]","","X0","","000"))</f>
        <v>X0</v>
      </c>
      <c r="J62" s="147" t="str">
        <f>IF(_ibpOfflineCondition_,"Firmed Production Plan (Adjusted by PLT)", _xll.EPMOlapMemberO("[KEY_FIGURES].[].[ZFIRMEDPRODUCTIONPLT]","","Firmed Production Plan (Adjusted by PLT)","","000"))</f>
        <v>Firmed Production Plan (Adjusted by PLT)</v>
      </c>
      <c r="K62" s="80"/>
      <c r="L62" s="79"/>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c r="BA62" s="58"/>
      <c r="BB62" s="58"/>
      <c r="BC62" s="58"/>
      <c r="BD62" s="58"/>
      <c r="BE62" s="58"/>
      <c r="BF62" s="58"/>
      <c r="BG62" s="58"/>
      <c r="BH62" s="58"/>
      <c r="BI62" s="58"/>
      <c r="BJ62" s="58"/>
      <c r="BK62" s="58"/>
      <c r="BL62" s="58"/>
      <c r="BM62" s="58"/>
      <c r="BN62" s="58"/>
      <c r="BO62" s="58"/>
      <c r="BP62" s="58"/>
      <c r="BQ62" s="58"/>
      <c r="BR62" s="58"/>
      <c r="BS62" s="58"/>
      <c r="BT62" s="58"/>
      <c r="BU62" s="58"/>
      <c r="BV62" s="58"/>
      <c r="BW62" s="58"/>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c r="DI62" s="107"/>
      <c r="DJ62" s="107"/>
      <c r="DK62" s="107"/>
      <c r="DL62" s="107"/>
      <c r="DM62" s="107"/>
      <c r="DN62" s="107"/>
      <c r="DO62" s="107"/>
      <c r="DP62" s="107"/>
      <c r="DQ62" s="107"/>
      <c r="DR62" s="107"/>
      <c r="DS62" s="107"/>
      <c r="DT62" s="107"/>
      <c r="DU62" s="107"/>
      <c r="DV62" s="107"/>
      <c r="DW62" s="107"/>
      <c r="DX62" s="107"/>
      <c r="DY62" s="107"/>
      <c r="DZ62" s="107"/>
      <c r="EA62" s="107"/>
      <c r="EB62" s="107"/>
      <c r="EC62" s="107"/>
      <c r="ED62" s="107"/>
      <c r="EE62" s="107"/>
      <c r="EF62" s="107"/>
      <c r="EG62" s="107"/>
    </row>
    <row r="63" spans="1:137" x14ac:dyDescent="0.25">
      <c r="A63" s="107"/>
      <c r="B63" s="107"/>
      <c r="C63" s="107"/>
      <c r="D63" s="107"/>
      <c r="E63" s="107"/>
      <c r="F63" s="107"/>
      <c r="G63" s="147" t="str">
        <f>IF(_ibpOfflineCondition_,"000000000000564701-1", _xll.EPMOlapMemberO("[PRDID].[].[000000000000564701-1]","","000000000000564701-1","","000"))</f>
        <v>000000000000564701-1</v>
      </c>
      <c r="H63" s="147" t="str">
        <f>IF(_ibpOfflineCondition_,"FGR+ FIGAROLLPLUS 10/280+40 BRAUN BRAAS", _xll.EPMOlapMemberO("[PRDDESCR].[].[FGR+ FIGAROLLPLUS 10/280+40 BRAUN BRAAS]","","FGR+ FIGAROLLPLUS 10/280+40 BRAUN BRAAS","","000"))</f>
        <v>FGR+ FIGAROLLPLUS 10/280+40 BRAUN BRAAS</v>
      </c>
      <c r="I63" s="147" t="str">
        <f>IF(_ibpOfflineCondition_,"X0", _xll.EPMOlapMemberO("[MRPTYPE].[].[X0]","","X0","","000"))</f>
        <v>X0</v>
      </c>
      <c r="J63" s="147" t="str">
        <f>IF(_ibpOfflineCondition_,"Open Production Orders (Adjusted by PLT)", _xll.EPMOlapMemberO("[KEY_FIGURES].[].[ZOPENPRODUCTIONORDERPLT]","","Open Production Orders (Adjusted by PLT)","","000"))</f>
        <v>Open Production Orders (Adjusted by PLT)</v>
      </c>
      <c r="K63" s="80"/>
      <c r="L63" s="79"/>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c r="BA63" s="58"/>
      <c r="BB63" s="58"/>
      <c r="BC63" s="58"/>
      <c r="BD63" s="58"/>
      <c r="BE63" s="58"/>
      <c r="BF63" s="58"/>
      <c r="BG63" s="58"/>
      <c r="BH63" s="58"/>
      <c r="BI63" s="58"/>
      <c r="BJ63" s="58"/>
      <c r="BK63" s="58"/>
      <c r="BL63" s="58"/>
      <c r="BM63" s="58"/>
      <c r="BN63" s="58"/>
      <c r="BO63" s="58"/>
      <c r="BP63" s="58"/>
      <c r="BQ63" s="58"/>
      <c r="BR63" s="58"/>
      <c r="BS63" s="58"/>
      <c r="BT63" s="58"/>
      <c r="BU63" s="58"/>
      <c r="BV63" s="58"/>
      <c r="BW63" s="58"/>
      <c r="BX63" s="107"/>
      <c r="BY63" s="107"/>
      <c r="BZ63" s="107"/>
      <c r="CA63" s="107"/>
      <c r="CB63" s="107"/>
      <c r="CC63" s="107"/>
      <c r="CD63" s="107"/>
      <c r="CE63" s="107"/>
      <c r="CF63" s="107"/>
      <c r="CG63" s="107"/>
      <c r="CH63" s="107"/>
      <c r="CI63" s="107"/>
      <c r="CJ63" s="107"/>
      <c r="CK63" s="107"/>
      <c r="CL63" s="107"/>
      <c r="CM63" s="107"/>
      <c r="CN63" s="107"/>
      <c r="CO63" s="107"/>
      <c r="CP63" s="107"/>
      <c r="CQ63" s="107"/>
      <c r="CR63" s="107"/>
      <c r="CS63" s="107"/>
      <c r="CT63" s="107"/>
      <c r="CU63" s="107"/>
      <c r="CV63" s="107"/>
      <c r="CW63" s="107"/>
      <c r="CX63" s="107"/>
      <c r="CY63" s="107"/>
      <c r="CZ63" s="107"/>
      <c r="DA63" s="107"/>
      <c r="DB63" s="107"/>
      <c r="DC63" s="107"/>
      <c r="DD63" s="107"/>
      <c r="DE63" s="107"/>
      <c r="DF63" s="107"/>
      <c r="DG63" s="107"/>
      <c r="DH63" s="107"/>
      <c r="DI63" s="107"/>
      <c r="DJ63" s="107"/>
      <c r="DK63" s="107"/>
      <c r="DL63" s="107"/>
      <c r="DM63" s="107"/>
      <c r="DN63" s="107"/>
      <c r="DO63" s="107"/>
      <c r="DP63" s="107"/>
      <c r="DQ63" s="107"/>
      <c r="DR63" s="107"/>
      <c r="DS63" s="107"/>
      <c r="DT63" s="107"/>
      <c r="DU63" s="107"/>
      <c r="DV63" s="107"/>
      <c r="DW63" s="107"/>
      <c r="DX63" s="107"/>
      <c r="DY63" s="107"/>
      <c r="DZ63" s="107"/>
      <c r="EA63" s="107"/>
      <c r="EB63" s="107"/>
      <c r="EC63" s="107"/>
      <c r="ED63" s="107"/>
      <c r="EE63" s="107"/>
      <c r="EF63" s="107"/>
      <c r="EG63" s="107"/>
    </row>
    <row r="64" spans="1:137" x14ac:dyDescent="0.25">
      <c r="A64" s="107"/>
      <c r="B64" s="107"/>
      <c r="C64" s="107"/>
      <c r="D64" s="107"/>
      <c r="E64" s="107"/>
      <c r="F64" s="107"/>
      <c r="G64" s="147" t="str">
        <f>IF(_ibpOfflineCondition_,"000000000000564701-1", _xll.EPMOlapMemberO("[PRDID].[].[000000000000564701-1]","","000000000000564701-1","","000"))</f>
        <v>000000000000564701-1</v>
      </c>
      <c r="H64" s="147" t="str">
        <f>IF(_ibpOfflineCondition_,"FGR+ FIGAROLLPLUS 10/280+40 BRAUN BRAAS", _xll.EPMOlapMemberO("[PRDDESCR].[].[FGR+ FIGAROLLPLUS 10/280+40 BRAUN BRAAS]","","FGR+ FIGAROLLPLUS 10/280+40 BRAUN BRAAS","","000"))</f>
        <v>FGR+ FIGAROLLPLUS 10/280+40 BRAUN BRAAS</v>
      </c>
      <c r="I64" s="147" t="str">
        <f>IF(_ibpOfflineCondition_,"X0", _xll.EPMOlapMemberO("[MRPTYPE].[].[X0]","","X0","","000"))</f>
        <v>X0</v>
      </c>
      <c r="J64" s="147" t="str">
        <f>IF(_ibpOfflineCondition_,"Total Open Production Receipts(Adjusted by PLT)", _xll.EPMOlapMemberO("[KEY_FIGURES].[].[ZTOTALOPENPRODUCTIONPLT]","","Total Open Production Receipts(Adjusted by PLT)","","000"))</f>
        <v>Total Open Production Receipts(Adjusted by PLT)</v>
      </c>
      <c r="K64" s="80"/>
      <c r="L64" s="79"/>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c r="BA64" s="58"/>
      <c r="BB64" s="58"/>
      <c r="BC64" s="58"/>
      <c r="BD64" s="58"/>
      <c r="BE64" s="58"/>
      <c r="BF64" s="58"/>
      <c r="BG64" s="58"/>
      <c r="BH64" s="58"/>
      <c r="BI64" s="58"/>
      <c r="BJ64" s="58"/>
      <c r="BK64" s="58"/>
      <c r="BL64" s="58"/>
      <c r="BM64" s="58"/>
      <c r="BN64" s="58"/>
      <c r="BO64" s="58"/>
      <c r="BP64" s="58"/>
      <c r="BQ64" s="58"/>
      <c r="BR64" s="58"/>
      <c r="BS64" s="58"/>
      <c r="BT64" s="58"/>
      <c r="BU64" s="58"/>
      <c r="BV64" s="58"/>
      <c r="BW64" s="58"/>
      <c r="BX64" s="107"/>
      <c r="BY64" s="107"/>
      <c r="BZ64" s="107"/>
      <c r="CA64" s="107"/>
      <c r="CB64" s="107"/>
      <c r="CC64" s="107"/>
      <c r="CD64" s="107"/>
      <c r="CE64" s="107"/>
      <c r="CF64" s="107"/>
      <c r="CG64" s="107"/>
      <c r="CH64" s="107"/>
      <c r="CI64" s="107"/>
      <c r="CJ64" s="107"/>
      <c r="CK64" s="107"/>
      <c r="CL64" s="107"/>
      <c r="CM64" s="107"/>
      <c r="CN64" s="107"/>
      <c r="CO64" s="107"/>
      <c r="CP64" s="107"/>
      <c r="CQ64" s="107"/>
      <c r="CR64" s="107"/>
      <c r="CS64" s="107"/>
      <c r="CT64" s="107"/>
      <c r="CU64" s="107"/>
      <c r="CV64" s="107"/>
      <c r="CW64" s="107"/>
      <c r="CX64" s="107"/>
      <c r="CY64" s="107"/>
      <c r="CZ64" s="107"/>
      <c r="DA64" s="107"/>
      <c r="DB64" s="107"/>
      <c r="DC64" s="107"/>
      <c r="DD64" s="107"/>
      <c r="DE64" s="107"/>
      <c r="DF64" s="107"/>
      <c r="DG64" s="107"/>
      <c r="DH64" s="107"/>
      <c r="DI64" s="107"/>
      <c r="DJ64" s="107"/>
      <c r="DK64" s="107"/>
      <c r="DL64" s="107"/>
      <c r="DM64" s="107"/>
      <c r="DN64" s="107"/>
      <c r="DO64" s="107"/>
      <c r="DP64" s="107"/>
      <c r="DQ64" s="107"/>
      <c r="DR64" s="107"/>
      <c r="DS64" s="107"/>
      <c r="DT64" s="107"/>
      <c r="DU64" s="107"/>
      <c r="DV64" s="107"/>
      <c r="DW64" s="107"/>
      <c r="DX64" s="107"/>
      <c r="DY64" s="107"/>
      <c r="DZ64" s="107"/>
      <c r="EA64" s="107"/>
      <c r="EB64" s="107"/>
      <c r="EC64" s="107"/>
      <c r="ED64" s="107"/>
      <c r="EE64" s="107"/>
      <c r="EF64" s="107"/>
      <c r="EG64" s="107"/>
    </row>
    <row r="65" spans="1:137" x14ac:dyDescent="0.25">
      <c r="A65" s="107"/>
      <c r="B65" s="107"/>
      <c r="C65" s="107"/>
      <c r="D65" s="107"/>
      <c r="E65" s="107"/>
      <c r="F65" s="107"/>
      <c r="G65" s="147" t="str">
        <f>IF(_ibpOfflineCondition_,"000000000000564701-1", _xll.EPMOlapMemberO("[PRDID].[].[000000000000564701-1]","","000000000000564701-1","","000"))</f>
        <v>000000000000564701-1</v>
      </c>
      <c r="H65" s="147" t="str">
        <f>IF(_ibpOfflineCondition_,"FGR+ FIGAROLLPLUS 10/280+40 BRAUN BRAAS", _xll.EPMOlapMemberO("[PRDDESCR].[].[FGR+ FIGAROLLPLUS 10/280+40 BRAUN BRAAS]","","FGR+ FIGAROLLPLUS 10/280+40 BRAUN BRAAS","","000"))</f>
        <v>FGR+ FIGAROLLPLUS 10/280+40 BRAUN BRAAS</v>
      </c>
      <c r="I65" s="147" t="str">
        <f>IF(_ibpOfflineCondition_,"X0", _xll.EPMOlapMemberO("[MRPTYPE].[].[X0]","","X0","","000"))</f>
        <v>X0</v>
      </c>
      <c r="J65" s="147" t="str">
        <f>IF(_ibpOfflineCondition_,"Production Receipt (Adjusted by PLT)", _xll.EPMOlapMemberO("[KEY_FIGURES].[].[ZPRODUCTIONSUPPLY]","","Production Receipt (Adjusted by PLT)","","000"))</f>
        <v>Production Receipt (Adjusted by PLT)</v>
      </c>
      <c r="K65" s="80"/>
      <c r="L65" s="79"/>
      <c r="M65" s="58">
        <v>135</v>
      </c>
      <c r="N65" s="58"/>
      <c r="O65" s="58">
        <v>90</v>
      </c>
      <c r="P65" s="58"/>
      <c r="Q65" s="58"/>
      <c r="R65" s="58"/>
      <c r="S65" s="58">
        <v>180</v>
      </c>
      <c r="T65" s="58">
        <v>180</v>
      </c>
      <c r="U65" s="58"/>
      <c r="V65" s="58"/>
      <c r="W65" s="58">
        <v>135</v>
      </c>
      <c r="X65" s="58"/>
      <c r="Y65" s="58"/>
      <c r="Z65" s="58"/>
      <c r="AA65" s="58"/>
      <c r="AB65" s="58"/>
      <c r="AC65" s="58"/>
      <c r="AD65" s="58"/>
      <c r="AE65" s="58"/>
      <c r="AF65" s="58"/>
      <c r="AG65" s="58"/>
      <c r="AH65" s="58"/>
      <c r="AI65" s="58">
        <v>90</v>
      </c>
      <c r="AJ65" s="58"/>
      <c r="AK65" s="58"/>
      <c r="AL65" s="58"/>
      <c r="AM65" s="58"/>
      <c r="AN65" s="58"/>
      <c r="AO65" s="58">
        <v>180</v>
      </c>
      <c r="AP65" s="58">
        <v>90</v>
      </c>
      <c r="AQ65" s="58"/>
      <c r="AR65" s="58"/>
      <c r="AS65" s="58"/>
      <c r="AT65" s="58">
        <v>90</v>
      </c>
      <c r="AU65" s="58"/>
      <c r="AV65" s="58"/>
      <c r="AW65" s="58"/>
      <c r="AX65" s="58"/>
      <c r="AY65" s="58"/>
      <c r="AZ65" s="58"/>
      <c r="BA65" s="58"/>
      <c r="BB65" s="58"/>
      <c r="BC65" s="58"/>
      <c r="BD65" s="58"/>
      <c r="BE65" s="58"/>
      <c r="BF65" s="58"/>
      <c r="BG65" s="58"/>
      <c r="BH65" s="58"/>
      <c r="BI65" s="58"/>
      <c r="BJ65" s="58"/>
      <c r="BK65" s="58"/>
      <c r="BL65" s="58"/>
      <c r="BM65" s="58"/>
      <c r="BN65" s="58"/>
      <c r="BO65" s="58"/>
      <c r="BP65" s="58">
        <v>12.213082999999999</v>
      </c>
      <c r="BQ65" s="58">
        <v>168.29997299999999</v>
      </c>
      <c r="BR65" s="58"/>
      <c r="BS65" s="58"/>
      <c r="BT65" s="58"/>
      <c r="BU65" s="58">
        <v>36.750022999999999</v>
      </c>
      <c r="BV65" s="58"/>
      <c r="BW65" s="58"/>
      <c r="BX65" s="107"/>
      <c r="BY65" s="107"/>
      <c r="BZ65" s="107"/>
      <c r="CA65" s="107"/>
      <c r="CB65" s="107"/>
      <c r="CC65" s="107"/>
      <c r="CD65" s="107"/>
      <c r="CE65" s="107"/>
      <c r="CF65" s="107"/>
      <c r="CG65" s="107"/>
      <c r="CH65" s="107"/>
      <c r="CI65" s="107"/>
      <c r="CJ65" s="107"/>
      <c r="CK65" s="107"/>
      <c r="CL65" s="107"/>
      <c r="CM65" s="107"/>
      <c r="CN65" s="107"/>
      <c r="CO65" s="107"/>
      <c r="CP65" s="107"/>
      <c r="CQ65" s="107"/>
      <c r="CR65" s="107"/>
      <c r="CS65" s="107"/>
      <c r="CT65" s="107"/>
      <c r="CU65" s="107"/>
      <c r="CV65" s="107"/>
      <c r="CW65" s="107"/>
      <c r="CX65" s="107"/>
      <c r="CY65" s="107"/>
      <c r="CZ65" s="107"/>
      <c r="DA65" s="107"/>
      <c r="DB65" s="107"/>
      <c r="DC65" s="107"/>
      <c r="DD65" s="107"/>
      <c r="DE65" s="107"/>
      <c r="DF65" s="107"/>
      <c r="DG65" s="107"/>
      <c r="DH65" s="107"/>
      <c r="DI65" s="107"/>
      <c r="DJ65" s="107"/>
      <c r="DK65" s="107"/>
      <c r="DL65" s="107"/>
      <c r="DM65" s="107"/>
      <c r="DN65" s="107"/>
      <c r="DO65" s="107"/>
      <c r="DP65" s="107"/>
      <c r="DQ65" s="107"/>
      <c r="DR65" s="107"/>
      <c r="DS65" s="107"/>
      <c r="DT65" s="107"/>
      <c r="DU65" s="107"/>
      <c r="DV65" s="107"/>
      <c r="DW65" s="107"/>
      <c r="DX65" s="107"/>
      <c r="DY65" s="107"/>
      <c r="DZ65" s="107"/>
      <c r="EA65" s="107"/>
      <c r="EB65" s="107"/>
      <c r="EC65" s="107"/>
      <c r="ED65" s="107"/>
      <c r="EE65" s="107"/>
      <c r="EF65" s="107"/>
      <c r="EG65" s="107"/>
    </row>
    <row r="66" spans="1:137" x14ac:dyDescent="0.25">
      <c r="A66" s="107"/>
      <c r="B66" s="107"/>
      <c r="C66" s="107"/>
      <c r="D66" s="107"/>
      <c r="E66" s="107"/>
      <c r="F66" s="107"/>
      <c r="G66" s="147" t="str">
        <f>IF(_ibpOfflineCondition_,"000000000000564702-1", _xll.EPMOlapMemberO("[PRDID].[].[000000000000564702-1]","","000000000000564702-1","","000"))</f>
        <v>000000000000564702-1</v>
      </c>
      <c r="H66" s="147" t="str">
        <f>IF(_ibpOfflineCondition_,"FGR+ FIGAROLLPLUS 10/280+40 ANTHR BRAAS", _xll.EPMOlapMemberO("[PRDDESCR].[].[FGR+ FIGAROLLPLUS 10/280+40 ANTHR BRAAS]","","FGR+ FIGAROLLPLUS 10/280+40 ANTHR BRAAS","","000"))</f>
        <v>FGR+ FIGAROLLPLUS 10/280+40 ANTHR BRAAS</v>
      </c>
      <c r="I66" s="147" t="str">
        <f>IF(_ibpOfflineCondition_,"X0", _xll.EPMOlapMemberO("[MRPTYPE].[].[X0]","","X0","","000"))</f>
        <v>X0</v>
      </c>
      <c r="J66" s="147" t="str">
        <f>IF(_ibpOfflineCondition_,"Firmed Production Plan (Adjusted by PLT)", _xll.EPMOlapMemberO("[KEY_FIGURES].[].[ZFIRMEDPRODUCTIONPLT]","","Firmed Production Plan (Adjusted by PLT)","","000"))</f>
        <v>Firmed Production Plan (Adjusted by PLT)</v>
      </c>
      <c r="K66" s="80"/>
      <c r="L66" s="79"/>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107"/>
      <c r="BY66" s="107"/>
      <c r="BZ66" s="107"/>
      <c r="CA66" s="107"/>
      <c r="CB66" s="107"/>
      <c r="CC66" s="107"/>
      <c r="CD66" s="107"/>
      <c r="CE66" s="107"/>
      <c r="CF66" s="107"/>
      <c r="CG66" s="107"/>
      <c r="CH66" s="107"/>
      <c r="CI66" s="107"/>
      <c r="CJ66" s="107"/>
      <c r="CK66" s="107"/>
      <c r="CL66" s="107"/>
      <c r="CM66" s="107"/>
      <c r="CN66" s="107"/>
      <c r="CO66" s="107"/>
      <c r="CP66" s="107"/>
      <c r="CQ66" s="107"/>
      <c r="CR66" s="107"/>
      <c r="CS66" s="107"/>
      <c r="CT66" s="107"/>
      <c r="CU66" s="107"/>
      <c r="CV66" s="107"/>
      <c r="CW66" s="107"/>
      <c r="CX66" s="107"/>
      <c r="CY66" s="107"/>
      <c r="CZ66" s="107"/>
      <c r="DA66" s="107"/>
      <c r="DB66" s="107"/>
      <c r="DC66" s="107"/>
      <c r="DD66" s="107"/>
      <c r="DE66" s="107"/>
      <c r="DF66" s="107"/>
      <c r="DG66" s="107"/>
      <c r="DH66" s="107"/>
      <c r="DI66" s="107"/>
      <c r="DJ66" s="107"/>
      <c r="DK66" s="107"/>
      <c r="DL66" s="107"/>
      <c r="DM66" s="107"/>
      <c r="DN66" s="107"/>
      <c r="DO66" s="107"/>
      <c r="DP66" s="107"/>
      <c r="DQ66" s="107"/>
      <c r="DR66" s="107"/>
      <c r="DS66" s="107"/>
      <c r="DT66" s="107"/>
      <c r="DU66" s="107"/>
      <c r="DV66" s="107"/>
      <c r="DW66" s="107"/>
      <c r="DX66" s="107"/>
      <c r="DY66" s="107"/>
      <c r="DZ66" s="107"/>
      <c r="EA66" s="107"/>
      <c r="EB66" s="107"/>
      <c r="EC66" s="107"/>
      <c r="ED66" s="107"/>
      <c r="EE66" s="107"/>
      <c r="EF66" s="107"/>
      <c r="EG66" s="107"/>
    </row>
    <row r="67" spans="1:137" x14ac:dyDescent="0.25">
      <c r="A67" s="107"/>
      <c r="B67" s="107"/>
      <c r="C67" s="107"/>
      <c r="D67" s="107"/>
      <c r="E67" s="107"/>
      <c r="F67" s="107"/>
      <c r="G67" s="147" t="str">
        <f>IF(_ibpOfflineCondition_,"000000000000564702-1", _xll.EPMOlapMemberO("[PRDID].[].[000000000000564702-1]","","000000000000564702-1","","000"))</f>
        <v>000000000000564702-1</v>
      </c>
      <c r="H67" s="147" t="str">
        <f>IF(_ibpOfflineCondition_,"FGR+ FIGAROLLPLUS 10/280+40 ANTHR BRAAS", _xll.EPMOlapMemberO("[PRDDESCR].[].[FGR+ FIGAROLLPLUS 10/280+40 ANTHR BRAAS]","","FGR+ FIGAROLLPLUS 10/280+40 ANTHR BRAAS","","000"))</f>
        <v>FGR+ FIGAROLLPLUS 10/280+40 ANTHR BRAAS</v>
      </c>
      <c r="I67" s="147" t="str">
        <f>IF(_ibpOfflineCondition_,"X0", _xll.EPMOlapMemberO("[MRPTYPE].[].[X0]","","X0","","000"))</f>
        <v>X0</v>
      </c>
      <c r="J67" s="147" t="str">
        <f>IF(_ibpOfflineCondition_,"Open Production Orders (Adjusted by PLT)", _xll.EPMOlapMemberO("[KEY_FIGURES].[].[ZOPENPRODUCTIONORDERPLT]","","Open Production Orders (Adjusted by PLT)","","000"))</f>
        <v>Open Production Orders (Adjusted by PLT)</v>
      </c>
      <c r="K67" s="80"/>
      <c r="L67" s="79">
        <v>1260</v>
      </c>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107"/>
      <c r="BY67" s="107"/>
      <c r="BZ67" s="107"/>
      <c r="CA67" s="107"/>
      <c r="CB67" s="107"/>
      <c r="CC67" s="107"/>
      <c r="CD67" s="107"/>
      <c r="CE67" s="107"/>
      <c r="CF67" s="107"/>
      <c r="CG67" s="107"/>
      <c r="CH67" s="107"/>
      <c r="CI67" s="107"/>
      <c r="CJ67" s="107"/>
      <c r="CK67" s="107"/>
      <c r="CL67" s="107"/>
      <c r="CM67" s="107"/>
      <c r="CN67" s="107"/>
      <c r="CO67" s="107"/>
      <c r="CP67" s="107"/>
      <c r="CQ67" s="107"/>
      <c r="CR67" s="107"/>
      <c r="CS67" s="107"/>
      <c r="CT67" s="107"/>
      <c r="CU67" s="107"/>
      <c r="CV67" s="107"/>
      <c r="CW67" s="107"/>
      <c r="CX67" s="107"/>
      <c r="CY67" s="107"/>
      <c r="CZ67" s="107"/>
      <c r="DA67" s="107"/>
      <c r="DB67" s="107"/>
      <c r="DC67" s="107"/>
      <c r="DD67" s="107"/>
      <c r="DE67" s="107"/>
      <c r="DF67" s="107"/>
      <c r="DG67" s="107"/>
      <c r="DH67" s="107"/>
      <c r="DI67" s="107"/>
      <c r="DJ67" s="107"/>
      <c r="DK67" s="107"/>
      <c r="DL67" s="107"/>
      <c r="DM67" s="107"/>
      <c r="DN67" s="107"/>
      <c r="DO67" s="107"/>
      <c r="DP67" s="107"/>
      <c r="DQ67" s="107"/>
      <c r="DR67" s="107"/>
      <c r="DS67" s="107"/>
      <c r="DT67" s="107"/>
      <c r="DU67" s="107"/>
      <c r="DV67" s="107"/>
      <c r="DW67" s="107"/>
      <c r="DX67" s="107"/>
      <c r="DY67" s="107"/>
      <c r="DZ67" s="107"/>
      <c r="EA67" s="107"/>
      <c r="EB67" s="107"/>
      <c r="EC67" s="107"/>
      <c r="ED67" s="107"/>
      <c r="EE67" s="107"/>
      <c r="EF67" s="107"/>
      <c r="EG67" s="107"/>
    </row>
    <row r="68" spans="1:137" x14ac:dyDescent="0.25">
      <c r="A68" s="107"/>
      <c r="B68" s="107"/>
      <c r="C68" s="107"/>
      <c r="D68" s="107"/>
      <c r="E68" s="107"/>
      <c r="F68" s="107"/>
      <c r="G68" s="147" t="str">
        <f>IF(_ibpOfflineCondition_,"000000000000564702-1", _xll.EPMOlapMemberO("[PRDID].[].[000000000000564702-1]","","000000000000564702-1","","000"))</f>
        <v>000000000000564702-1</v>
      </c>
      <c r="H68" s="147" t="str">
        <f>IF(_ibpOfflineCondition_,"FGR+ FIGAROLLPLUS 10/280+40 ANTHR BRAAS", _xll.EPMOlapMemberO("[PRDDESCR].[].[FGR+ FIGAROLLPLUS 10/280+40 ANTHR BRAAS]","","FGR+ FIGAROLLPLUS 10/280+40 ANTHR BRAAS","","000"))</f>
        <v>FGR+ FIGAROLLPLUS 10/280+40 ANTHR BRAAS</v>
      </c>
      <c r="I68" s="147" t="str">
        <f>IF(_ibpOfflineCondition_,"X0", _xll.EPMOlapMemberO("[MRPTYPE].[].[X0]","","X0","","000"))</f>
        <v>X0</v>
      </c>
      <c r="J68" s="147" t="str">
        <f>IF(_ibpOfflineCondition_,"Total Open Production Receipts(Adjusted by PLT)", _xll.EPMOlapMemberO("[KEY_FIGURES].[].[ZTOTALOPENPRODUCTIONPLT]","","Total Open Production Receipts(Adjusted by PLT)","","000"))</f>
        <v>Total Open Production Receipts(Adjusted by PLT)</v>
      </c>
      <c r="K68" s="80"/>
      <c r="L68" s="79">
        <v>1260</v>
      </c>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107"/>
      <c r="BY68" s="107"/>
      <c r="BZ68" s="107"/>
      <c r="CA68" s="107"/>
      <c r="CB68" s="107"/>
      <c r="CC68" s="107"/>
      <c r="CD68" s="107"/>
      <c r="CE68" s="107"/>
      <c r="CF68" s="107"/>
      <c r="CG68" s="107"/>
      <c r="CH68" s="107"/>
      <c r="CI68" s="107"/>
      <c r="CJ68" s="107"/>
      <c r="CK68" s="107"/>
      <c r="CL68" s="107"/>
      <c r="CM68" s="107"/>
      <c r="CN68" s="107"/>
      <c r="CO68" s="107"/>
      <c r="CP68" s="107"/>
      <c r="CQ68" s="107"/>
      <c r="CR68" s="107"/>
      <c r="CS68" s="107"/>
      <c r="CT68" s="107"/>
      <c r="CU68" s="107"/>
      <c r="CV68" s="107"/>
      <c r="CW68" s="107"/>
      <c r="CX68" s="107"/>
      <c r="CY68" s="107"/>
      <c r="CZ68" s="107"/>
      <c r="DA68" s="107"/>
      <c r="DB68" s="107"/>
      <c r="DC68" s="107"/>
      <c r="DD68" s="107"/>
      <c r="DE68" s="107"/>
      <c r="DF68" s="107"/>
      <c r="DG68" s="107"/>
      <c r="DH68" s="107"/>
      <c r="DI68" s="107"/>
      <c r="DJ68" s="107"/>
      <c r="DK68" s="107"/>
      <c r="DL68" s="107"/>
      <c r="DM68" s="107"/>
      <c r="DN68" s="107"/>
      <c r="DO68" s="107"/>
      <c r="DP68" s="107"/>
      <c r="DQ68" s="107"/>
      <c r="DR68" s="107"/>
      <c r="DS68" s="107"/>
      <c r="DT68" s="107"/>
      <c r="DU68" s="107"/>
      <c r="DV68" s="107"/>
      <c r="DW68" s="107"/>
      <c r="DX68" s="107"/>
      <c r="DY68" s="107"/>
      <c r="DZ68" s="107"/>
      <c r="EA68" s="107"/>
      <c r="EB68" s="107"/>
      <c r="EC68" s="107"/>
      <c r="ED68" s="107"/>
      <c r="EE68" s="107"/>
      <c r="EF68" s="107"/>
      <c r="EG68" s="107"/>
    </row>
    <row r="69" spans="1:137" x14ac:dyDescent="0.25">
      <c r="A69" s="107"/>
      <c r="B69" s="107"/>
      <c r="C69" s="107"/>
      <c r="D69" s="107"/>
      <c r="E69" s="107"/>
      <c r="F69" s="107"/>
      <c r="G69" s="147" t="str">
        <f>IF(_ibpOfflineCondition_,"000000000000564702-1", _xll.EPMOlapMemberO("[PRDID].[].[000000000000564702-1]","","000000000000564702-1","","000"))</f>
        <v>000000000000564702-1</v>
      </c>
      <c r="H69" s="147" t="str">
        <f>IF(_ibpOfflineCondition_,"FGR+ FIGAROLLPLUS 10/280+40 ANTHR BRAAS", _xll.EPMOlapMemberO("[PRDDESCR].[].[FGR+ FIGAROLLPLUS 10/280+40 ANTHR BRAAS]","","FGR+ FIGAROLLPLUS 10/280+40 ANTHR BRAAS","","000"))</f>
        <v>FGR+ FIGAROLLPLUS 10/280+40 ANTHR BRAAS</v>
      </c>
      <c r="I69" s="147" t="str">
        <f>IF(_ibpOfflineCondition_,"X0", _xll.EPMOlapMemberO("[MRPTYPE].[].[X0]","","X0","","000"))</f>
        <v>X0</v>
      </c>
      <c r="J69" s="147" t="str">
        <f>IF(_ibpOfflineCondition_,"Production Receipt (Adjusted by PLT)", _xll.EPMOlapMemberO("[KEY_FIGURES].[].[ZPRODUCTIONSUPPLY]","","Production Receipt (Adjusted by PLT)","","000"))</f>
        <v>Production Receipt (Adjusted by PLT)</v>
      </c>
      <c r="K69" s="80"/>
      <c r="L69" s="79">
        <v>1260</v>
      </c>
      <c r="M69" s="58">
        <v>540</v>
      </c>
      <c r="N69" s="58"/>
      <c r="O69" s="58"/>
      <c r="P69" s="58"/>
      <c r="Q69" s="58"/>
      <c r="R69" s="58"/>
      <c r="S69" s="58">
        <v>180</v>
      </c>
      <c r="T69" s="58">
        <v>5085</v>
      </c>
      <c r="U69" s="58"/>
      <c r="V69" s="58"/>
      <c r="W69" s="58">
        <v>720</v>
      </c>
      <c r="X69" s="58"/>
      <c r="Y69" s="58"/>
      <c r="Z69" s="58"/>
      <c r="AA69" s="58"/>
      <c r="AB69" s="58">
        <v>180</v>
      </c>
      <c r="AC69" s="58"/>
      <c r="AD69" s="58"/>
      <c r="AE69" s="58"/>
      <c r="AF69" s="58">
        <v>585</v>
      </c>
      <c r="AG69" s="58"/>
      <c r="AH69" s="58"/>
      <c r="AI69" s="58"/>
      <c r="AJ69" s="58"/>
      <c r="AK69" s="58"/>
      <c r="AL69" s="58">
        <v>1035</v>
      </c>
      <c r="AM69" s="58"/>
      <c r="AN69" s="58"/>
      <c r="AO69" s="58">
        <v>675</v>
      </c>
      <c r="AP69" s="58">
        <v>585</v>
      </c>
      <c r="AQ69" s="58"/>
      <c r="AR69" s="58"/>
      <c r="AS69" s="58">
        <v>180</v>
      </c>
      <c r="AT69" s="58">
        <v>675</v>
      </c>
      <c r="AU69" s="58"/>
      <c r="AV69" s="58"/>
      <c r="AW69" s="58">
        <v>1035</v>
      </c>
      <c r="AX69" s="58">
        <v>4185</v>
      </c>
      <c r="AY69" s="58"/>
      <c r="AZ69" s="58"/>
      <c r="BA69" s="58"/>
      <c r="BB69" s="58"/>
      <c r="BC69" s="58"/>
      <c r="BD69" s="58"/>
      <c r="BE69" s="58"/>
      <c r="BF69" s="58"/>
      <c r="BG69" s="58"/>
      <c r="BH69" s="58"/>
      <c r="BI69" s="58"/>
      <c r="BJ69" s="58"/>
      <c r="BK69" s="58"/>
      <c r="BL69" s="58">
        <v>299.14470499999999</v>
      </c>
      <c r="BM69" s="58">
        <v>652.44424000000004</v>
      </c>
      <c r="BN69" s="58"/>
      <c r="BO69" s="58"/>
      <c r="BP69" s="58">
        <v>145.161542</v>
      </c>
      <c r="BQ69" s="58">
        <v>949.34664899999996</v>
      </c>
      <c r="BR69" s="58"/>
      <c r="BS69" s="58"/>
      <c r="BT69" s="58">
        <v>424.59255200000001</v>
      </c>
      <c r="BU69" s="58">
        <v>889.80149700000004</v>
      </c>
      <c r="BV69" s="58"/>
      <c r="BW69" s="58"/>
      <c r="BX69" s="107"/>
      <c r="BY69" s="107"/>
      <c r="BZ69" s="107"/>
      <c r="CA69" s="107"/>
      <c r="CB69" s="107"/>
      <c r="CC69" s="107"/>
      <c r="CD69" s="107"/>
      <c r="CE69" s="107"/>
      <c r="CF69" s="107"/>
      <c r="CG69" s="107"/>
      <c r="CH69" s="107"/>
      <c r="CI69" s="107"/>
      <c r="CJ69" s="107"/>
      <c r="CK69" s="107"/>
      <c r="CL69" s="107"/>
      <c r="CM69" s="107"/>
      <c r="CN69" s="107"/>
      <c r="CO69" s="107"/>
      <c r="CP69" s="107"/>
      <c r="CQ69" s="107"/>
      <c r="CR69" s="107"/>
      <c r="CS69" s="107"/>
      <c r="CT69" s="107"/>
      <c r="CU69" s="107"/>
      <c r="CV69" s="107"/>
      <c r="CW69" s="107"/>
      <c r="CX69" s="107"/>
      <c r="CY69" s="107"/>
      <c r="CZ69" s="107"/>
      <c r="DA69" s="107"/>
      <c r="DB69" s="107"/>
      <c r="DC69" s="107"/>
      <c r="DD69" s="107"/>
      <c r="DE69" s="107"/>
      <c r="DF69" s="107"/>
      <c r="DG69" s="107"/>
      <c r="DH69" s="107"/>
      <c r="DI69" s="107"/>
      <c r="DJ69" s="107"/>
      <c r="DK69" s="107"/>
      <c r="DL69" s="107"/>
      <c r="DM69" s="107"/>
      <c r="DN69" s="107"/>
      <c r="DO69" s="107"/>
      <c r="DP69" s="107"/>
      <c r="DQ69" s="107"/>
      <c r="DR69" s="107"/>
      <c r="DS69" s="107"/>
      <c r="DT69" s="107"/>
      <c r="DU69" s="107"/>
      <c r="DV69" s="107"/>
      <c r="DW69" s="107"/>
      <c r="DX69" s="107"/>
      <c r="DY69" s="107"/>
      <c r="DZ69" s="107"/>
      <c r="EA69" s="107"/>
      <c r="EB69" s="107"/>
      <c r="EC69" s="107"/>
      <c r="ED69" s="107"/>
      <c r="EE69" s="107"/>
      <c r="EF69" s="107"/>
      <c r="EG69" s="107"/>
    </row>
    <row r="70" spans="1:137" x14ac:dyDescent="0.25">
      <c r="A70" s="107"/>
      <c r="B70" s="107"/>
      <c r="C70" s="107"/>
      <c r="D70" s="107"/>
      <c r="E70" s="107"/>
      <c r="F70" s="107"/>
      <c r="G70" s="147" t="str">
        <f>IF(_ibpOfflineCondition_,"000000000000564703-1", _xll.EPMOlapMemberO("[PRDID].[].[000000000000564703-1]","","000000000000564703-1","","000"))</f>
        <v>000000000000564703-1</v>
      </c>
      <c r="H70" s="147" t="str">
        <f>IF(_ibpOfflineCondition_,"FGR+ FIGAROLLPLUS 10/280+40 ROT BRAAS", _xll.EPMOlapMemberO("[PRDDESCR].[].[FGR+ FIGAROLLPLUS 10/280+40 ROT BRAAS]","","FGR+ FIGAROLLPLUS 10/280+40 ROT BRAAS","","000"))</f>
        <v>FGR+ FIGAROLLPLUS 10/280+40 ROT BRAAS</v>
      </c>
      <c r="I70" s="147" t="str">
        <f>IF(_ibpOfflineCondition_,"X0", _xll.EPMOlapMemberO("[MRPTYPE].[].[X0]","","X0","","000"))</f>
        <v>X0</v>
      </c>
      <c r="J70" s="147" t="str">
        <f>IF(_ibpOfflineCondition_,"Firmed Production Plan (Adjusted by PLT)", _xll.EPMOlapMemberO("[KEY_FIGURES].[].[ZFIRMEDPRODUCTIONPLT]","","Firmed Production Plan (Adjusted by PLT)","","000"))</f>
        <v>Firmed Production Plan (Adjusted by PLT)</v>
      </c>
      <c r="K70" s="80"/>
      <c r="L70" s="79"/>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8"/>
      <c r="BO70" s="58"/>
      <c r="BP70" s="58"/>
      <c r="BQ70" s="58"/>
      <c r="BR70" s="58"/>
      <c r="BS70" s="58"/>
      <c r="BT70" s="58"/>
      <c r="BU70" s="58"/>
      <c r="BV70" s="58"/>
      <c r="BW70" s="58"/>
      <c r="BX70" s="107"/>
      <c r="BY70" s="107"/>
      <c r="BZ70" s="107"/>
      <c r="CA70" s="107"/>
      <c r="CB70" s="107"/>
      <c r="CC70" s="107"/>
      <c r="CD70" s="107"/>
      <c r="CE70" s="107"/>
      <c r="CF70" s="107"/>
      <c r="CG70" s="107"/>
      <c r="CH70" s="107"/>
      <c r="CI70" s="107"/>
      <c r="CJ70" s="107"/>
      <c r="CK70" s="107"/>
      <c r="CL70" s="107"/>
      <c r="CM70" s="107"/>
      <c r="CN70" s="107"/>
      <c r="CO70" s="107"/>
      <c r="CP70" s="107"/>
      <c r="CQ70" s="107"/>
      <c r="CR70" s="107"/>
      <c r="CS70" s="107"/>
      <c r="CT70" s="107"/>
      <c r="CU70" s="107"/>
      <c r="CV70" s="107"/>
      <c r="CW70" s="107"/>
      <c r="CX70" s="107"/>
      <c r="CY70" s="107"/>
      <c r="CZ70" s="107"/>
      <c r="DA70" s="107"/>
      <c r="DB70" s="107"/>
      <c r="DC70" s="107"/>
      <c r="DD70" s="107"/>
      <c r="DE70" s="107"/>
      <c r="DF70" s="107"/>
      <c r="DG70" s="107"/>
      <c r="DH70" s="107"/>
      <c r="DI70" s="107"/>
      <c r="DJ70" s="107"/>
      <c r="DK70" s="107"/>
      <c r="DL70" s="107"/>
      <c r="DM70" s="107"/>
      <c r="DN70" s="107"/>
      <c r="DO70" s="107"/>
      <c r="DP70" s="107"/>
      <c r="DQ70" s="107"/>
      <c r="DR70" s="107"/>
      <c r="DS70" s="107"/>
      <c r="DT70" s="107"/>
      <c r="DU70" s="107"/>
      <c r="DV70" s="107"/>
      <c r="DW70" s="107"/>
      <c r="DX70" s="107"/>
      <c r="DY70" s="107"/>
      <c r="DZ70" s="107"/>
      <c r="EA70" s="107"/>
      <c r="EB70" s="107"/>
      <c r="EC70" s="107"/>
      <c r="ED70" s="107"/>
      <c r="EE70" s="107"/>
      <c r="EF70" s="107"/>
      <c r="EG70" s="107"/>
    </row>
    <row r="71" spans="1:137" x14ac:dyDescent="0.25">
      <c r="A71" s="107"/>
      <c r="B71" s="107"/>
      <c r="C71" s="107"/>
      <c r="D71" s="107"/>
      <c r="E71" s="107"/>
      <c r="F71" s="107"/>
      <c r="G71" s="147" t="str">
        <f>IF(_ibpOfflineCondition_,"000000000000564703-1", _xll.EPMOlapMemberO("[PRDID].[].[000000000000564703-1]","","000000000000564703-1","","000"))</f>
        <v>000000000000564703-1</v>
      </c>
      <c r="H71" s="147" t="str">
        <f>IF(_ibpOfflineCondition_,"FGR+ FIGAROLLPLUS 10/280+40 ROT BRAAS", _xll.EPMOlapMemberO("[PRDDESCR].[].[FGR+ FIGAROLLPLUS 10/280+40 ROT BRAAS]","","FGR+ FIGAROLLPLUS 10/280+40 ROT BRAAS","","000"))</f>
        <v>FGR+ FIGAROLLPLUS 10/280+40 ROT BRAAS</v>
      </c>
      <c r="I71" s="147" t="str">
        <f>IF(_ibpOfflineCondition_,"X0", _xll.EPMOlapMemberO("[MRPTYPE].[].[X0]","","X0","","000"))</f>
        <v>X0</v>
      </c>
      <c r="J71" s="147" t="str">
        <f>IF(_ibpOfflineCondition_,"Open Production Orders (Adjusted by PLT)", _xll.EPMOlapMemberO("[KEY_FIGURES].[].[ZOPENPRODUCTIONORDERPLT]","","Open Production Orders (Adjusted by PLT)","","000"))</f>
        <v>Open Production Orders (Adjusted by PLT)</v>
      </c>
      <c r="K71" s="80"/>
      <c r="L71" s="79">
        <v>360</v>
      </c>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58"/>
      <c r="BO71" s="58"/>
      <c r="BP71" s="58"/>
      <c r="BQ71" s="58"/>
      <c r="BR71" s="58"/>
      <c r="BS71" s="58"/>
      <c r="BT71" s="58"/>
      <c r="BU71" s="58"/>
      <c r="BV71" s="58"/>
      <c r="BW71" s="58"/>
      <c r="BX71" s="107"/>
      <c r="BY71" s="107"/>
      <c r="BZ71" s="107"/>
      <c r="CA71" s="107"/>
      <c r="CB71" s="107"/>
      <c r="CC71" s="107"/>
      <c r="CD71" s="107"/>
      <c r="CE71" s="107"/>
      <c r="CF71" s="107"/>
      <c r="CG71" s="107"/>
      <c r="CH71" s="107"/>
      <c r="CI71" s="107"/>
      <c r="CJ71" s="107"/>
      <c r="CK71" s="107"/>
      <c r="CL71" s="107"/>
      <c r="CM71" s="107"/>
      <c r="CN71" s="107"/>
      <c r="CO71" s="107"/>
      <c r="CP71" s="107"/>
      <c r="CQ71" s="107"/>
      <c r="CR71" s="107"/>
      <c r="CS71" s="107"/>
      <c r="CT71" s="107"/>
      <c r="CU71" s="107"/>
      <c r="CV71" s="107"/>
      <c r="CW71" s="107"/>
      <c r="CX71" s="107"/>
      <c r="CY71" s="107"/>
      <c r="CZ71" s="107"/>
      <c r="DA71" s="107"/>
      <c r="DB71" s="107"/>
      <c r="DC71" s="107"/>
      <c r="DD71" s="107"/>
      <c r="DE71" s="107"/>
      <c r="DF71" s="107"/>
      <c r="DG71" s="107"/>
      <c r="DH71" s="107"/>
      <c r="DI71" s="107"/>
      <c r="DJ71" s="107"/>
      <c r="DK71" s="107"/>
      <c r="DL71" s="107"/>
      <c r="DM71" s="107"/>
      <c r="DN71" s="107"/>
      <c r="DO71" s="107"/>
      <c r="DP71" s="107"/>
      <c r="DQ71" s="107"/>
      <c r="DR71" s="107"/>
      <c r="DS71" s="107"/>
      <c r="DT71" s="107"/>
      <c r="DU71" s="107"/>
      <c r="DV71" s="107"/>
      <c r="DW71" s="107"/>
      <c r="DX71" s="107"/>
      <c r="DY71" s="107"/>
      <c r="DZ71" s="107"/>
      <c r="EA71" s="107"/>
      <c r="EB71" s="107"/>
      <c r="EC71" s="107"/>
      <c r="ED71" s="107"/>
      <c r="EE71" s="107"/>
      <c r="EF71" s="107"/>
      <c r="EG71" s="107"/>
    </row>
    <row r="72" spans="1:137" x14ac:dyDescent="0.25">
      <c r="A72" s="107"/>
      <c r="B72" s="107"/>
      <c r="C72" s="107"/>
      <c r="D72" s="107"/>
      <c r="E72" s="107"/>
      <c r="F72" s="107"/>
      <c r="G72" s="147" t="str">
        <f>IF(_ibpOfflineCondition_,"000000000000564703-1", _xll.EPMOlapMemberO("[PRDID].[].[000000000000564703-1]","","000000000000564703-1","","000"))</f>
        <v>000000000000564703-1</v>
      </c>
      <c r="H72" s="147" t="str">
        <f>IF(_ibpOfflineCondition_,"FGR+ FIGAROLLPLUS 10/280+40 ROT BRAAS", _xll.EPMOlapMemberO("[PRDDESCR].[].[FGR+ FIGAROLLPLUS 10/280+40 ROT BRAAS]","","FGR+ FIGAROLLPLUS 10/280+40 ROT BRAAS","","000"))</f>
        <v>FGR+ FIGAROLLPLUS 10/280+40 ROT BRAAS</v>
      </c>
      <c r="I72" s="147" t="str">
        <f>IF(_ibpOfflineCondition_,"X0", _xll.EPMOlapMemberO("[MRPTYPE].[].[X0]","","X0","","000"))</f>
        <v>X0</v>
      </c>
      <c r="J72" s="147" t="str">
        <f>IF(_ibpOfflineCondition_,"Total Open Production Receipts(Adjusted by PLT)", _xll.EPMOlapMemberO("[KEY_FIGURES].[].[ZTOTALOPENPRODUCTIONPLT]","","Total Open Production Receipts(Adjusted by PLT)","","000"))</f>
        <v>Total Open Production Receipts(Adjusted by PLT)</v>
      </c>
      <c r="K72" s="80"/>
      <c r="L72" s="79">
        <v>360</v>
      </c>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58"/>
      <c r="BM72" s="58"/>
      <c r="BN72" s="58"/>
      <c r="BO72" s="58"/>
      <c r="BP72" s="58"/>
      <c r="BQ72" s="58"/>
      <c r="BR72" s="58"/>
      <c r="BS72" s="58"/>
      <c r="BT72" s="58"/>
      <c r="BU72" s="58"/>
      <c r="BV72" s="58"/>
      <c r="BW72" s="58"/>
      <c r="BX72" s="107"/>
      <c r="BY72" s="107"/>
      <c r="BZ72" s="107"/>
      <c r="CA72" s="107"/>
      <c r="CB72" s="107"/>
      <c r="CC72" s="107"/>
      <c r="CD72" s="107"/>
      <c r="CE72" s="107"/>
      <c r="CF72" s="107"/>
      <c r="CG72" s="107"/>
      <c r="CH72" s="107"/>
      <c r="CI72" s="107"/>
      <c r="CJ72" s="107"/>
      <c r="CK72" s="107"/>
      <c r="CL72" s="107"/>
      <c r="CM72" s="107"/>
      <c r="CN72" s="107"/>
      <c r="CO72" s="107"/>
      <c r="CP72" s="107"/>
      <c r="CQ72" s="107"/>
      <c r="CR72" s="107"/>
      <c r="CS72" s="107"/>
      <c r="CT72" s="107"/>
      <c r="CU72" s="107"/>
      <c r="CV72" s="107"/>
      <c r="CW72" s="107"/>
      <c r="CX72" s="107"/>
      <c r="CY72" s="107"/>
      <c r="CZ72" s="107"/>
      <c r="DA72" s="107"/>
      <c r="DB72" s="107"/>
      <c r="DC72" s="107"/>
      <c r="DD72" s="107"/>
      <c r="DE72" s="107"/>
      <c r="DF72" s="107"/>
      <c r="DG72" s="107"/>
      <c r="DH72" s="107"/>
      <c r="DI72" s="107"/>
      <c r="DJ72" s="107"/>
      <c r="DK72" s="107"/>
      <c r="DL72" s="107"/>
      <c r="DM72" s="107"/>
      <c r="DN72" s="107"/>
      <c r="DO72" s="107"/>
      <c r="DP72" s="107"/>
      <c r="DQ72" s="107"/>
      <c r="DR72" s="107"/>
      <c r="DS72" s="107"/>
      <c r="DT72" s="107"/>
      <c r="DU72" s="107"/>
      <c r="DV72" s="107"/>
      <c r="DW72" s="107"/>
      <c r="DX72" s="107"/>
      <c r="DY72" s="107"/>
      <c r="DZ72" s="107"/>
      <c r="EA72" s="107"/>
      <c r="EB72" s="107"/>
      <c r="EC72" s="107"/>
      <c r="ED72" s="107"/>
      <c r="EE72" s="107"/>
      <c r="EF72" s="107"/>
      <c r="EG72" s="107"/>
    </row>
    <row r="73" spans="1:137" x14ac:dyDescent="0.25">
      <c r="A73" s="107"/>
      <c r="B73" s="107"/>
      <c r="C73" s="107"/>
      <c r="D73" s="107"/>
      <c r="E73" s="107"/>
      <c r="F73" s="107"/>
      <c r="G73" s="147" t="str">
        <f>IF(_ibpOfflineCondition_,"000000000000564703-1", _xll.EPMOlapMemberO("[PRDID].[].[000000000000564703-1]","","000000000000564703-1","","000"))</f>
        <v>000000000000564703-1</v>
      </c>
      <c r="H73" s="147" t="str">
        <f>IF(_ibpOfflineCondition_,"FGR+ FIGAROLLPLUS 10/280+40 ROT BRAAS", _xll.EPMOlapMemberO("[PRDDESCR].[].[FGR+ FIGAROLLPLUS 10/280+40 ROT BRAAS]","","FGR+ FIGAROLLPLUS 10/280+40 ROT BRAAS","","000"))</f>
        <v>FGR+ FIGAROLLPLUS 10/280+40 ROT BRAAS</v>
      </c>
      <c r="I73" s="147" t="str">
        <f>IF(_ibpOfflineCondition_,"X0", _xll.EPMOlapMemberO("[MRPTYPE].[].[X0]","","X0","","000"))</f>
        <v>X0</v>
      </c>
      <c r="J73" s="147" t="str">
        <f>IF(_ibpOfflineCondition_,"Production Receipt (Adjusted by PLT)", _xll.EPMOlapMemberO("[KEY_FIGURES].[].[ZPRODUCTIONSUPPLY]","","Production Receipt (Adjusted by PLT)","","000"))</f>
        <v>Production Receipt (Adjusted by PLT)</v>
      </c>
      <c r="K73" s="80"/>
      <c r="L73" s="79">
        <v>360</v>
      </c>
      <c r="M73" s="58">
        <v>270</v>
      </c>
      <c r="N73" s="58"/>
      <c r="O73" s="58">
        <v>225</v>
      </c>
      <c r="P73" s="58"/>
      <c r="Q73" s="58"/>
      <c r="R73" s="58"/>
      <c r="S73" s="58">
        <v>495</v>
      </c>
      <c r="T73" s="58"/>
      <c r="U73" s="58"/>
      <c r="V73" s="58"/>
      <c r="W73" s="58">
        <v>225</v>
      </c>
      <c r="X73" s="58">
        <v>225</v>
      </c>
      <c r="Y73" s="58"/>
      <c r="Z73" s="58"/>
      <c r="AA73" s="58"/>
      <c r="AB73" s="58">
        <v>225</v>
      </c>
      <c r="AC73" s="58"/>
      <c r="AD73" s="58"/>
      <c r="AE73" s="58">
        <v>180</v>
      </c>
      <c r="AF73" s="58">
        <v>270</v>
      </c>
      <c r="AG73" s="58"/>
      <c r="AH73" s="58"/>
      <c r="AI73" s="58">
        <v>1125</v>
      </c>
      <c r="AJ73" s="58"/>
      <c r="AK73" s="58"/>
      <c r="AL73" s="58">
        <v>180</v>
      </c>
      <c r="AM73" s="58"/>
      <c r="AN73" s="58"/>
      <c r="AO73" s="58">
        <v>180</v>
      </c>
      <c r="AP73" s="58">
        <v>180</v>
      </c>
      <c r="AQ73" s="58"/>
      <c r="AR73" s="58"/>
      <c r="AS73" s="58"/>
      <c r="AT73" s="58">
        <v>225</v>
      </c>
      <c r="AU73" s="58"/>
      <c r="AV73" s="58"/>
      <c r="AW73" s="58">
        <v>630</v>
      </c>
      <c r="AX73" s="58">
        <v>1080</v>
      </c>
      <c r="AY73" s="58"/>
      <c r="AZ73" s="58"/>
      <c r="BA73" s="58"/>
      <c r="BB73" s="58"/>
      <c r="BC73" s="58"/>
      <c r="BD73" s="58"/>
      <c r="BE73" s="58"/>
      <c r="BF73" s="58"/>
      <c r="BG73" s="58"/>
      <c r="BH73" s="58"/>
      <c r="BI73" s="58"/>
      <c r="BJ73" s="58"/>
      <c r="BK73" s="58"/>
      <c r="BL73" s="58">
        <v>204.12944200000001</v>
      </c>
      <c r="BM73" s="58">
        <v>271.22818899999999</v>
      </c>
      <c r="BN73" s="58"/>
      <c r="BO73" s="58"/>
      <c r="BP73" s="58">
        <v>3.2094</v>
      </c>
      <c r="BQ73" s="58">
        <v>254.21988200000001</v>
      </c>
      <c r="BR73" s="58"/>
      <c r="BS73" s="58"/>
      <c r="BT73" s="58">
        <v>79.668272000000002</v>
      </c>
      <c r="BU73" s="58">
        <v>483.49007799999998</v>
      </c>
      <c r="BV73" s="58"/>
      <c r="BW73" s="58"/>
      <c r="BX73" s="107"/>
      <c r="BY73" s="107"/>
      <c r="BZ73" s="107"/>
      <c r="CA73" s="107"/>
      <c r="CB73" s="107"/>
      <c r="CC73" s="107"/>
      <c r="CD73" s="107"/>
      <c r="CE73" s="107"/>
      <c r="CF73" s="107"/>
      <c r="CG73" s="107"/>
      <c r="CH73" s="107"/>
      <c r="CI73" s="107"/>
      <c r="CJ73" s="107"/>
      <c r="CK73" s="107"/>
      <c r="CL73" s="107"/>
      <c r="CM73" s="107"/>
      <c r="CN73" s="107"/>
      <c r="CO73" s="107"/>
      <c r="CP73" s="107"/>
      <c r="CQ73" s="107"/>
      <c r="CR73" s="107"/>
      <c r="CS73" s="107"/>
      <c r="CT73" s="107"/>
      <c r="CU73" s="107"/>
      <c r="CV73" s="107"/>
      <c r="CW73" s="107"/>
      <c r="CX73" s="107"/>
      <c r="CY73" s="107"/>
      <c r="CZ73" s="107"/>
      <c r="DA73" s="107"/>
      <c r="DB73" s="107"/>
      <c r="DC73" s="107"/>
      <c r="DD73" s="107"/>
      <c r="DE73" s="107"/>
      <c r="DF73" s="107"/>
      <c r="DG73" s="107"/>
      <c r="DH73" s="107"/>
      <c r="DI73" s="107"/>
      <c r="DJ73" s="107"/>
      <c r="DK73" s="107"/>
      <c r="DL73" s="107"/>
      <c r="DM73" s="107"/>
      <c r="DN73" s="107"/>
      <c r="DO73" s="107"/>
      <c r="DP73" s="107"/>
      <c r="DQ73" s="107"/>
      <c r="DR73" s="107"/>
      <c r="DS73" s="107"/>
      <c r="DT73" s="107"/>
      <c r="DU73" s="107"/>
      <c r="DV73" s="107"/>
      <c r="DW73" s="107"/>
      <c r="DX73" s="107"/>
      <c r="DY73" s="107"/>
      <c r="DZ73" s="107"/>
      <c r="EA73" s="107"/>
      <c r="EB73" s="107"/>
      <c r="EC73" s="107"/>
      <c r="ED73" s="107"/>
      <c r="EE73" s="107"/>
      <c r="EF73" s="107"/>
      <c r="EG73" s="107"/>
    </row>
    <row r="74" spans="1:137" x14ac:dyDescent="0.25">
      <c r="A74" s="107"/>
      <c r="B74" s="107"/>
      <c r="C74" s="107"/>
      <c r="D74" s="107"/>
      <c r="E74" s="107"/>
      <c r="F74" s="107"/>
      <c r="G74" s="147" t="str">
        <f>IF(_ibpOfflineCondition_,"000000000000564752-1", _xll.EPMOlapMemberO("[PRDID].[].[000000000000564752-1]","","000000000000564752-1","","000"))</f>
        <v>000000000000564752-1</v>
      </c>
      <c r="H74" s="147" t="str">
        <f>IF(_ibpOfflineCondition_,"FGR+ FIG.PLUS 10/280+40 ANTHR BORAL WB", _xll.EPMOlapMemberO("[PRDDESCR].[].[FGR+ FIG.PLUS 10/280+40 ANTHR BORAL WB]","","FGR+ FIG.PLUS 10/280+40 ANTHR BORAL WB","","000"))</f>
        <v>FGR+ FIG.PLUS 10/280+40 ANTHR BORAL WB</v>
      </c>
      <c r="I74" s="147" t="str">
        <f>IF(_ibpOfflineCondition_,"X7", _xll.EPMOlapMemberO("[MRPTYPE].[].[X7]","","X7","","000"))</f>
        <v>X7</v>
      </c>
      <c r="J74" s="147" t="str">
        <f>IF(_ibpOfflineCondition_,"Firmed Production Plan (Adjusted by PLT)", _xll.EPMOlapMemberO("[KEY_FIGURES].[].[ZFIRMEDPRODUCTIONPLT]","","Firmed Production Plan (Adjusted by PLT)","","000"))</f>
        <v>Firmed Production Plan (Adjusted by PLT)</v>
      </c>
      <c r="K74" s="80"/>
      <c r="L74" s="79"/>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58"/>
      <c r="BO74" s="58"/>
      <c r="BP74" s="58"/>
      <c r="BQ74" s="58"/>
      <c r="BR74" s="58"/>
      <c r="BS74" s="58"/>
      <c r="BT74" s="58"/>
      <c r="BU74" s="58"/>
      <c r="BV74" s="58"/>
      <c r="BW74" s="58"/>
      <c r="BX74" s="107"/>
      <c r="BY74" s="107"/>
      <c r="BZ74" s="107"/>
      <c r="CA74" s="107"/>
      <c r="CB74" s="107"/>
      <c r="CC74" s="107"/>
      <c r="CD74" s="107"/>
      <c r="CE74" s="107"/>
      <c r="CF74" s="107"/>
      <c r="CG74" s="107"/>
      <c r="CH74" s="107"/>
      <c r="CI74" s="107"/>
      <c r="CJ74" s="107"/>
      <c r="CK74" s="107"/>
      <c r="CL74" s="107"/>
      <c r="CM74" s="107"/>
      <c r="CN74" s="107"/>
      <c r="CO74" s="107"/>
      <c r="CP74" s="107"/>
      <c r="CQ74" s="107"/>
      <c r="CR74" s="107"/>
      <c r="CS74" s="107"/>
      <c r="CT74" s="107"/>
      <c r="CU74" s="107"/>
      <c r="CV74" s="107"/>
      <c r="CW74" s="107"/>
      <c r="CX74" s="107"/>
      <c r="CY74" s="107"/>
      <c r="CZ74" s="107"/>
      <c r="DA74" s="107"/>
      <c r="DB74" s="107"/>
      <c r="DC74" s="107"/>
      <c r="DD74" s="107"/>
      <c r="DE74" s="107"/>
      <c r="DF74" s="107"/>
      <c r="DG74" s="107"/>
      <c r="DH74" s="107"/>
      <c r="DI74" s="107"/>
      <c r="DJ74" s="107"/>
      <c r="DK74" s="107"/>
      <c r="DL74" s="107"/>
      <c r="DM74" s="107"/>
      <c r="DN74" s="107"/>
      <c r="DO74" s="107"/>
      <c r="DP74" s="107"/>
      <c r="DQ74" s="107"/>
      <c r="DR74" s="107"/>
      <c r="DS74" s="107"/>
      <c r="DT74" s="107"/>
      <c r="DU74" s="107"/>
      <c r="DV74" s="107"/>
      <c r="DW74" s="107"/>
      <c r="DX74" s="107"/>
      <c r="DY74" s="107"/>
      <c r="DZ74" s="107"/>
      <c r="EA74" s="107"/>
      <c r="EB74" s="107"/>
      <c r="EC74" s="107"/>
      <c r="ED74" s="107"/>
      <c r="EE74" s="107"/>
      <c r="EF74" s="107"/>
      <c r="EG74" s="107"/>
    </row>
    <row r="75" spans="1:137" x14ac:dyDescent="0.25">
      <c r="A75" s="107"/>
      <c r="B75" s="107"/>
      <c r="C75" s="107"/>
      <c r="D75" s="107"/>
      <c r="E75" s="107"/>
      <c r="F75" s="107"/>
      <c r="G75" s="147" t="str">
        <f>IF(_ibpOfflineCondition_,"000000000000564752-1", _xll.EPMOlapMemberO("[PRDID].[].[000000000000564752-1]","","000000000000564752-1","","000"))</f>
        <v>000000000000564752-1</v>
      </c>
      <c r="H75" s="147" t="str">
        <f>IF(_ibpOfflineCondition_,"FGR+ FIG.PLUS 10/280+40 ANTHR BORAL WB", _xll.EPMOlapMemberO("[PRDDESCR].[].[FGR+ FIG.PLUS 10/280+40 ANTHR BORAL WB]","","FGR+ FIG.PLUS 10/280+40 ANTHR BORAL WB","","000"))</f>
        <v>FGR+ FIG.PLUS 10/280+40 ANTHR BORAL WB</v>
      </c>
      <c r="I75" s="147" t="str">
        <f>IF(_ibpOfflineCondition_,"X7", _xll.EPMOlapMemberO("[MRPTYPE].[].[X7]","","X7","","000"))</f>
        <v>X7</v>
      </c>
      <c r="J75" s="147" t="str">
        <f>IF(_ibpOfflineCondition_,"Open Production Orders (Adjusted by PLT)", _xll.EPMOlapMemberO("[KEY_FIGURES].[].[ZOPENPRODUCTIONORDERPLT]","","Open Production Orders (Adjusted by PLT)","","000"))</f>
        <v>Open Production Orders (Adjusted by PLT)</v>
      </c>
      <c r="K75" s="80"/>
      <c r="L75" s="79"/>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58"/>
      <c r="BO75" s="58"/>
      <c r="BP75" s="58"/>
      <c r="BQ75" s="58"/>
      <c r="BR75" s="58"/>
      <c r="BS75" s="58"/>
      <c r="BT75" s="58"/>
      <c r="BU75" s="58"/>
      <c r="BV75" s="58"/>
      <c r="BW75" s="58"/>
      <c r="BX75" s="107"/>
      <c r="BY75" s="107"/>
      <c r="BZ75" s="107"/>
      <c r="CA75" s="107"/>
      <c r="CB75" s="107"/>
      <c r="CC75" s="107"/>
      <c r="CD75" s="107"/>
      <c r="CE75" s="107"/>
      <c r="CF75" s="107"/>
      <c r="CG75" s="107"/>
      <c r="CH75" s="107"/>
      <c r="CI75" s="107"/>
      <c r="CJ75" s="107"/>
      <c r="CK75" s="107"/>
      <c r="CL75" s="107"/>
      <c r="CM75" s="107"/>
      <c r="CN75" s="107"/>
      <c r="CO75" s="107"/>
      <c r="CP75" s="107"/>
      <c r="CQ75" s="107"/>
      <c r="CR75" s="107"/>
      <c r="CS75" s="107"/>
      <c r="CT75" s="107"/>
      <c r="CU75" s="107"/>
      <c r="CV75" s="107"/>
      <c r="CW75" s="107"/>
      <c r="CX75" s="107"/>
      <c r="CY75" s="107"/>
      <c r="CZ75" s="107"/>
      <c r="DA75" s="107"/>
      <c r="DB75" s="107"/>
      <c r="DC75" s="107"/>
      <c r="DD75" s="107"/>
      <c r="DE75" s="107"/>
      <c r="DF75" s="107"/>
      <c r="DG75" s="107"/>
      <c r="DH75" s="107"/>
      <c r="DI75" s="107"/>
      <c r="DJ75" s="107"/>
      <c r="DK75" s="107"/>
      <c r="DL75" s="107"/>
      <c r="DM75" s="107"/>
      <c r="DN75" s="107"/>
      <c r="DO75" s="107"/>
      <c r="DP75" s="107"/>
      <c r="DQ75" s="107"/>
      <c r="DR75" s="107"/>
      <c r="DS75" s="107"/>
      <c r="DT75" s="107"/>
      <c r="DU75" s="107"/>
      <c r="DV75" s="107"/>
      <c r="DW75" s="107"/>
      <c r="DX75" s="107"/>
      <c r="DY75" s="107"/>
      <c r="DZ75" s="107"/>
      <c r="EA75" s="107"/>
      <c r="EB75" s="107"/>
      <c r="EC75" s="107"/>
      <c r="ED75" s="107"/>
      <c r="EE75" s="107"/>
      <c r="EF75" s="107"/>
      <c r="EG75" s="107"/>
    </row>
    <row r="76" spans="1:137" x14ac:dyDescent="0.25">
      <c r="A76" s="107"/>
      <c r="B76" s="107"/>
      <c r="C76" s="107"/>
      <c r="D76" s="107"/>
      <c r="E76" s="107"/>
      <c r="F76" s="107"/>
      <c r="G76" s="147" t="str">
        <f>IF(_ibpOfflineCondition_,"000000000000564752-1", _xll.EPMOlapMemberO("[PRDID].[].[000000000000564752-1]","","000000000000564752-1","","000"))</f>
        <v>000000000000564752-1</v>
      </c>
      <c r="H76" s="147" t="str">
        <f>IF(_ibpOfflineCondition_,"FGR+ FIG.PLUS 10/280+40 ANTHR BORAL WB", _xll.EPMOlapMemberO("[PRDDESCR].[].[FGR+ FIG.PLUS 10/280+40 ANTHR BORAL WB]","","FGR+ FIG.PLUS 10/280+40 ANTHR BORAL WB","","000"))</f>
        <v>FGR+ FIG.PLUS 10/280+40 ANTHR BORAL WB</v>
      </c>
      <c r="I76" s="147" t="str">
        <f>IF(_ibpOfflineCondition_,"X7", _xll.EPMOlapMemberO("[MRPTYPE].[].[X7]","","X7","","000"))</f>
        <v>X7</v>
      </c>
      <c r="J76" s="147" t="str">
        <f>IF(_ibpOfflineCondition_,"Total Open Production Receipts(Adjusted by PLT)", _xll.EPMOlapMemberO("[KEY_FIGURES].[].[ZTOTALOPENPRODUCTIONPLT]","","Total Open Production Receipts(Adjusted by PLT)","","000"))</f>
        <v>Total Open Production Receipts(Adjusted by PLT)</v>
      </c>
      <c r="K76" s="80"/>
      <c r="L76" s="79"/>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58"/>
      <c r="BO76" s="58"/>
      <c r="BP76" s="58"/>
      <c r="BQ76" s="58"/>
      <c r="BR76" s="58"/>
      <c r="BS76" s="58"/>
      <c r="BT76" s="58"/>
      <c r="BU76" s="58"/>
      <c r="BV76" s="58"/>
      <c r="BW76" s="58"/>
      <c r="BX76" s="107"/>
      <c r="BY76" s="107"/>
      <c r="BZ76" s="107"/>
      <c r="CA76" s="107"/>
      <c r="CB76" s="107"/>
      <c r="CC76" s="107"/>
      <c r="CD76" s="107"/>
      <c r="CE76" s="107"/>
      <c r="CF76" s="107"/>
      <c r="CG76" s="107"/>
      <c r="CH76" s="107"/>
      <c r="CI76" s="107"/>
      <c r="CJ76" s="107"/>
      <c r="CK76" s="107"/>
      <c r="CL76" s="107"/>
      <c r="CM76" s="107"/>
      <c r="CN76" s="107"/>
      <c r="CO76" s="107"/>
      <c r="CP76" s="107"/>
      <c r="CQ76" s="107"/>
      <c r="CR76" s="107"/>
      <c r="CS76" s="107"/>
      <c r="CT76" s="107"/>
      <c r="CU76" s="107"/>
      <c r="CV76" s="107"/>
      <c r="CW76" s="107"/>
      <c r="CX76" s="107"/>
      <c r="CY76" s="107"/>
      <c r="CZ76" s="107"/>
      <c r="DA76" s="107"/>
      <c r="DB76" s="107"/>
      <c r="DC76" s="107"/>
      <c r="DD76" s="107"/>
      <c r="DE76" s="107"/>
      <c r="DF76" s="107"/>
      <c r="DG76" s="107"/>
      <c r="DH76" s="107"/>
      <c r="DI76" s="107"/>
      <c r="DJ76" s="107"/>
      <c r="DK76" s="107"/>
      <c r="DL76" s="107"/>
      <c r="DM76" s="107"/>
      <c r="DN76" s="107"/>
      <c r="DO76" s="107"/>
      <c r="DP76" s="107"/>
      <c r="DQ76" s="107"/>
      <c r="DR76" s="107"/>
      <c r="DS76" s="107"/>
      <c r="DT76" s="107"/>
      <c r="DU76" s="107"/>
      <c r="DV76" s="107"/>
      <c r="DW76" s="107"/>
      <c r="DX76" s="107"/>
      <c r="DY76" s="107"/>
      <c r="DZ76" s="107"/>
      <c r="EA76" s="107"/>
      <c r="EB76" s="107"/>
      <c r="EC76" s="107"/>
      <c r="ED76" s="107"/>
      <c r="EE76" s="107"/>
      <c r="EF76" s="107"/>
      <c r="EG76" s="107"/>
    </row>
    <row r="77" spans="1:137" x14ac:dyDescent="0.25">
      <c r="A77" s="107"/>
      <c r="B77" s="107"/>
      <c r="C77" s="107"/>
      <c r="D77" s="107"/>
      <c r="E77" s="107"/>
      <c r="F77" s="107"/>
      <c r="G77" s="147" t="str">
        <f>IF(_ibpOfflineCondition_,"000000000000564752-1", _xll.EPMOlapMemberO("[PRDID].[].[000000000000564752-1]","","000000000000564752-1","","000"))</f>
        <v>000000000000564752-1</v>
      </c>
      <c r="H77" s="147" t="str">
        <f>IF(_ibpOfflineCondition_,"FGR+ FIG.PLUS 10/280+40 ANTHR BORAL WB", _xll.EPMOlapMemberO("[PRDDESCR].[].[FGR+ FIG.PLUS 10/280+40 ANTHR BORAL WB]","","FGR+ FIG.PLUS 10/280+40 ANTHR BORAL WB","","000"))</f>
        <v>FGR+ FIG.PLUS 10/280+40 ANTHR BORAL WB</v>
      </c>
      <c r="I77" s="147" t="str">
        <f>IF(_ibpOfflineCondition_,"X7", _xll.EPMOlapMemberO("[MRPTYPE].[].[X7]","","X7","","000"))</f>
        <v>X7</v>
      </c>
      <c r="J77" s="147" t="str">
        <f>IF(_ibpOfflineCondition_,"Production Receipt (Adjusted by PLT)", _xll.EPMOlapMemberO("[KEY_FIGURES].[].[ZPRODUCTIONSUPPLY]","","Production Receipt (Adjusted by PLT)","","000"))</f>
        <v>Production Receipt (Adjusted by PLT)</v>
      </c>
      <c r="K77" s="80"/>
      <c r="L77" s="79"/>
      <c r="M77" s="58"/>
      <c r="N77" s="58"/>
      <c r="O77" s="58"/>
      <c r="P77" s="58">
        <v>120</v>
      </c>
      <c r="Q77" s="58"/>
      <c r="R77" s="58"/>
      <c r="S77" s="58"/>
      <c r="T77" s="58">
        <v>480</v>
      </c>
      <c r="U77" s="58"/>
      <c r="V77" s="58"/>
      <c r="W77" s="58"/>
      <c r="X77" s="58"/>
      <c r="Y77" s="58"/>
      <c r="Z77" s="58"/>
      <c r="AA77" s="58"/>
      <c r="AB77" s="58"/>
      <c r="AC77" s="58"/>
      <c r="AD77" s="58"/>
      <c r="AE77" s="58">
        <v>120</v>
      </c>
      <c r="AF77" s="58">
        <v>120</v>
      </c>
      <c r="AG77" s="58"/>
      <c r="AH77" s="58"/>
      <c r="AI77" s="58">
        <v>120</v>
      </c>
      <c r="AJ77" s="58"/>
      <c r="AK77" s="58"/>
      <c r="AL77" s="58"/>
      <c r="AM77" s="58"/>
      <c r="AN77" s="58"/>
      <c r="AO77" s="58">
        <v>120</v>
      </c>
      <c r="AP77" s="58"/>
      <c r="AQ77" s="58"/>
      <c r="AR77" s="58"/>
      <c r="AS77" s="58">
        <v>120</v>
      </c>
      <c r="AT77" s="58"/>
      <c r="AU77" s="58"/>
      <c r="AV77" s="58"/>
      <c r="AW77" s="58"/>
      <c r="AX77" s="58">
        <v>120</v>
      </c>
      <c r="AY77" s="58"/>
      <c r="AZ77" s="58"/>
      <c r="BA77" s="58"/>
      <c r="BB77" s="58">
        <v>240</v>
      </c>
      <c r="BC77" s="58"/>
      <c r="BD77" s="58"/>
      <c r="BE77" s="58"/>
      <c r="BF77" s="58"/>
      <c r="BG77" s="58"/>
      <c r="BH77" s="58"/>
      <c r="BI77" s="58"/>
      <c r="BJ77" s="58"/>
      <c r="BK77" s="58"/>
      <c r="BL77" s="58"/>
      <c r="BM77" s="58">
        <v>21.2</v>
      </c>
      <c r="BN77" s="58"/>
      <c r="BO77" s="58"/>
      <c r="BP77" s="58">
        <v>26.8</v>
      </c>
      <c r="BQ77" s="58">
        <v>80.400000000000006</v>
      </c>
      <c r="BR77" s="58"/>
      <c r="BS77" s="58"/>
      <c r="BT77" s="58">
        <v>33.5</v>
      </c>
      <c r="BU77" s="58">
        <v>100.5</v>
      </c>
      <c r="BV77" s="58"/>
      <c r="BW77" s="58"/>
      <c r="BX77" s="107"/>
      <c r="BY77" s="107"/>
      <c r="BZ77" s="107"/>
      <c r="CA77" s="107"/>
      <c r="CB77" s="107"/>
      <c r="CC77" s="107"/>
      <c r="CD77" s="107"/>
      <c r="CE77" s="107"/>
      <c r="CF77" s="107"/>
      <c r="CG77" s="107"/>
      <c r="CH77" s="107"/>
      <c r="CI77" s="107"/>
      <c r="CJ77" s="107"/>
      <c r="CK77" s="107"/>
      <c r="CL77" s="107"/>
      <c r="CM77" s="107"/>
      <c r="CN77" s="107"/>
      <c r="CO77" s="107"/>
      <c r="CP77" s="107"/>
      <c r="CQ77" s="107"/>
      <c r="CR77" s="107"/>
      <c r="CS77" s="107"/>
      <c r="CT77" s="107"/>
      <c r="CU77" s="107"/>
      <c r="CV77" s="107"/>
      <c r="CW77" s="107"/>
      <c r="CX77" s="107"/>
      <c r="CY77" s="107"/>
      <c r="CZ77" s="107"/>
      <c r="DA77" s="107"/>
      <c r="DB77" s="107"/>
      <c r="DC77" s="107"/>
      <c r="DD77" s="107"/>
      <c r="DE77" s="107"/>
      <c r="DF77" s="107"/>
      <c r="DG77" s="107"/>
      <c r="DH77" s="107"/>
      <c r="DI77" s="107"/>
      <c r="DJ77" s="107"/>
      <c r="DK77" s="107"/>
      <c r="DL77" s="107"/>
      <c r="DM77" s="107"/>
      <c r="DN77" s="107"/>
      <c r="DO77" s="107"/>
      <c r="DP77" s="107"/>
      <c r="DQ77" s="107"/>
      <c r="DR77" s="107"/>
      <c r="DS77" s="107"/>
      <c r="DT77" s="107"/>
      <c r="DU77" s="107"/>
      <c r="DV77" s="107"/>
      <c r="DW77" s="107"/>
      <c r="DX77" s="107"/>
      <c r="DY77" s="107"/>
      <c r="DZ77" s="107"/>
      <c r="EA77" s="107"/>
      <c r="EB77" s="107"/>
      <c r="EC77" s="107"/>
      <c r="ED77" s="107"/>
      <c r="EE77" s="107"/>
      <c r="EF77" s="107"/>
      <c r="EG77" s="107"/>
    </row>
    <row r="78" spans="1:137" x14ac:dyDescent="0.25">
      <c r="A78" s="107"/>
      <c r="B78" s="107"/>
      <c r="C78" s="107"/>
      <c r="D78" s="107"/>
      <c r="E78" s="107"/>
      <c r="F78" s="107"/>
      <c r="G78" s="147" t="str">
        <f>IF(_ibpOfflineCondition_,"000000000000564801-1", _xll.EPMOlapMemberO("[PRDID].[].[000000000000564801-1]","","000000000000564801-1","","000"))</f>
        <v>000000000000564801-1</v>
      </c>
      <c r="H78" s="147" t="str">
        <f>IF(_ibpOfflineCondition_,"FGR+ FIGAROLLPLUS 5/280+40 BRAUN BRAAS", _xll.EPMOlapMemberO("[PRDDESCR].[].[FGR+ FIGAROLLPLUS 5/280+40 BRAUN BRAAS]","","FGR+ FIGAROLLPLUS 5/280+40 BRAUN BRAAS","","000"))</f>
        <v>FGR+ FIGAROLLPLUS 5/280+40 BRAUN BRAAS</v>
      </c>
      <c r="I78" s="147" t="str">
        <f>IF(_ibpOfflineCondition_,"X0", _xll.EPMOlapMemberO("[MRPTYPE].[].[X0]","","X0","","000"))</f>
        <v>X0</v>
      </c>
      <c r="J78" s="147" t="str">
        <f>IF(_ibpOfflineCondition_,"Firmed Production Plan (Adjusted by PLT)", _xll.EPMOlapMemberO("[KEY_FIGURES].[].[ZFIRMEDPRODUCTIONPLT]","","Firmed Production Plan (Adjusted by PLT)","","000"))</f>
        <v>Firmed Production Plan (Adjusted by PLT)</v>
      </c>
      <c r="K78" s="80"/>
      <c r="L78" s="79"/>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c r="BA78" s="58"/>
      <c r="BB78" s="58"/>
      <c r="BC78" s="58"/>
      <c r="BD78" s="58"/>
      <c r="BE78" s="58"/>
      <c r="BF78" s="58"/>
      <c r="BG78" s="58"/>
      <c r="BH78" s="58"/>
      <c r="BI78" s="58"/>
      <c r="BJ78" s="58"/>
      <c r="BK78" s="58"/>
      <c r="BL78" s="58"/>
      <c r="BM78" s="58"/>
      <c r="BN78" s="58"/>
      <c r="BO78" s="58"/>
      <c r="BP78" s="58"/>
      <c r="BQ78" s="58"/>
      <c r="BR78" s="58"/>
      <c r="BS78" s="58"/>
      <c r="BT78" s="58"/>
      <c r="BU78" s="58"/>
      <c r="BV78" s="58"/>
      <c r="BW78" s="58"/>
      <c r="BX78" s="107"/>
      <c r="BY78" s="107"/>
      <c r="BZ78" s="107"/>
      <c r="CA78" s="107"/>
      <c r="CB78" s="107"/>
      <c r="CC78" s="107"/>
      <c r="CD78" s="107"/>
      <c r="CE78" s="107"/>
      <c r="CF78" s="107"/>
      <c r="CG78" s="107"/>
      <c r="CH78" s="107"/>
      <c r="CI78" s="107"/>
      <c r="CJ78" s="107"/>
      <c r="CK78" s="107"/>
      <c r="CL78" s="107"/>
      <c r="CM78" s="107"/>
      <c r="CN78" s="107"/>
      <c r="CO78" s="107"/>
      <c r="CP78" s="107"/>
      <c r="CQ78" s="107"/>
      <c r="CR78" s="107"/>
      <c r="CS78" s="107"/>
      <c r="CT78" s="107"/>
      <c r="CU78" s="107"/>
      <c r="CV78" s="107"/>
      <c r="CW78" s="107"/>
      <c r="CX78" s="107"/>
      <c r="CY78" s="107"/>
      <c r="CZ78" s="107"/>
      <c r="DA78" s="107"/>
      <c r="DB78" s="107"/>
      <c r="DC78" s="107"/>
      <c r="DD78" s="107"/>
      <c r="DE78" s="107"/>
      <c r="DF78" s="107"/>
      <c r="DG78" s="107"/>
      <c r="DH78" s="107"/>
      <c r="DI78" s="107"/>
      <c r="DJ78" s="107"/>
      <c r="DK78" s="107"/>
      <c r="DL78" s="107"/>
      <c r="DM78" s="107"/>
      <c r="DN78" s="107"/>
      <c r="DO78" s="107"/>
      <c r="DP78" s="107"/>
      <c r="DQ78" s="107"/>
      <c r="DR78" s="107"/>
      <c r="DS78" s="107"/>
      <c r="DT78" s="107"/>
      <c r="DU78" s="107"/>
      <c r="DV78" s="107"/>
      <c r="DW78" s="107"/>
      <c r="DX78" s="107"/>
      <c r="DY78" s="107"/>
      <c r="DZ78" s="107"/>
      <c r="EA78" s="107"/>
      <c r="EB78" s="107"/>
      <c r="EC78" s="107"/>
      <c r="ED78" s="107"/>
      <c r="EE78" s="107"/>
      <c r="EF78" s="107"/>
      <c r="EG78" s="107"/>
    </row>
    <row r="79" spans="1:137" x14ac:dyDescent="0.25">
      <c r="A79" s="107"/>
      <c r="B79" s="107"/>
      <c r="C79" s="107"/>
      <c r="D79" s="107"/>
      <c r="E79" s="107"/>
      <c r="F79" s="107"/>
      <c r="G79" s="147" t="str">
        <f>IF(_ibpOfflineCondition_,"000000000000564801-1", _xll.EPMOlapMemberO("[PRDID].[].[000000000000564801-1]","","000000000000564801-1","","000"))</f>
        <v>000000000000564801-1</v>
      </c>
      <c r="H79" s="147" t="str">
        <f>IF(_ibpOfflineCondition_,"FGR+ FIGAROLLPLUS 5/280+40 BRAUN BRAAS", _xll.EPMOlapMemberO("[PRDDESCR].[].[FGR+ FIGAROLLPLUS 5/280+40 BRAUN BRAAS]","","FGR+ FIGAROLLPLUS 5/280+40 BRAUN BRAAS","","000"))</f>
        <v>FGR+ FIGAROLLPLUS 5/280+40 BRAUN BRAAS</v>
      </c>
      <c r="I79" s="147" t="str">
        <f>IF(_ibpOfflineCondition_,"X0", _xll.EPMOlapMemberO("[MRPTYPE].[].[X0]","","X0","","000"))</f>
        <v>X0</v>
      </c>
      <c r="J79" s="147" t="str">
        <f>IF(_ibpOfflineCondition_,"Open Production Orders (Adjusted by PLT)", _xll.EPMOlapMemberO("[KEY_FIGURES].[].[ZOPENPRODUCTIONORDERPLT]","","Open Production Orders (Adjusted by PLT)","","000"))</f>
        <v>Open Production Orders (Adjusted by PLT)</v>
      </c>
      <c r="K79" s="80">
        <v>810</v>
      </c>
      <c r="L79" s="79"/>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c r="BA79" s="58"/>
      <c r="BB79" s="58"/>
      <c r="BC79" s="58"/>
      <c r="BD79" s="58"/>
      <c r="BE79" s="58"/>
      <c r="BF79" s="58"/>
      <c r="BG79" s="58"/>
      <c r="BH79" s="58"/>
      <c r="BI79" s="58"/>
      <c r="BJ79" s="58"/>
      <c r="BK79" s="58"/>
      <c r="BL79" s="58"/>
      <c r="BM79" s="58"/>
      <c r="BN79" s="58"/>
      <c r="BO79" s="58"/>
      <c r="BP79" s="58"/>
      <c r="BQ79" s="58"/>
      <c r="BR79" s="58"/>
      <c r="BS79" s="58"/>
      <c r="BT79" s="58"/>
      <c r="BU79" s="58"/>
      <c r="BV79" s="58"/>
      <c r="BW79" s="58"/>
      <c r="BX79" s="107"/>
      <c r="BY79" s="107"/>
      <c r="BZ79" s="107"/>
      <c r="CA79" s="107"/>
      <c r="CB79" s="107"/>
      <c r="CC79" s="107"/>
      <c r="CD79" s="107"/>
      <c r="CE79" s="107"/>
      <c r="CF79" s="107"/>
      <c r="CG79" s="107"/>
      <c r="CH79" s="107"/>
      <c r="CI79" s="107"/>
      <c r="CJ79" s="107"/>
      <c r="CK79" s="107"/>
      <c r="CL79" s="107"/>
      <c r="CM79" s="107"/>
      <c r="CN79" s="107"/>
      <c r="CO79" s="107"/>
      <c r="CP79" s="107"/>
      <c r="CQ79" s="107"/>
      <c r="CR79" s="107"/>
      <c r="CS79" s="107"/>
      <c r="CT79" s="107"/>
      <c r="CU79" s="107"/>
      <c r="CV79" s="107"/>
      <c r="CW79" s="107"/>
      <c r="CX79" s="107"/>
      <c r="CY79" s="107"/>
      <c r="CZ79" s="107"/>
      <c r="DA79" s="107"/>
      <c r="DB79" s="107"/>
      <c r="DC79" s="107"/>
      <c r="DD79" s="107"/>
      <c r="DE79" s="107"/>
      <c r="DF79" s="107"/>
      <c r="DG79" s="107"/>
      <c r="DH79" s="107"/>
      <c r="DI79" s="107"/>
      <c r="DJ79" s="107"/>
      <c r="DK79" s="107"/>
      <c r="DL79" s="107"/>
      <c r="DM79" s="107"/>
      <c r="DN79" s="107"/>
      <c r="DO79" s="107"/>
      <c r="DP79" s="107"/>
      <c r="DQ79" s="107"/>
      <c r="DR79" s="107"/>
      <c r="DS79" s="107"/>
      <c r="DT79" s="107"/>
      <c r="DU79" s="107"/>
      <c r="DV79" s="107"/>
      <c r="DW79" s="107"/>
      <c r="DX79" s="107"/>
      <c r="DY79" s="107"/>
      <c r="DZ79" s="107"/>
      <c r="EA79" s="107"/>
      <c r="EB79" s="107"/>
      <c r="EC79" s="107"/>
      <c r="ED79" s="107"/>
      <c r="EE79" s="107"/>
      <c r="EF79" s="107"/>
      <c r="EG79" s="107"/>
    </row>
    <row r="80" spans="1:137" x14ac:dyDescent="0.25">
      <c r="A80" s="107"/>
      <c r="B80" s="107"/>
      <c r="C80" s="107"/>
      <c r="D80" s="107"/>
      <c r="E80" s="107"/>
      <c r="F80" s="107"/>
      <c r="G80" s="147" t="str">
        <f>IF(_ibpOfflineCondition_,"000000000000564801-1", _xll.EPMOlapMemberO("[PRDID].[].[000000000000564801-1]","","000000000000564801-1","","000"))</f>
        <v>000000000000564801-1</v>
      </c>
      <c r="H80" s="147" t="str">
        <f>IF(_ibpOfflineCondition_,"FGR+ FIGAROLLPLUS 5/280+40 BRAUN BRAAS", _xll.EPMOlapMemberO("[PRDDESCR].[].[FGR+ FIGAROLLPLUS 5/280+40 BRAUN BRAAS]","","FGR+ FIGAROLLPLUS 5/280+40 BRAUN BRAAS","","000"))</f>
        <v>FGR+ FIGAROLLPLUS 5/280+40 BRAUN BRAAS</v>
      </c>
      <c r="I80" s="147" t="str">
        <f>IF(_ibpOfflineCondition_,"X0", _xll.EPMOlapMemberO("[MRPTYPE].[].[X0]","","X0","","000"))</f>
        <v>X0</v>
      </c>
      <c r="J80" s="147" t="str">
        <f>IF(_ibpOfflineCondition_,"Total Open Production Receipts(Adjusted by PLT)", _xll.EPMOlapMemberO("[KEY_FIGURES].[].[ZTOTALOPENPRODUCTIONPLT]","","Total Open Production Receipts(Adjusted by PLT)","","000"))</f>
        <v>Total Open Production Receipts(Adjusted by PLT)</v>
      </c>
      <c r="K80" s="80">
        <v>810</v>
      </c>
      <c r="L80" s="79"/>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58"/>
      <c r="BO80" s="58"/>
      <c r="BP80" s="58"/>
      <c r="BQ80" s="58"/>
      <c r="BR80" s="58"/>
      <c r="BS80" s="58"/>
      <c r="BT80" s="58"/>
      <c r="BU80" s="58"/>
      <c r="BV80" s="58"/>
      <c r="BW80" s="58"/>
      <c r="BX80" s="107"/>
      <c r="BY80" s="107"/>
      <c r="BZ80" s="107"/>
      <c r="CA80" s="107"/>
      <c r="CB80" s="107"/>
      <c r="CC80" s="107"/>
      <c r="CD80" s="107"/>
      <c r="CE80" s="107"/>
      <c r="CF80" s="107"/>
      <c r="CG80" s="107"/>
      <c r="CH80" s="107"/>
      <c r="CI80" s="107"/>
      <c r="CJ80" s="107"/>
      <c r="CK80" s="107"/>
      <c r="CL80" s="107"/>
      <c r="CM80" s="107"/>
      <c r="CN80" s="107"/>
      <c r="CO80" s="107"/>
      <c r="CP80" s="107"/>
      <c r="CQ80" s="107"/>
      <c r="CR80" s="107"/>
      <c r="CS80" s="107"/>
      <c r="CT80" s="107"/>
      <c r="CU80" s="107"/>
      <c r="CV80" s="107"/>
      <c r="CW80" s="107"/>
      <c r="CX80" s="107"/>
      <c r="CY80" s="107"/>
      <c r="CZ80" s="107"/>
      <c r="DA80" s="107"/>
      <c r="DB80" s="107"/>
      <c r="DC80" s="107"/>
      <c r="DD80" s="107"/>
      <c r="DE80" s="107"/>
      <c r="DF80" s="107"/>
      <c r="DG80" s="107"/>
      <c r="DH80" s="107"/>
      <c r="DI80" s="107"/>
      <c r="DJ80" s="107"/>
      <c r="DK80" s="107"/>
      <c r="DL80" s="107"/>
      <c r="DM80" s="107"/>
      <c r="DN80" s="107"/>
      <c r="DO80" s="107"/>
      <c r="DP80" s="107"/>
      <c r="DQ80" s="107"/>
      <c r="DR80" s="107"/>
      <c r="DS80" s="107"/>
      <c r="DT80" s="107"/>
      <c r="DU80" s="107"/>
      <c r="DV80" s="107"/>
      <c r="DW80" s="107"/>
      <c r="DX80" s="107"/>
      <c r="DY80" s="107"/>
      <c r="DZ80" s="107"/>
      <c r="EA80" s="107"/>
      <c r="EB80" s="107"/>
      <c r="EC80" s="107"/>
      <c r="ED80" s="107"/>
      <c r="EE80" s="107"/>
      <c r="EF80" s="107"/>
      <c r="EG80" s="107"/>
    </row>
    <row r="81" spans="1:137" x14ac:dyDescent="0.25">
      <c r="A81" s="107"/>
      <c r="B81" s="107"/>
      <c r="C81" s="107"/>
      <c r="D81" s="107"/>
      <c r="E81" s="107"/>
      <c r="F81" s="107"/>
      <c r="G81" s="147" t="str">
        <f>IF(_ibpOfflineCondition_,"000000000000564801-1", _xll.EPMOlapMemberO("[PRDID].[].[000000000000564801-1]","","000000000000564801-1","","000"))</f>
        <v>000000000000564801-1</v>
      </c>
      <c r="H81" s="147" t="str">
        <f>IF(_ibpOfflineCondition_,"FGR+ FIGAROLLPLUS 5/280+40 BRAUN BRAAS", _xll.EPMOlapMemberO("[PRDDESCR].[].[FGR+ FIGAROLLPLUS 5/280+40 BRAUN BRAAS]","","FGR+ FIGAROLLPLUS 5/280+40 BRAUN BRAAS","","000"))</f>
        <v>FGR+ FIGAROLLPLUS 5/280+40 BRAUN BRAAS</v>
      </c>
      <c r="I81" s="147" t="str">
        <f>IF(_ibpOfflineCondition_,"X0", _xll.EPMOlapMemberO("[MRPTYPE].[].[X0]","","X0","","000"))</f>
        <v>X0</v>
      </c>
      <c r="J81" s="147" t="str">
        <f>IF(_ibpOfflineCondition_,"Production Receipt (Adjusted by PLT)", _xll.EPMOlapMemberO("[KEY_FIGURES].[].[ZPRODUCTIONSUPPLY]","","Production Receipt (Adjusted by PLT)","","000"))</f>
        <v>Production Receipt (Adjusted by PLT)</v>
      </c>
      <c r="K81" s="80">
        <v>810</v>
      </c>
      <c r="L81" s="79"/>
      <c r="M81" s="58">
        <v>360</v>
      </c>
      <c r="N81" s="58"/>
      <c r="O81" s="58">
        <v>180</v>
      </c>
      <c r="P81" s="58">
        <v>360</v>
      </c>
      <c r="Q81" s="58"/>
      <c r="R81" s="58"/>
      <c r="S81" s="58">
        <v>360</v>
      </c>
      <c r="T81" s="58">
        <v>180</v>
      </c>
      <c r="U81" s="58"/>
      <c r="V81" s="58"/>
      <c r="W81" s="58">
        <v>450</v>
      </c>
      <c r="X81" s="58">
        <v>180</v>
      </c>
      <c r="Y81" s="58"/>
      <c r="Z81" s="58"/>
      <c r="AA81" s="58">
        <v>180</v>
      </c>
      <c r="AB81" s="58">
        <v>270</v>
      </c>
      <c r="AC81" s="58"/>
      <c r="AD81" s="58"/>
      <c r="AE81" s="58">
        <v>180</v>
      </c>
      <c r="AF81" s="58"/>
      <c r="AG81" s="58"/>
      <c r="AH81" s="58"/>
      <c r="AI81" s="58">
        <v>180</v>
      </c>
      <c r="AJ81" s="58"/>
      <c r="AK81" s="58"/>
      <c r="AL81" s="58">
        <v>180</v>
      </c>
      <c r="AM81" s="58"/>
      <c r="AN81" s="58"/>
      <c r="AO81" s="58">
        <v>180</v>
      </c>
      <c r="AP81" s="58">
        <v>270</v>
      </c>
      <c r="AQ81" s="58"/>
      <c r="AR81" s="58"/>
      <c r="AS81" s="58">
        <v>360</v>
      </c>
      <c r="AT81" s="58">
        <v>180</v>
      </c>
      <c r="AU81" s="58"/>
      <c r="AV81" s="58"/>
      <c r="AW81" s="58"/>
      <c r="AX81" s="58">
        <v>360</v>
      </c>
      <c r="AY81" s="58"/>
      <c r="AZ81" s="58"/>
      <c r="BA81" s="58"/>
      <c r="BB81" s="58">
        <v>810</v>
      </c>
      <c r="BC81" s="58"/>
      <c r="BD81" s="58"/>
      <c r="BE81" s="58"/>
      <c r="BF81" s="58"/>
      <c r="BG81" s="58"/>
      <c r="BH81" s="58"/>
      <c r="BI81" s="58"/>
      <c r="BJ81" s="58"/>
      <c r="BK81" s="58"/>
      <c r="BL81" s="58">
        <v>265.04834699999998</v>
      </c>
      <c r="BM81" s="58">
        <v>544.83965699999999</v>
      </c>
      <c r="BN81" s="58"/>
      <c r="BO81" s="58"/>
      <c r="BP81" s="58">
        <v>211.61321899999999</v>
      </c>
      <c r="BQ81" s="58">
        <v>68.966463000000005</v>
      </c>
      <c r="BR81" s="58"/>
      <c r="BS81" s="58"/>
      <c r="BT81" s="58">
        <v>244.061352</v>
      </c>
      <c r="BU81" s="58">
        <v>159.76116300000001</v>
      </c>
      <c r="BV81" s="58"/>
      <c r="BW81" s="58"/>
      <c r="BX81" s="107"/>
      <c r="BY81" s="107"/>
      <c r="BZ81" s="107"/>
      <c r="CA81" s="107"/>
      <c r="CB81" s="107"/>
      <c r="CC81" s="107"/>
      <c r="CD81" s="107"/>
      <c r="CE81" s="107"/>
      <c r="CF81" s="107"/>
      <c r="CG81" s="107"/>
      <c r="CH81" s="107"/>
      <c r="CI81" s="107"/>
      <c r="CJ81" s="107"/>
      <c r="CK81" s="107"/>
      <c r="CL81" s="107"/>
      <c r="CM81" s="107"/>
      <c r="CN81" s="107"/>
      <c r="CO81" s="107"/>
      <c r="CP81" s="107"/>
      <c r="CQ81" s="107"/>
      <c r="CR81" s="107"/>
      <c r="CS81" s="107"/>
      <c r="CT81" s="107"/>
      <c r="CU81" s="107"/>
      <c r="CV81" s="107"/>
      <c r="CW81" s="107"/>
      <c r="CX81" s="107"/>
      <c r="CY81" s="107"/>
      <c r="CZ81" s="107"/>
      <c r="DA81" s="107"/>
      <c r="DB81" s="107"/>
      <c r="DC81" s="107"/>
      <c r="DD81" s="107"/>
      <c r="DE81" s="107"/>
      <c r="DF81" s="107"/>
      <c r="DG81" s="107"/>
      <c r="DH81" s="107"/>
      <c r="DI81" s="107"/>
      <c r="DJ81" s="107"/>
      <c r="DK81" s="107"/>
      <c r="DL81" s="107"/>
      <c r="DM81" s="107"/>
      <c r="DN81" s="107"/>
      <c r="DO81" s="107"/>
      <c r="DP81" s="107"/>
      <c r="DQ81" s="107"/>
      <c r="DR81" s="107"/>
      <c r="DS81" s="107"/>
      <c r="DT81" s="107"/>
      <c r="DU81" s="107"/>
      <c r="DV81" s="107"/>
      <c r="DW81" s="107"/>
      <c r="DX81" s="107"/>
      <c r="DY81" s="107"/>
      <c r="DZ81" s="107"/>
      <c r="EA81" s="107"/>
      <c r="EB81" s="107"/>
      <c r="EC81" s="107"/>
      <c r="ED81" s="107"/>
      <c r="EE81" s="107"/>
      <c r="EF81" s="107"/>
      <c r="EG81" s="107"/>
    </row>
    <row r="82" spans="1:137" x14ac:dyDescent="0.25">
      <c r="A82" s="107"/>
      <c r="B82" s="107"/>
      <c r="C82" s="107"/>
      <c r="D82" s="107"/>
      <c r="E82" s="107"/>
      <c r="F82" s="107"/>
      <c r="G82" s="147" t="str">
        <f>IF(_ibpOfflineCondition_,"000000000000564802-1", _xll.EPMOlapMemberO("[PRDID].[].[000000000000564802-1]","","000000000000564802-1","","000"))</f>
        <v>000000000000564802-1</v>
      </c>
      <c r="H82" s="147" t="str">
        <f>IF(_ibpOfflineCondition_,"FGR+ FIGAROLLPLUS 5/280+40 ANTHR BRAAS", _xll.EPMOlapMemberO("[PRDDESCR].[].[FGR+ FIGAROLLPLUS 5/280+40 ANTHR BRAAS]","","FGR+ FIGAROLLPLUS 5/280+40 ANTHR BRAAS","","000"))</f>
        <v>FGR+ FIGAROLLPLUS 5/280+40 ANTHR BRAAS</v>
      </c>
      <c r="I82" s="147" t="str">
        <f>IF(_ibpOfflineCondition_,"X0", _xll.EPMOlapMemberO("[MRPTYPE].[].[X0]","","X0","","000"))</f>
        <v>X0</v>
      </c>
      <c r="J82" s="147" t="str">
        <f>IF(_ibpOfflineCondition_,"Firmed Production Plan (Adjusted by PLT)", _xll.EPMOlapMemberO("[KEY_FIGURES].[].[ZFIRMEDPRODUCTIONPLT]","","Firmed Production Plan (Adjusted by PLT)","","000"))</f>
        <v>Firmed Production Plan (Adjusted by PLT)</v>
      </c>
      <c r="K82" s="80"/>
      <c r="L82" s="79"/>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58"/>
      <c r="BO82" s="58"/>
      <c r="BP82" s="58"/>
      <c r="BQ82" s="58"/>
      <c r="BR82" s="58"/>
      <c r="BS82" s="58"/>
      <c r="BT82" s="58"/>
      <c r="BU82" s="58"/>
      <c r="BV82" s="58"/>
      <c r="BW82" s="58"/>
      <c r="BX82" s="107"/>
      <c r="BY82" s="107"/>
      <c r="BZ82" s="107"/>
      <c r="CA82" s="107"/>
      <c r="CB82" s="107"/>
      <c r="CC82" s="107"/>
      <c r="CD82" s="107"/>
      <c r="CE82" s="107"/>
      <c r="CF82" s="107"/>
      <c r="CG82" s="107"/>
      <c r="CH82" s="107"/>
      <c r="CI82" s="107"/>
      <c r="CJ82" s="107"/>
      <c r="CK82" s="107"/>
      <c r="CL82" s="107"/>
      <c r="CM82" s="107"/>
      <c r="CN82" s="107"/>
      <c r="CO82" s="107"/>
      <c r="CP82" s="107"/>
      <c r="CQ82" s="107"/>
      <c r="CR82" s="107"/>
      <c r="CS82" s="107"/>
      <c r="CT82" s="107"/>
      <c r="CU82" s="107"/>
      <c r="CV82" s="107"/>
      <c r="CW82" s="107"/>
      <c r="CX82" s="107"/>
      <c r="CY82" s="107"/>
      <c r="CZ82" s="107"/>
      <c r="DA82" s="107"/>
      <c r="DB82" s="107"/>
      <c r="DC82" s="107"/>
      <c r="DD82" s="107"/>
      <c r="DE82" s="107"/>
      <c r="DF82" s="107"/>
      <c r="DG82" s="107"/>
      <c r="DH82" s="107"/>
      <c r="DI82" s="107"/>
      <c r="DJ82" s="107"/>
      <c r="DK82" s="107"/>
      <c r="DL82" s="107"/>
      <c r="DM82" s="107"/>
      <c r="DN82" s="107"/>
      <c r="DO82" s="107"/>
      <c r="DP82" s="107"/>
      <c r="DQ82" s="107"/>
      <c r="DR82" s="107"/>
      <c r="DS82" s="107"/>
      <c r="DT82" s="107"/>
      <c r="DU82" s="107"/>
      <c r="DV82" s="107"/>
      <c r="DW82" s="107"/>
      <c r="DX82" s="107"/>
      <c r="DY82" s="107"/>
      <c r="DZ82" s="107"/>
      <c r="EA82" s="107"/>
      <c r="EB82" s="107"/>
      <c r="EC82" s="107"/>
      <c r="ED82" s="107"/>
      <c r="EE82" s="107"/>
      <c r="EF82" s="107"/>
      <c r="EG82" s="107"/>
    </row>
    <row r="83" spans="1:137" x14ac:dyDescent="0.25">
      <c r="A83" s="107"/>
      <c r="B83" s="107"/>
      <c r="C83" s="107"/>
      <c r="D83" s="107"/>
      <c r="E83" s="107"/>
      <c r="F83" s="107"/>
      <c r="G83" s="147" t="str">
        <f>IF(_ibpOfflineCondition_,"000000000000564802-1", _xll.EPMOlapMemberO("[PRDID].[].[000000000000564802-1]","","000000000000564802-1","","000"))</f>
        <v>000000000000564802-1</v>
      </c>
      <c r="H83" s="147" t="str">
        <f>IF(_ibpOfflineCondition_,"FGR+ FIGAROLLPLUS 5/280+40 ANTHR BRAAS", _xll.EPMOlapMemberO("[PRDDESCR].[].[FGR+ FIGAROLLPLUS 5/280+40 ANTHR BRAAS]","","FGR+ FIGAROLLPLUS 5/280+40 ANTHR BRAAS","","000"))</f>
        <v>FGR+ FIGAROLLPLUS 5/280+40 ANTHR BRAAS</v>
      </c>
      <c r="I83" s="147" t="str">
        <f>IF(_ibpOfflineCondition_,"X0", _xll.EPMOlapMemberO("[MRPTYPE].[].[X0]","","X0","","000"))</f>
        <v>X0</v>
      </c>
      <c r="J83" s="147" t="str">
        <f>IF(_ibpOfflineCondition_,"Open Production Orders (Adjusted by PLT)", _xll.EPMOlapMemberO("[KEY_FIGURES].[].[ZOPENPRODUCTIONORDERPLT]","","Open Production Orders (Adjusted by PLT)","","000"))</f>
        <v>Open Production Orders (Adjusted by PLT)</v>
      </c>
      <c r="K83" s="80">
        <v>2700</v>
      </c>
      <c r="L83" s="79">
        <v>2970</v>
      </c>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58"/>
      <c r="BE83" s="58"/>
      <c r="BF83" s="58"/>
      <c r="BG83" s="58"/>
      <c r="BH83" s="58"/>
      <c r="BI83" s="58"/>
      <c r="BJ83" s="58"/>
      <c r="BK83" s="58"/>
      <c r="BL83" s="58"/>
      <c r="BM83" s="58"/>
      <c r="BN83" s="58"/>
      <c r="BO83" s="58"/>
      <c r="BP83" s="58"/>
      <c r="BQ83" s="58"/>
      <c r="BR83" s="58"/>
      <c r="BS83" s="58"/>
      <c r="BT83" s="58"/>
      <c r="BU83" s="58"/>
      <c r="BV83" s="58"/>
      <c r="BW83" s="58"/>
      <c r="BX83" s="107"/>
      <c r="BY83" s="107"/>
      <c r="BZ83" s="107"/>
      <c r="CA83" s="107"/>
      <c r="CB83" s="107"/>
      <c r="CC83" s="107"/>
      <c r="CD83" s="107"/>
      <c r="CE83" s="107"/>
      <c r="CF83" s="107"/>
      <c r="CG83" s="107"/>
      <c r="CH83" s="107"/>
      <c r="CI83" s="107"/>
      <c r="CJ83" s="107"/>
      <c r="CK83" s="107"/>
      <c r="CL83" s="107"/>
      <c r="CM83" s="107"/>
      <c r="CN83" s="107"/>
      <c r="CO83" s="107"/>
      <c r="CP83" s="107"/>
      <c r="CQ83" s="107"/>
      <c r="CR83" s="107"/>
      <c r="CS83" s="107"/>
      <c r="CT83" s="107"/>
      <c r="CU83" s="107"/>
      <c r="CV83" s="107"/>
      <c r="CW83" s="107"/>
      <c r="CX83" s="107"/>
      <c r="CY83" s="107"/>
      <c r="CZ83" s="107"/>
      <c r="DA83" s="107"/>
      <c r="DB83" s="107"/>
      <c r="DC83" s="107"/>
      <c r="DD83" s="107"/>
      <c r="DE83" s="107"/>
      <c r="DF83" s="107"/>
      <c r="DG83" s="107"/>
      <c r="DH83" s="107"/>
      <c r="DI83" s="107"/>
      <c r="DJ83" s="107"/>
      <c r="DK83" s="107"/>
      <c r="DL83" s="107"/>
      <c r="DM83" s="107"/>
      <c r="DN83" s="107"/>
      <c r="DO83" s="107"/>
      <c r="DP83" s="107"/>
      <c r="DQ83" s="107"/>
      <c r="DR83" s="107"/>
      <c r="DS83" s="107"/>
      <c r="DT83" s="107"/>
      <c r="DU83" s="107"/>
      <c r="DV83" s="107"/>
      <c r="DW83" s="107"/>
      <c r="DX83" s="107"/>
      <c r="DY83" s="107"/>
      <c r="DZ83" s="107"/>
      <c r="EA83" s="107"/>
      <c r="EB83" s="107"/>
      <c r="EC83" s="107"/>
      <c r="ED83" s="107"/>
      <c r="EE83" s="107"/>
      <c r="EF83" s="107"/>
      <c r="EG83" s="107"/>
    </row>
    <row r="84" spans="1:137" x14ac:dyDescent="0.25">
      <c r="A84" s="107"/>
      <c r="B84" s="107"/>
      <c r="C84" s="107"/>
      <c r="D84" s="107"/>
      <c r="E84" s="107"/>
      <c r="F84" s="107"/>
      <c r="G84" s="147" t="str">
        <f>IF(_ibpOfflineCondition_,"000000000000564802-1", _xll.EPMOlapMemberO("[PRDID].[].[000000000000564802-1]","","000000000000564802-1","","000"))</f>
        <v>000000000000564802-1</v>
      </c>
      <c r="H84" s="147" t="str">
        <f>IF(_ibpOfflineCondition_,"FGR+ FIGAROLLPLUS 5/280+40 ANTHR BRAAS", _xll.EPMOlapMemberO("[PRDDESCR].[].[FGR+ FIGAROLLPLUS 5/280+40 ANTHR BRAAS]","","FGR+ FIGAROLLPLUS 5/280+40 ANTHR BRAAS","","000"))</f>
        <v>FGR+ FIGAROLLPLUS 5/280+40 ANTHR BRAAS</v>
      </c>
      <c r="I84" s="147" t="str">
        <f>IF(_ibpOfflineCondition_,"X0", _xll.EPMOlapMemberO("[MRPTYPE].[].[X0]","","X0","","000"))</f>
        <v>X0</v>
      </c>
      <c r="J84" s="147" t="str">
        <f>IF(_ibpOfflineCondition_,"Total Open Production Receipts(Adjusted by PLT)", _xll.EPMOlapMemberO("[KEY_FIGURES].[].[ZTOTALOPENPRODUCTIONPLT]","","Total Open Production Receipts(Adjusted by PLT)","","000"))</f>
        <v>Total Open Production Receipts(Adjusted by PLT)</v>
      </c>
      <c r="K84" s="80">
        <v>2700</v>
      </c>
      <c r="L84" s="79">
        <v>2970</v>
      </c>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c r="BA84" s="58"/>
      <c r="BB84" s="58"/>
      <c r="BC84" s="58"/>
      <c r="BD84" s="58"/>
      <c r="BE84" s="58"/>
      <c r="BF84" s="58"/>
      <c r="BG84" s="58"/>
      <c r="BH84" s="58"/>
      <c r="BI84" s="58"/>
      <c r="BJ84" s="58"/>
      <c r="BK84" s="58"/>
      <c r="BL84" s="58"/>
      <c r="BM84" s="58"/>
      <c r="BN84" s="58"/>
      <c r="BO84" s="58"/>
      <c r="BP84" s="58"/>
      <c r="BQ84" s="58"/>
      <c r="BR84" s="58"/>
      <c r="BS84" s="58"/>
      <c r="BT84" s="58"/>
      <c r="BU84" s="58"/>
      <c r="BV84" s="58"/>
      <c r="BW84" s="58"/>
      <c r="BX84" s="107"/>
      <c r="BY84" s="107"/>
      <c r="BZ84" s="107"/>
      <c r="CA84" s="107"/>
      <c r="CB84" s="107"/>
      <c r="CC84" s="107"/>
      <c r="CD84" s="107"/>
      <c r="CE84" s="107"/>
      <c r="CF84" s="107"/>
      <c r="CG84" s="107"/>
      <c r="CH84" s="107"/>
      <c r="CI84" s="107"/>
      <c r="CJ84" s="107"/>
      <c r="CK84" s="107"/>
      <c r="CL84" s="107"/>
      <c r="CM84" s="107"/>
      <c r="CN84" s="107"/>
      <c r="CO84" s="107"/>
      <c r="CP84" s="107"/>
      <c r="CQ84" s="107"/>
      <c r="CR84" s="107"/>
      <c r="CS84" s="107"/>
      <c r="CT84" s="107"/>
      <c r="CU84" s="107"/>
      <c r="CV84" s="107"/>
      <c r="CW84" s="107"/>
      <c r="CX84" s="107"/>
      <c r="CY84" s="107"/>
      <c r="CZ84" s="107"/>
      <c r="DA84" s="107"/>
      <c r="DB84" s="107"/>
      <c r="DC84" s="107"/>
      <c r="DD84" s="107"/>
      <c r="DE84" s="107"/>
      <c r="DF84" s="107"/>
      <c r="DG84" s="107"/>
      <c r="DH84" s="107"/>
      <c r="DI84" s="107"/>
      <c r="DJ84" s="107"/>
      <c r="DK84" s="107"/>
      <c r="DL84" s="107"/>
      <c r="DM84" s="107"/>
      <c r="DN84" s="107"/>
      <c r="DO84" s="107"/>
      <c r="DP84" s="107"/>
      <c r="DQ84" s="107"/>
      <c r="DR84" s="107"/>
      <c r="DS84" s="107"/>
      <c r="DT84" s="107"/>
      <c r="DU84" s="107"/>
      <c r="DV84" s="107"/>
      <c r="DW84" s="107"/>
      <c r="DX84" s="107"/>
      <c r="DY84" s="107"/>
      <c r="DZ84" s="107"/>
      <c r="EA84" s="107"/>
      <c r="EB84" s="107"/>
      <c r="EC84" s="107"/>
      <c r="ED84" s="107"/>
      <c r="EE84" s="107"/>
      <c r="EF84" s="107"/>
      <c r="EG84" s="107"/>
    </row>
    <row r="85" spans="1:137" x14ac:dyDescent="0.25">
      <c r="A85" s="107"/>
      <c r="B85" s="107"/>
      <c r="C85" s="107"/>
      <c r="D85" s="107"/>
      <c r="E85" s="107"/>
      <c r="F85" s="107"/>
      <c r="G85" s="147" t="str">
        <f>IF(_ibpOfflineCondition_,"000000000000564802-1", _xll.EPMOlapMemberO("[PRDID].[].[000000000000564802-1]","","000000000000564802-1","","000"))</f>
        <v>000000000000564802-1</v>
      </c>
      <c r="H85" s="147" t="str">
        <f>IF(_ibpOfflineCondition_,"FGR+ FIGAROLLPLUS 5/280+40 ANTHR BRAAS", _xll.EPMOlapMemberO("[PRDDESCR].[].[FGR+ FIGAROLLPLUS 5/280+40 ANTHR BRAAS]","","FGR+ FIGAROLLPLUS 5/280+40 ANTHR BRAAS","","000"))</f>
        <v>FGR+ FIGAROLLPLUS 5/280+40 ANTHR BRAAS</v>
      </c>
      <c r="I85" s="147" t="str">
        <f>IF(_ibpOfflineCondition_,"X0", _xll.EPMOlapMemberO("[MRPTYPE].[].[X0]","","X0","","000"))</f>
        <v>X0</v>
      </c>
      <c r="J85" s="147" t="str">
        <f>IF(_ibpOfflineCondition_,"Production Receipt (Adjusted by PLT)", _xll.EPMOlapMemberO("[KEY_FIGURES].[].[ZPRODUCTIONSUPPLY]","","Production Receipt (Adjusted by PLT)","","000"))</f>
        <v>Production Receipt (Adjusted by PLT)</v>
      </c>
      <c r="K85" s="80">
        <v>2700</v>
      </c>
      <c r="L85" s="79">
        <v>2970</v>
      </c>
      <c r="M85" s="58">
        <v>1980</v>
      </c>
      <c r="N85" s="58"/>
      <c r="O85" s="58">
        <v>720</v>
      </c>
      <c r="P85" s="58">
        <v>3240</v>
      </c>
      <c r="Q85" s="58"/>
      <c r="R85" s="58"/>
      <c r="S85" s="58">
        <v>3510</v>
      </c>
      <c r="T85" s="58"/>
      <c r="U85" s="58"/>
      <c r="V85" s="58"/>
      <c r="W85" s="58"/>
      <c r="X85" s="58">
        <v>3060</v>
      </c>
      <c r="Y85" s="58"/>
      <c r="Z85" s="58"/>
      <c r="AA85" s="58">
        <v>3600</v>
      </c>
      <c r="AB85" s="58">
        <v>180</v>
      </c>
      <c r="AC85" s="58"/>
      <c r="AD85" s="58"/>
      <c r="AE85" s="58">
        <v>5310</v>
      </c>
      <c r="AF85" s="58"/>
      <c r="AG85" s="58"/>
      <c r="AH85" s="58"/>
      <c r="AI85" s="58">
        <v>1170</v>
      </c>
      <c r="AJ85" s="58"/>
      <c r="AK85" s="58"/>
      <c r="AL85" s="58">
        <v>2880</v>
      </c>
      <c r="AM85" s="58"/>
      <c r="AN85" s="58"/>
      <c r="AO85" s="58">
        <v>3510</v>
      </c>
      <c r="AP85" s="58">
        <v>180</v>
      </c>
      <c r="AQ85" s="58"/>
      <c r="AR85" s="58"/>
      <c r="AS85" s="58">
        <v>2160</v>
      </c>
      <c r="AT85" s="58">
        <v>180</v>
      </c>
      <c r="AU85" s="58"/>
      <c r="AV85" s="58"/>
      <c r="AW85" s="58">
        <v>3510</v>
      </c>
      <c r="AX85" s="58"/>
      <c r="AY85" s="58"/>
      <c r="AZ85" s="58"/>
      <c r="BA85" s="58"/>
      <c r="BB85" s="58">
        <v>1260</v>
      </c>
      <c r="BC85" s="58">
        <v>7650</v>
      </c>
      <c r="BD85" s="58"/>
      <c r="BE85" s="58"/>
      <c r="BF85" s="58"/>
      <c r="BG85" s="58"/>
      <c r="BH85" s="58">
        <v>5310</v>
      </c>
      <c r="BI85" s="58"/>
      <c r="BJ85" s="58"/>
      <c r="BK85" s="58"/>
      <c r="BL85" s="58">
        <v>1290.7941069999999</v>
      </c>
      <c r="BM85" s="58">
        <v>2751.2755590000002</v>
      </c>
      <c r="BN85" s="58"/>
      <c r="BO85" s="58"/>
      <c r="BP85" s="58">
        <v>797.09185300000001</v>
      </c>
      <c r="BQ85" s="58">
        <v>2670.6405009999999</v>
      </c>
      <c r="BR85" s="58"/>
      <c r="BS85" s="58"/>
      <c r="BT85" s="58">
        <v>1074.829393</v>
      </c>
      <c r="BU85" s="58">
        <v>2772.8808049999998</v>
      </c>
      <c r="BV85" s="58"/>
      <c r="BW85" s="58"/>
      <c r="BX85" s="107"/>
      <c r="BY85" s="107"/>
      <c r="BZ85" s="107"/>
      <c r="CA85" s="107"/>
      <c r="CB85" s="107"/>
      <c r="CC85" s="107"/>
      <c r="CD85" s="107"/>
      <c r="CE85" s="107"/>
      <c r="CF85" s="107"/>
      <c r="CG85" s="107"/>
      <c r="CH85" s="107"/>
      <c r="CI85" s="107"/>
      <c r="CJ85" s="107"/>
      <c r="CK85" s="107"/>
      <c r="CL85" s="107"/>
      <c r="CM85" s="107"/>
      <c r="CN85" s="107"/>
      <c r="CO85" s="107"/>
      <c r="CP85" s="107"/>
      <c r="CQ85" s="107"/>
      <c r="CR85" s="107"/>
      <c r="CS85" s="107"/>
      <c r="CT85" s="107"/>
      <c r="CU85" s="107"/>
      <c r="CV85" s="107"/>
      <c r="CW85" s="107"/>
      <c r="CX85" s="107"/>
      <c r="CY85" s="107"/>
      <c r="CZ85" s="107"/>
      <c r="DA85" s="107"/>
      <c r="DB85" s="107"/>
      <c r="DC85" s="107"/>
      <c r="DD85" s="107"/>
      <c r="DE85" s="107"/>
      <c r="DF85" s="107"/>
      <c r="DG85" s="107"/>
      <c r="DH85" s="107"/>
      <c r="DI85" s="107"/>
      <c r="DJ85" s="107"/>
      <c r="DK85" s="107"/>
      <c r="DL85" s="107"/>
      <c r="DM85" s="107"/>
      <c r="DN85" s="107"/>
      <c r="DO85" s="107"/>
      <c r="DP85" s="107"/>
      <c r="DQ85" s="107"/>
      <c r="DR85" s="107"/>
      <c r="DS85" s="107"/>
      <c r="DT85" s="107"/>
      <c r="DU85" s="107"/>
      <c r="DV85" s="107"/>
      <c r="DW85" s="107"/>
      <c r="DX85" s="107"/>
      <c r="DY85" s="107"/>
      <c r="DZ85" s="107"/>
      <c r="EA85" s="107"/>
      <c r="EB85" s="107"/>
      <c r="EC85" s="107"/>
      <c r="ED85" s="107"/>
      <c r="EE85" s="107"/>
      <c r="EF85" s="107"/>
      <c r="EG85" s="107"/>
    </row>
    <row r="86" spans="1:137" x14ac:dyDescent="0.25">
      <c r="A86" s="107"/>
      <c r="B86" s="107"/>
      <c r="C86" s="107"/>
      <c r="D86" s="107"/>
      <c r="E86" s="107"/>
      <c r="F86" s="107"/>
      <c r="G86" s="147" t="str">
        <f>IF(_ibpOfflineCondition_,"000000000000564803-1", _xll.EPMOlapMemberO("[PRDID].[].[000000000000564803-1]","","000000000000564803-1","","000"))</f>
        <v>000000000000564803-1</v>
      </c>
      <c r="H86" s="147" t="str">
        <f>IF(_ibpOfflineCondition_,"FGR+ FIGAROLLPLUS 5/280+40 ROT BRAAS", _xll.EPMOlapMemberO("[PRDDESCR].[].[FGR+ FIGAROLLPLUS 5/280+40 ROT BRAAS]","","FGR+ FIGAROLLPLUS 5/280+40 ROT BRAAS","","000"))</f>
        <v>FGR+ FIGAROLLPLUS 5/280+40 ROT BRAAS</v>
      </c>
      <c r="I86" s="147" t="str">
        <f>IF(_ibpOfflineCondition_,"X0", _xll.EPMOlapMemberO("[MRPTYPE].[].[X0]","","X0","","000"))</f>
        <v>X0</v>
      </c>
      <c r="J86" s="147" t="str">
        <f>IF(_ibpOfflineCondition_,"Firmed Production Plan (Adjusted by PLT)", _xll.EPMOlapMemberO("[KEY_FIGURES].[].[ZFIRMEDPRODUCTIONPLT]","","Firmed Production Plan (Adjusted by PLT)","","000"))</f>
        <v>Firmed Production Plan (Adjusted by PLT)</v>
      </c>
      <c r="K86" s="80"/>
      <c r="L86" s="79"/>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c r="BA86" s="58"/>
      <c r="BB86" s="58"/>
      <c r="BC86" s="58"/>
      <c r="BD86" s="58"/>
      <c r="BE86" s="58"/>
      <c r="BF86" s="58"/>
      <c r="BG86" s="58"/>
      <c r="BH86" s="58"/>
      <c r="BI86" s="58"/>
      <c r="BJ86" s="58"/>
      <c r="BK86" s="58"/>
      <c r="BL86" s="58"/>
      <c r="BM86" s="58"/>
      <c r="BN86" s="58"/>
      <c r="BO86" s="58"/>
      <c r="BP86" s="58"/>
      <c r="BQ86" s="58"/>
      <c r="BR86" s="58"/>
      <c r="BS86" s="58"/>
      <c r="BT86" s="58"/>
      <c r="BU86" s="58"/>
      <c r="BV86" s="58"/>
      <c r="BW86" s="58"/>
      <c r="BX86" s="107"/>
      <c r="BY86" s="107"/>
      <c r="BZ86" s="107"/>
      <c r="CA86" s="107"/>
      <c r="CB86" s="107"/>
      <c r="CC86" s="107"/>
      <c r="CD86" s="107"/>
      <c r="CE86" s="107"/>
      <c r="CF86" s="107"/>
      <c r="CG86" s="107"/>
      <c r="CH86" s="107"/>
      <c r="CI86" s="107"/>
      <c r="CJ86" s="107"/>
      <c r="CK86" s="107"/>
      <c r="CL86" s="107"/>
      <c r="CM86" s="107"/>
      <c r="CN86" s="107"/>
      <c r="CO86" s="107"/>
      <c r="CP86" s="107"/>
      <c r="CQ86" s="107"/>
      <c r="CR86" s="107"/>
      <c r="CS86" s="107"/>
      <c r="CT86" s="107"/>
      <c r="CU86" s="107"/>
      <c r="CV86" s="107"/>
      <c r="CW86" s="107"/>
      <c r="CX86" s="107"/>
      <c r="CY86" s="107"/>
      <c r="CZ86" s="107"/>
      <c r="DA86" s="107"/>
      <c r="DB86" s="107"/>
      <c r="DC86" s="107"/>
      <c r="DD86" s="107"/>
      <c r="DE86" s="107"/>
      <c r="DF86" s="107"/>
      <c r="DG86" s="107"/>
      <c r="DH86" s="107"/>
      <c r="DI86" s="107"/>
      <c r="DJ86" s="107"/>
      <c r="DK86" s="107"/>
      <c r="DL86" s="107"/>
      <c r="DM86" s="107"/>
      <c r="DN86" s="107"/>
      <c r="DO86" s="107"/>
      <c r="DP86" s="107"/>
      <c r="DQ86" s="107"/>
      <c r="DR86" s="107"/>
      <c r="DS86" s="107"/>
      <c r="DT86" s="107"/>
      <c r="DU86" s="107"/>
      <c r="DV86" s="107"/>
      <c r="DW86" s="107"/>
      <c r="DX86" s="107"/>
      <c r="DY86" s="107"/>
      <c r="DZ86" s="107"/>
      <c r="EA86" s="107"/>
      <c r="EB86" s="107"/>
      <c r="EC86" s="107"/>
      <c r="ED86" s="107"/>
      <c r="EE86" s="107"/>
      <c r="EF86" s="107"/>
      <c r="EG86" s="107"/>
    </row>
    <row r="87" spans="1:137" x14ac:dyDescent="0.25">
      <c r="A87" s="107"/>
      <c r="B87" s="107"/>
      <c r="C87" s="107"/>
      <c r="D87" s="107"/>
      <c r="E87" s="107"/>
      <c r="F87" s="107"/>
      <c r="G87" s="147" t="str">
        <f>IF(_ibpOfflineCondition_,"000000000000564803-1", _xll.EPMOlapMemberO("[PRDID].[].[000000000000564803-1]","","000000000000564803-1","","000"))</f>
        <v>000000000000564803-1</v>
      </c>
      <c r="H87" s="147" t="str">
        <f>IF(_ibpOfflineCondition_,"FGR+ FIGAROLLPLUS 5/280+40 ROT BRAAS", _xll.EPMOlapMemberO("[PRDDESCR].[].[FGR+ FIGAROLLPLUS 5/280+40 ROT BRAAS]","","FGR+ FIGAROLLPLUS 5/280+40 ROT BRAAS","","000"))</f>
        <v>FGR+ FIGAROLLPLUS 5/280+40 ROT BRAAS</v>
      </c>
      <c r="I87" s="147" t="str">
        <f>IF(_ibpOfflineCondition_,"X0", _xll.EPMOlapMemberO("[MRPTYPE].[].[X0]","","X0","","000"))</f>
        <v>X0</v>
      </c>
      <c r="J87" s="147" t="str">
        <f>IF(_ibpOfflineCondition_,"Open Production Orders (Adjusted by PLT)", _xll.EPMOlapMemberO("[KEY_FIGURES].[].[ZOPENPRODUCTIONORDERPLT]","","Open Production Orders (Adjusted by PLT)","","000"))</f>
        <v>Open Production Orders (Adjusted by PLT)</v>
      </c>
      <c r="K87" s="80">
        <v>1980</v>
      </c>
      <c r="L87" s="79"/>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c r="BA87" s="58"/>
      <c r="BB87" s="58"/>
      <c r="BC87" s="58"/>
      <c r="BD87" s="58"/>
      <c r="BE87" s="58"/>
      <c r="BF87" s="58"/>
      <c r="BG87" s="58"/>
      <c r="BH87" s="58"/>
      <c r="BI87" s="58"/>
      <c r="BJ87" s="58"/>
      <c r="BK87" s="58"/>
      <c r="BL87" s="58"/>
      <c r="BM87" s="58"/>
      <c r="BN87" s="58"/>
      <c r="BO87" s="58"/>
      <c r="BP87" s="58"/>
      <c r="BQ87" s="58"/>
      <c r="BR87" s="58"/>
      <c r="BS87" s="58"/>
      <c r="BT87" s="58"/>
      <c r="BU87" s="58"/>
      <c r="BV87" s="58"/>
      <c r="BW87" s="58"/>
      <c r="BX87" s="107"/>
      <c r="BY87" s="107"/>
      <c r="BZ87" s="107"/>
      <c r="CA87" s="107"/>
      <c r="CB87" s="107"/>
      <c r="CC87" s="107"/>
      <c r="CD87" s="107"/>
      <c r="CE87" s="107"/>
      <c r="CF87" s="107"/>
      <c r="CG87" s="107"/>
      <c r="CH87" s="107"/>
      <c r="CI87" s="107"/>
      <c r="CJ87" s="107"/>
      <c r="CK87" s="107"/>
      <c r="CL87" s="107"/>
      <c r="CM87" s="107"/>
      <c r="CN87" s="107"/>
      <c r="CO87" s="107"/>
      <c r="CP87" s="107"/>
      <c r="CQ87" s="107"/>
      <c r="CR87" s="107"/>
      <c r="CS87" s="107"/>
      <c r="CT87" s="107"/>
      <c r="CU87" s="107"/>
      <c r="CV87" s="107"/>
      <c r="CW87" s="107"/>
      <c r="CX87" s="107"/>
      <c r="CY87" s="107"/>
      <c r="CZ87" s="107"/>
      <c r="DA87" s="107"/>
      <c r="DB87" s="107"/>
      <c r="DC87" s="107"/>
      <c r="DD87" s="107"/>
      <c r="DE87" s="107"/>
      <c r="DF87" s="107"/>
      <c r="DG87" s="107"/>
      <c r="DH87" s="107"/>
      <c r="DI87" s="107"/>
      <c r="DJ87" s="107"/>
      <c r="DK87" s="107"/>
      <c r="DL87" s="107"/>
      <c r="DM87" s="107"/>
      <c r="DN87" s="107"/>
      <c r="DO87" s="107"/>
      <c r="DP87" s="107"/>
      <c r="DQ87" s="107"/>
      <c r="DR87" s="107"/>
      <c r="DS87" s="107"/>
      <c r="DT87" s="107"/>
      <c r="DU87" s="107"/>
      <c r="DV87" s="107"/>
      <c r="DW87" s="107"/>
      <c r="DX87" s="107"/>
      <c r="DY87" s="107"/>
      <c r="DZ87" s="107"/>
      <c r="EA87" s="107"/>
      <c r="EB87" s="107"/>
      <c r="EC87" s="107"/>
      <c r="ED87" s="107"/>
      <c r="EE87" s="107"/>
      <c r="EF87" s="107"/>
      <c r="EG87" s="107"/>
    </row>
    <row r="88" spans="1:137" x14ac:dyDescent="0.25">
      <c r="A88" s="107"/>
      <c r="B88" s="107"/>
      <c r="C88" s="107"/>
      <c r="D88" s="107"/>
      <c r="E88" s="107"/>
      <c r="F88" s="107"/>
      <c r="G88" s="147" t="str">
        <f>IF(_ibpOfflineCondition_,"000000000000564803-1", _xll.EPMOlapMemberO("[PRDID].[].[000000000000564803-1]","","000000000000564803-1","","000"))</f>
        <v>000000000000564803-1</v>
      </c>
      <c r="H88" s="147" t="str">
        <f>IF(_ibpOfflineCondition_,"FGR+ FIGAROLLPLUS 5/280+40 ROT BRAAS", _xll.EPMOlapMemberO("[PRDDESCR].[].[FGR+ FIGAROLLPLUS 5/280+40 ROT BRAAS]","","FGR+ FIGAROLLPLUS 5/280+40 ROT BRAAS","","000"))</f>
        <v>FGR+ FIGAROLLPLUS 5/280+40 ROT BRAAS</v>
      </c>
      <c r="I88" s="147" t="str">
        <f>IF(_ibpOfflineCondition_,"X0", _xll.EPMOlapMemberO("[MRPTYPE].[].[X0]","","X0","","000"))</f>
        <v>X0</v>
      </c>
      <c r="J88" s="147" t="str">
        <f>IF(_ibpOfflineCondition_,"Total Open Production Receipts(Adjusted by PLT)", _xll.EPMOlapMemberO("[KEY_FIGURES].[].[ZTOTALOPENPRODUCTIONPLT]","","Total Open Production Receipts(Adjusted by PLT)","","000"))</f>
        <v>Total Open Production Receipts(Adjusted by PLT)</v>
      </c>
      <c r="K88" s="80">
        <v>1980</v>
      </c>
      <c r="L88" s="79"/>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c r="BB88" s="58"/>
      <c r="BC88" s="58"/>
      <c r="BD88" s="58"/>
      <c r="BE88" s="58"/>
      <c r="BF88" s="58"/>
      <c r="BG88" s="58"/>
      <c r="BH88" s="58"/>
      <c r="BI88" s="58"/>
      <c r="BJ88" s="58"/>
      <c r="BK88" s="58"/>
      <c r="BL88" s="58"/>
      <c r="BM88" s="58"/>
      <c r="BN88" s="58"/>
      <c r="BO88" s="58"/>
      <c r="BP88" s="58"/>
      <c r="BQ88" s="58"/>
      <c r="BR88" s="58"/>
      <c r="BS88" s="58"/>
      <c r="BT88" s="58"/>
      <c r="BU88" s="58"/>
      <c r="BV88" s="58"/>
      <c r="BW88" s="58"/>
      <c r="BX88" s="107"/>
      <c r="BY88" s="107"/>
      <c r="BZ88" s="107"/>
      <c r="CA88" s="107"/>
      <c r="CB88" s="107"/>
      <c r="CC88" s="107"/>
      <c r="CD88" s="107"/>
      <c r="CE88" s="107"/>
      <c r="CF88" s="107"/>
      <c r="CG88" s="107"/>
      <c r="CH88" s="107"/>
      <c r="CI88" s="107"/>
      <c r="CJ88" s="107"/>
      <c r="CK88" s="107"/>
      <c r="CL88" s="107"/>
      <c r="CM88" s="107"/>
      <c r="CN88" s="107"/>
      <c r="CO88" s="107"/>
      <c r="CP88" s="107"/>
      <c r="CQ88" s="107"/>
      <c r="CR88" s="107"/>
      <c r="CS88" s="107"/>
      <c r="CT88" s="107"/>
      <c r="CU88" s="107"/>
      <c r="CV88" s="107"/>
      <c r="CW88" s="107"/>
      <c r="CX88" s="107"/>
      <c r="CY88" s="107"/>
      <c r="CZ88" s="107"/>
      <c r="DA88" s="107"/>
      <c r="DB88" s="107"/>
      <c r="DC88" s="107"/>
      <c r="DD88" s="107"/>
      <c r="DE88" s="107"/>
      <c r="DF88" s="107"/>
      <c r="DG88" s="107"/>
      <c r="DH88" s="107"/>
      <c r="DI88" s="107"/>
      <c r="DJ88" s="107"/>
      <c r="DK88" s="107"/>
      <c r="DL88" s="107"/>
      <c r="DM88" s="107"/>
      <c r="DN88" s="107"/>
      <c r="DO88" s="107"/>
      <c r="DP88" s="107"/>
      <c r="DQ88" s="107"/>
      <c r="DR88" s="107"/>
      <c r="DS88" s="107"/>
      <c r="DT88" s="107"/>
      <c r="DU88" s="107"/>
      <c r="DV88" s="107"/>
      <c r="DW88" s="107"/>
      <c r="DX88" s="107"/>
      <c r="DY88" s="107"/>
      <c r="DZ88" s="107"/>
      <c r="EA88" s="107"/>
      <c r="EB88" s="107"/>
      <c r="EC88" s="107"/>
      <c r="ED88" s="107"/>
      <c r="EE88" s="107"/>
      <c r="EF88" s="107"/>
      <c r="EG88" s="107"/>
    </row>
    <row r="89" spans="1:137" x14ac:dyDescent="0.25">
      <c r="A89" s="107"/>
      <c r="B89" s="107"/>
      <c r="C89" s="107"/>
      <c r="D89" s="107"/>
      <c r="E89" s="107"/>
      <c r="F89" s="107"/>
      <c r="G89" s="147" t="str">
        <f>IF(_ibpOfflineCondition_,"000000000000564803-1", _xll.EPMOlapMemberO("[PRDID].[].[000000000000564803-1]","","000000000000564803-1","","000"))</f>
        <v>000000000000564803-1</v>
      </c>
      <c r="H89" s="147" t="str">
        <f>IF(_ibpOfflineCondition_,"FGR+ FIGAROLLPLUS 5/280+40 ROT BRAAS", _xll.EPMOlapMemberO("[PRDDESCR].[].[FGR+ FIGAROLLPLUS 5/280+40 ROT BRAAS]","","FGR+ FIGAROLLPLUS 5/280+40 ROT BRAAS","","000"))</f>
        <v>FGR+ FIGAROLLPLUS 5/280+40 ROT BRAAS</v>
      </c>
      <c r="I89" s="147" t="str">
        <f>IF(_ibpOfflineCondition_,"X0", _xll.EPMOlapMemberO("[MRPTYPE].[].[X0]","","X0","","000"))</f>
        <v>X0</v>
      </c>
      <c r="J89" s="147" t="str">
        <f>IF(_ibpOfflineCondition_,"Production Receipt (Adjusted by PLT)", _xll.EPMOlapMemberO("[KEY_FIGURES].[].[ZPRODUCTIONSUPPLY]","","Production Receipt (Adjusted by PLT)","","000"))</f>
        <v>Production Receipt (Adjusted by PLT)</v>
      </c>
      <c r="K89" s="80">
        <v>1980</v>
      </c>
      <c r="L89" s="79"/>
      <c r="M89" s="58">
        <v>2070</v>
      </c>
      <c r="N89" s="58"/>
      <c r="O89" s="58">
        <v>180</v>
      </c>
      <c r="P89" s="58">
        <v>1260</v>
      </c>
      <c r="Q89" s="58"/>
      <c r="R89" s="58"/>
      <c r="S89" s="58">
        <v>180</v>
      </c>
      <c r="T89" s="58">
        <v>720</v>
      </c>
      <c r="U89" s="58"/>
      <c r="V89" s="58"/>
      <c r="W89" s="58">
        <v>180</v>
      </c>
      <c r="X89" s="58">
        <v>1710</v>
      </c>
      <c r="Y89" s="58"/>
      <c r="Z89" s="58"/>
      <c r="AA89" s="58">
        <v>990</v>
      </c>
      <c r="AB89" s="58"/>
      <c r="AC89" s="58"/>
      <c r="AD89" s="58"/>
      <c r="AE89" s="58">
        <v>2610</v>
      </c>
      <c r="AF89" s="58"/>
      <c r="AG89" s="58"/>
      <c r="AH89" s="58"/>
      <c r="AI89" s="58">
        <v>1170</v>
      </c>
      <c r="AJ89" s="58"/>
      <c r="AK89" s="58"/>
      <c r="AL89" s="58"/>
      <c r="AM89" s="58"/>
      <c r="AN89" s="58"/>
      <c r="AO89" s="58">
        <v>900</v>
      </c>
      <c r="AP89" s="58">
        <v>810</v>
      </c>
      <c r="AQ89" s="58"/>
      <c r="AR89" s="58"/>
      <c r="AS89" s="58">
        <v>1170</v>
      </c>
      <c r="AT89" s="58">
        <v>180</v>
      </c>
      <c r="AU89" s="58"/>
      <c r="AV89" s="58"/>
      <c r="AW89" s="58"/>
      <c r="AX89" s="58">
        <v>630</v>
      </c>
      <c r="AY89" s="58"/>
      <c r="AZ89" s="58"/>
      <c r="BA89" s="58"/>
      <c r="BB89" s="58">
        <v>2520</v>
      </c>
      <c r="BC89" s="58">
        <v>2340</v>
      </c>
      <c r="BD89" s="58"/>
      <c r="BE89" s="58"/>
      <c r="BF89" s="58"/>
      <c r="BG89" s="58"/>
      <c r="BH89" s="58">
        <v>1980</v>
      </c>
      <c r="BI89" s="58"/>
      <c r="BJ89" s="58"/>
      <c r="BK89" s="58"/>
      <c r="BL89" s="58">
        <v>821.34183800000005</v>
      </c>
      <c r="BM89" s="58">
        <v>1081.8958950000001</v>
      </c>
      <c r="BN89" s="58"/>
      <c r="BO89" s="58"/>
      <c r="BP89" s="58">
        <v>180.63196500000001</v>
      </c>
      <c r="BQ89" s="58">
        <v>899.81837099999996</v>
      </c>
      <c r="BR89" s="58"/>
      <c r="BS89" s="58"/>
      <c r="BT89" s="58">
        <v>180.21749500000001</v>
      </c>
      <c r="BU89" s="58">
        <v>1015.520367</v>
      </c>
      <c r="BV89" s="58"/>
      <c r="BW89" s="58"/>
      <c r="BX89" s="107"/>
      <c r="BY89" s="107"/>
      <c r="BZ89" s="107"/>
      <c r="CA89" s="107"/>
      <c r="CB89" s="107"/>
      <c r="CC89" s="107"/>
      <c r="CD89" s="107"/>
      <c r="CE89" s="107"/>
      <c r="CF89" s="107"/>
      <c r="CG89" s="107"/>
      <c r="CH89" s="107"/>
      <c r="CI89" s="107"/>
      <c r="CJ89" s="107"/>
      <c r="CK89" s="107"/>
      <c r="CL89" s="107"/>
      <c r="CM89" s="107"/>
      <c r="CN89" s="107"/>
      <c r="CO89" s="107"/>
      <c r="CP89" s="107"/>
      <c r="CQ89" s="107"/>
      <c r="CR89" s="107"/>
      <c r="CS89" s="107"/>
      <c r="CT89" s="107"/>
      <c r="CU89" s="107"/>
      <c r="CV89" s="107"/>
      <c r="CW89" s="107"/>
      <c r="CX89" s="107"/>
      <c r="CY89" s="107"/>
      <c r="CZ89" s="107"/>
      <c r="DA89" s="107"/>
      <c r="DB89" s="107"/>
      <c r="DC89" s="107"/>
      <c r="DD89" s="107"/>
      <c r="DE89" s="107"/>
      <c r="DF89" s="107"/>
      <c r="DG89" s="107"/>
      <c r="DH89" s="107"/>
      <c r="DI89" s="107"/>
      <c r="DJ89" s="107"/>
      <c r="DK89" s="107"/>
      <c r="DL89" s="107"/>
      <c r="DM89" s="107"/>
      <c r="DN89" s="107"/>
      <c r="DO89" s="107"/>
      <c r="DP89" s="107"/>
      <c r="DQ89" s="107"/>
      <c r="DR89" s="107"/>
      <c r="DS89" s="107"/>
      <c r="DT89" s="107"/>
      <c r="DU89" s="107"/>
      <c r="DV89" s="107"/>
      <c r="DW89" s="107"/>
      <c r="DX89" s="107"/>
      <c r="DY89" s="107"/>
      <c r="DZ89" s="107"/>
      <c r="EA89" s="107"/>
      <c r="EB89" s="107"/>
      <c r="EC89" s="107"/>
      <c r="ED89" s="107"/>
      <c r="EE89" s="107"/>
      <c r="EF89" s="107"/>
      <c r="EG89" s="107"/>
    </row>
    <row r="90" spans="1:137" x14ac:dyDescent="0.25">
      <c r="A90" s="107"/>
      <c r="B90" s="107"/>
      <c r="C90" s="107"/>
      <c r="D90" s="107"/>
      <c r="E90" s="107"/>
      <c r="F90" s="107"/>
      <c r="G90" s="147" t="str">
        <f>IF(_ibpOfflineCondition_,"000000000000564815-1", _xll.EPMOlapMemberO("[PRDID].[].[000000000000564815-1]","","000000000000564815-1","","000"))</f>
        <v>000000000000564815-1</v>
      </c>
      <c r="H90" s="147" t="str">
        <f>IF(_ibpOfflineCondition_,"FGR+ FIGAROLLPLUS 5/280+40 TIEFROT BRAAS", _xll.EPMOlapMemberO("[PRDDESCR].[].[FGR+ FIGAROLLPLUS 5/280+40 TIEFROT BRAAS]","","FGR+ FIGAROLLPLUS 5/280+40 TIEFROT BRAAS","","000"))</f>
        <v>FGR+ FIGAROLLPLUS 5/280+40 TIEFROT BRAAS</v>
      </c>
      <c r="I90" s="147" t="str">
        <f>IF(_ibpOfflineCondition_,"X0", _xll.EPMOlapMemberO("[MRPTYPE].[].[X0]","","X0","","000"))</f>
        <v>X0</v>
      </c>
      <c r="J90" s="147" t="str">
        <f>IF(_ibpOfflineCondition_,"Firmed Production Plan (Adjusted by PLT)", _xll.EPMOlapMemberO("[KEY_FIGURES].[].[ZFIRMEDPRODUCTIONPLT]","","Firmed Production Plan (Adjusted by PLT)","","000"))</f>
        <v>Firmed Production Plan (Adjusted by PLT)</v>
      </c>
      <c r="K90" s="80"/>
      <c r="L90" s="79"/>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8"/>
      <c r="BO90" s="58"/>
      <c r="BP90" s="58"/>
      <c r="BQ90" s="58"/>
      <c r="BR90" s="58"/>
      <c r="BS90" s="58"/>
      <c r="BT90" s="58"/>
      <c r="BU90" s="58"/>
      <c r="BV90" s="58"/>
      <c r="BW90" s="58"/>
      <c r="BX90" s="107"/>
      <c r="BY90" s="107"/>
      <c r="BZ90" s="107"/>
      <c r="CA90" s="107"/>
      <c r="CB90" s="107"/>
      <c r="CC90" s="107"/>
      <c r="CD90" s="107"/>
      <c r="CE90" s="107"/>
      <c r="CF90" s="107"/>
      <c r="CG90" s="107"/>
      <c r="CH90" s="107"/>
      <c r="CI90" s="107"/>
      <c r="CJ90" s="107"/>
      <c r="CK90" s="107"/>
      <c r="CL90" s="107"/>
      <c r="CM90" s="107"/>
      <c r="CN90" s="107"/>
      <c r="CO90" s="107"/>
      <c r="CP90" s="107"/>
      <c r="CQ90" s="107"/>
      <c r="CR90" s="107"/>
      <c r="CS90" s="107"/>
      <c r="CT90" s="107"/>
      <c r="CU90" s="107"/>
      <c r="CV90" s="107"/>
      <c r="CW90" s="107"/>
      <c r="CX90" s="107"/>
      <c r="CY90" s="107"/>
      <c r="CZ90" s="107"/>
      <c r="DA90" s="107"/>
      <c r="DB90" s="107"/>
      <c r="DC90" s="107"/>
      <c r="DD90" s="107"/>
      <c r="DE90" s="107"/>
      <c r="DF90" s="107"/>
      <c r="DG90" s="107"/>
      <c r="DH90" s="107"/>
      <c r="DI90" s="107"/>
      <c r="DJ90" s="107"/>
      <c r="DK90" s="107"/>
      <c r="DL90" s="107"/>
      <c r="DM90" s="107"/>
      <c r="DN90" s="107"/>
      <c r="DO90" s="107"/>
      <c r="DP90" s="107"/>
      <c r="DQ90" s="107"/>
      <c r="DR90" s="107"/>
      <c r="DS90" s="107"/>
      <c r="DT90" s="107"/>
      <c r="DU90" s="107"/>
      <c r="DV90" s="107"/>
      <c r="DW90" s="107"/>
      <c r="DX90" s="107"/>
      <c r="DY90" s="107"/>
      <c r="DZ90" s="107"/>
      <c r="EA90" s="107"/>
      <c r="EB90" s="107"/>
      <c r="EC90" s="107"/>
      <c r="ED90" s="107"/>
      <c r="EE90" s="107"/>
      <c r="EF90" s="107"/>
      <c r="EG90" s="107"/>
    </row>
    <row r="91" spans="1:137" x14ac:dyDescent="0.25">
      <c r="A91" s="107"/>
      <c r="B91" s="107"/>
      <c r="C91" s="107"/>
      <c r="D91" s="107"/>
      <c r="E91" s="107"/>
      <c r="F91" s="107"/>
      <c r="G91" s="147" t="str">
        <f>IF(_ibpOfflineCondition_,"000000000000564815-1", _xll.EPMOlapMemberO("[PRDID].[].[000000000000564815-1]","","000000000000564815-1","","000"))</f>
        <v>000000000000564815-1</v>
      </c>
      <c r="H91" s="147" t="str">
        <f>IF(_ibpOfflineCondition_,"FGR+ FIGAROLLPLUS 5/280+40 TIEFROT BRAAS", _xll.EPMOlapMemberO("[PRDDESCR].[].[FGR+ FIGAROLLPLUS 5/280+40 TIEFROT BRAAS]","","FGR+ FIGAROLLPLUS 5/280+40 TIEFROT BRAAS","","000"))</f>
        <v>FGR+ FIGAROLLPLUS 5/280+40 TIEFROT BRAAS</v>
      </c>
      <c r="I91" s="147" t="str">
        <f>IF(_ibpOfflineCondition_,"X0", _xll.EPMOlapMemberO("[MRPTYPE].[].[X0]","","X0","","000"))</f>
        <v>X0</v>
      </c>
      <c r="J91" s="147" t="str">
        <f>IF(_ibpOfflineCondition_,"Open Production Orders (Adjusted by PLT)", _xll.EPMOlapMemberO("[KEY_FIGURES].[].[ZOPENPRODUCTIONORDERPLT]","","Open Production Orders (Adjusted by PLT)","","000"))</f>
        <v>Open Production Orders (Adjusted by PLT)</v>
      </c>
      <c r="K91" s="80">
        <v>540</v>
      </c>
      <c r="L91" s="79"/>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c r="BA91" s="58"/>
      <c r="BB91" s="58"/>
      <c r="BC91" s="58"/>
      <c r="BD91" s="58"/>
      <c r="BE91" s="58"/>
      <c r="BF91" s="58"/>
      <c r="BG91" s="58"/>
      <c r="BH91" s="58"/>
      <c r="BI91" s="58"/>
      <c r="BJ91" s="58"/>
      <c r="BK91" s="58"/>
      <c r="BL91" s="58"/>
      <c r="BM91" s="58"/>
      <c r="BN91" s="58"/>
      <c r="BO91" s="58"/>
      <c r="BP91" s="58"/>
      <c r="BQ91" s="58"/>
      <c r="BR91" s="58"/>
      <c r="BS91" s="58"/>
      <c r="BT91" s="58"/>
      <c r="BU91" s="58"/>
      <c r="BV91" s="58"/>
      <c r="BW91" s="58"/>
      <c r="BX91" s="107"/>
      <c r="BY91" s="107"/>
      <c r="BZ91" s="107"/>
      <c r="CA91" s="107"/>
      <c r="CB91" s="107"/>
      <c r="CC91" s="107"/>
      <c r="CD91" s="107"/>
      <c r="CE91" s="107"/>
      <c r="CF91" s="107"/>
      <c r="CG91" s="107"/>
      <c r="CH91" s="107"/>
      <c r="CI91" s="107"/>
      <c r="CJ91" s="107"/>
      <c r="CK91" s="107"/>
      <c r="CL91" s="107"/>
      <c r="CM91" s="107"/>
      <c r="CN91" s="107"/>
      <c r="CO91" s="107"/>
      <c r="CP91" s="107"/>
      <c r="CQ91" s="107"/>
      <c r="CR91" s="107"/>
      <c r="CS91" s="107"/>
      <c r="CT91" s="107"/>
      <c r="CU91" s="107"/>
      <c r="CV91" s="107"/>
      <c r="CW91" s="107"/>
      <c r="CX91" s="107"/>
      <c r="CY91" s="107"/>
      <c r="CZ91" s="107"/>
      <c r="DA91" s="107"/>
      <c r="DB91" s="107"/>
      <c r="DC91" s="107"/>
      <c r="DD91" s="107"/>
      <c r="DE91" s="107"/>
      <c r="DF91" s="107"/>
      <c r="DG91" s="107"/>
      <c r="DH91" s="107"/>
      <c r="DI91" s="107"/>
      <c r="DJ91" s="107"/>
      <c r="DK91" s="107"/>
      <c r="DL91" s="107"/>
      <c r="DM91" s="107"/>
      <c r="DN91" s="107"/>
      <c r="DO91" s="107"/>
      <c r="DP91" s="107"/>
      <c r="DQ91" s="107"/>
      <c r="DR91" s="107"/>
      <c r="DS91" s="107"/>
      <c r="DT91" s="107"/>
      <c r="DU91" s="107"/>
      <c r="DV91" s="107"/>
      <c r="DW91" s="107"/>
      <c r="DX91" s="107"/>
      <c r="DY91" s="107"/>
      <c r="DZ91" s="107"/>
      <c r="EA91" s="107"/>
      <c r="EB91" s="107"/>
      <c r="EC91" s="107"/>
      <c r="ED91" s="107"/>
      <c r="EE91" s="107"/>
      <c r="EF91" s="107"/>
      <c r="EG91" s="107"/>
    </row>
    <row r="92" spans="1:137" x14ac:dyDescent="0.25">
      <c r="A92" s="107"/>
      <c r="B92" s="107"/>
      <c r="C92" s="107"/>
      <c r="D92" s="107"/>
      <c r="E92" s="107"/>
      <c r="F92" s="107"/>
      <c r="G92" s="147" t="str">
        <f>IF(_ibpOfflineCondition_,"000000000000564815-1", _xll.EPMOlapMemberO("[PRDID].[].[000000000000564815-1]","","000000000000564815-1","","000"))</f>
        <v>000000000000564815-1</v>
      </c>
      <c r="H92" s="147" t="str">
        <f>IF(_ibpOfflineCondition_,"FGR+ FIGAROLLPLUS 5/280+40 TIEFROT BRAAS", _xll.EPMOlapMemberO("[PRDDESCR].[].[FGR+ FIGAROLLPLUS 5/280+40 TIEFROT BRAAS]","","FGR+ FIGAROLLPLUS 5/280+40 TIEFROT BRAAS","","000"))</f>
        <v>FGR+ FIGAROLLPLUS 5/280+40 TIEFROT BRAAS</v>
      </c>
      <c r="I92" s="147" t="str">
        <f>IF(_ibpOfflineCondition_,"X0", _xll.EPMOlapMemberO("[MRPTYPE].[].[X0]","","X0","","000"))</f>
        <v>X0</v>
      </c>
      <c r="J92" s="147" t="str">
        <f>IF(_ibpOfflineCondition_,"Total Open Production Receipts(Adjusted by PLT)", _xll.EPMOlapMemberO("[KEY_FIGURES].[].[ZTOTALOPENPRODUCTIONPLT]","","Total Open Production Receipts(Adjusted by PLT)","","000"))</f>
        <v>Total Open Production Receipts(Adjusted by PLT)</v>
      </c>
      <c r="K92" s="80">
        <v>540</v>
      </c>
      <c r="L92" s="79"/>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c r="BA92" s="58"/>
      <c r="BB92" s="58"/>
      <c r="BC92" s="58"/>
      <c r="BD92" s="58"/>
      <c r="BE92" s="58"/>
      <c r="BF92" s="58"/>
      <c r="BG92" s="58"/>
      <c r="BH92" s="58"/>
      <c r="BI92" s="58"/>
      <c r="BJ92" s="58"/>
      <c r="BK92" s="58"/>
      <c r="BL92" s="58"/>
      <c r="BM92" s="58"/>
      <c r="BN92" s="58"/>
      <c r="BO92" s="58"/>
      <c r="BP92" s="58"/>
      <c r="BQ92" s="58"/>
      <c r="BR92" s="58"/>
      <c r="BS92" s="58"/>
      <c r="BT92" s="58"/>
      <c r="BU92" s="58"/>
      <c r="BV92" s="58"/>
      <c r="BW92" s="58"/>
      <c r="BX92" s="107"/>
      <c r="BY92" s="107"/>
      <c r="BZ92" s="107"/>
      <c r="CA92" s="107"/>
      <c r="CB92" s="107"/>
      <c r="CC92" s="107"/>
      <c r="CD92" s="107"/>
      <c r="CE92" s="107"/>
      <c r="CF92" s="107"/>
      <c r="CG92" s="107"/>
      <c r="CH92" s="107"/>
      <c r="CI92" s="107"/>
      <c r="CJ92" s="107"/>
      <c r="CK92" s="107"/>
      <c r="CL92" s="107"/>
      <c r="CM92" s="107"/>
      <c r="CN92" s="107"/>
      <c r="CO92" s="107"/>
      <c r="CP92" s="107"/>
      <c r="CQ92" s="107"/>
      <c r="CR92" s="107"/>
      <c r="CS92" s="107"/>
      <c r="CT92" s="107"/>
      <c r="CU92" s="107"/>
      <c r="CV92" s="107"/>
      <c r="CW92" s="107"/>
      <c r="CX92" s="107"/>
      <c r="CY92" s="107"/>
      <c r="CZ92" s="107"/>
      <c r="DA92" s="107"/>
      <c r="DB92" s="107"/>
      <c r="DC92" s="107"/>
      <c r="DD92" s="107"/>
      <c r="DE92" s="107"/>
      <c r="DF92" s="107"/>
      <c r="DG92" s="107"/>
      <c r="DH92" s="107"/>
      <c r="DI92" s="107"/>
      <c r="DJ92" s="107"/>
      <c r="DK92" s="107"/>
      <c r="DL92" s="107"/>
      <c r="DM92" s="107"/>
      <c r="DN92" s="107"/>
      <c r="DO92" s="107"/>
      <c r="DP92" s="107"/>
      <c r="DQ92" s="107"/>
      <c r="DR92" s="107"/>
      <c r="DS92" s="107"/>
      <c r="DT92" s="107"/>
      <c r="DU92" s="107"/>
      <c r="DV92" s="107"/>
      <c r="DW92" s="107"/>
      <c r="DX92" s="107"/>
      <c r="DY92" s="107"/>
      <c r="DZ92" s="107"/>
      <c r="EA92" s="107"/>
      <c r="EB92" s="107"/>
      <c r="EC92" s="107"/>
      <c r="ED92" s="107"/>
      <c r="EE92" s="107"/>
      <c r="EF92" s="107"/>
      <c r="EG92" s="107"/>
    </row>
    <row r="93" spans="1:137" x14ac:dyDescent="0.25">
      <c r="A93" s="107"/>
      <c r="B93" s="107"/>
      <c r="C93" s="107"/>
      <c r="D93" s="107"/>
      <c r="E93" s="107"/>
      <c r="F93" s="107"/>
      <c r="G93" s="147" t="str">
        <f>IF(_ibpOfflineCondition_,"000000000000564815-1", _xll.EPMOlapMemberO("[PRDID].[].[000000000000564815-1]","","000000000000564815-1","","000"))</f>
        <v>000000000000564815-1</v>
      </c>
      <c r="H93" s="147" t="str">
        <f>IF(_ibpOfflineCondition_,"FGR+ FIGAROLLPLUS 5/280+40 TIEFROT BRAAS", _xll.EPMOlapMemberO("[PRDDESCR].[].[FGR+ FIGAROLLPLUS 5/280+40 TIEFROT BRAAS]","","FGR+ FIGAROLLPLUS 5/280+40 TIEFROT BRAAS","","000"))</f>
        <v>FGR+ FIGAROLLPLUS 5/280+40 TIEFROT BRAAS</v>
      </c>
      <c r="I93" s="147" t="str">
        <f>IF(_ibpOfflineCondition_,"X0", _xll.EPMOlapMemberO("[MRPTYPE].[].[X0]","","X0","","000"))</f>
        <v>X0</v>
      </c>
      <c r="J93" s="147" t="str">
        <f>IF(_ibpOfflineCondition_,"Production Receipt (Adjusted by PLT)", _xll.EPMOlapMemberO("[KEY_FIGURES].[].[ZPRODUCTIONSUPPLY]","","Production Receipt (Adjusted by PLT)","","000"))</f>
        <v>Production Receipt (Adjusted by PLT)</v>
      </c>
      <c r="K93" s="80">
        <v>540</v>
      </c>
      <c r="L93" s="79"/>
      <c r="M93" s="58"/>
      <c r="N93" s="58"/>
      <c r="O93" s="58"/>
      <c r="P93" s="58">
        <v>630</v>
      </c>
      <c r="Q93" s="58"/>
      <c r="R93" s="58"/>
      <c r="S93" s="58"/>
      <c r="T93" s="58"/>
      <c r="U93" s="58"/>
      <c r="V93" s="58"/>
      <c r="W93" s="58"/>
      <c r="X93" s="58"/>
      <c r="Y93" s="58"/>
      <c r="Z93" s="58"/>
      <c r="AA93" s="58"/>
      <c r="AB93" s="58">
        <v>450</v>
      </c>
      <c r="AC93" s="58"/>
      <c r="AD93" s="58"/>
      <c r="AE93" s="58"/>
      <c r="AF93" s="58"/>
      <c r="AG93" s="58"/>
      <c r="AH93" s="58"/>
      <c r="AI93" s="58"/>
      <c r="AJ93" s="58"/>
      <c r="AK93" s="58"/>
      <c r="AL93" s="58"/>
      <c r="AM93" s="58"/>
      <c r="AN93" s="58"/>
      <c r="AO93" s="58">
        <v>450</v>
      </c>
      <c r="AP93" s="58"/>
      <c r="AQ93" s="58"/>
      <c r="AR93" s="58"/>
      <c r="AS93" s="58">
        <v>360</v>
      </c>
      <c r="AT93" s="58"/>
      <c r="AU93" s="58"/>
      <c r="AV93" s="58"/>
      <c r="AW93" s="58"/>
      <c r="AX93" s="58"/>
      <c r="AY93" s="58"/>
      <c r="AZ93" s="58"/>
      <c r="BA93" s="58"/>
      <c r="BB93" s="58"/>
      <c r="BC93" s="58"/>
      <c r="BD93" s="58"/>
      <c r="BE93" s="58"/>
      <c r="BF93" s="58"/>
      <c r="BG93" s="58"/>
      <c r="BH93" s="58"/>
      <c r="BI93" s="58"/>
      <c r="BJ93" s="58"/>
      <c r="BK93" s="58"/>
      <c r="BL93" s="58"/>
      <c r="BM93" s="58">
        <v>176.28380799999999</v>
      </c>
      <c r="BN93" s="58"/>
      <c r="BO93" s="58"/>
      <c r="BP93" s="58"/>
      <c r="BQ93" s="58">
        <v>126.795738</v>
      </c>
      <c r="BR93" s="58"/>
      <c r="BS93" s="58"/>
      <c r="BT93" s="58"/>
      <c r="BU93" s="58">
        <v>39.485362000000002</v>
      </c>
      <c r="BV93" s="58"/>
      <c r="BW93" s="58"/>
      <c r="BX93" s="107"/>
      <c r="BY93" s="107"/>
      <c r="BZ93" s="107"/>
      <c r="CA93" s="107"/>
      <c r="CB93" s="107"/>
      <c r="CC93" s="107"/>
      <c r="CD93" s="107"/>
      <c r="CE93" s="107"/>
      <c r="CF93" s="107"/>
      <c r="CG93" s="107"/>
      <c r="CH93" s="107"/>
      <c r="CI93" s="107"/>
      <c r="CJ93" s="107"/>
      <c r="CK93" s="107"/>
      <c r="CL93" s="107"/>
      <c r="CM93" s="107"/>
      <c r="CN93" s="107"/>
      <c r="CO93" s="107"/>
      <c r="CP93" s="107"/>
      <c r="CQ93" s="107"/>
      <c r="CR93" s="107"/>
      <c r="CS93" s="107"/>
      <c r="CT93" s="107"/>
      <c r="CU93" s="107"/>
      <c r="CV93" s="107"/>
      <c r="CW93" s="107"/>
      <c r="CX93" s="107"/>
      <c r="CY93" s="107"/>
      <c r="CZ93" s="107"/>
      <c r="DA93" s="107"/>
      <c r="DB93" s="107"/>
      <c r="DC93" s="107"/>
      <c r="DD93" s="107"/>
      <c r="DE93" s="107"/>
      <c r="DF93" s="107"/>
      <c r="DG93" s="107"/>
      <c r="DH93" s="107"/>
      <c r="DI93" s="107"/>
      <c r="DJ93" s="107"/>
      <c r="DK93" s="107"/>
      <c r="DL93" s="107"/>
      <c r="DM93" s="107"/>
      <c r="DN93" s="107"/>
      <c r="DO93" s="107"/>
      <c r="DP93" s="107"/>
      <c r="DQ93" s="107"/>
      <c r="DR93" s="107"/>
      <c r="DS93" s="107"/>
      <c r="DT93" s="107"/>
      <c r="DU93" s="107"/>
      <c r="DV93" s="107"/>
      <c r="DW93" s="107"/>
      <c r="DX93" s="107"/>
      <c r="DY93" s="107"/>
      <c r="DZ93" s="107"/>
      <c r="EA93" s="107"/>
      <c r="EB93" s="107"/>
      <c r="EC93" s="107"/>
      <c r="ED93" s="107"/>
      <c r="EE93" s="107"/>
      <c r="EF93" s="107"/>
      <c r="EG93" s="107"/>
    </row>
    <row r="94" spans="1:137" x14ac:dyDescent="0.25">
      <c r="A94" s="107"/>
      <c r="B94" s="107"/>
      <c r="C94" s="107"/>
      <c r="D94" s="107"/>
      <c r="E94" s="107"/>
      <c r="F94" s="107"/>
      <c r="G94" s="147" t="str">
        <f>IF(_ibpOfflineCondition_,"000000000000564820-1", _xll.EPMOlapMemberO("[PRDID].[].[000000000000564820-1]","","000000000000564820-1","","000"))</f>
        <v>000000000000564820-1</v>
      </c>
      <c r="H94" s="147" t="str">
        <f>IF(_ibpOfflineCondition_,"FGR+ FIGAROLLPLUS 5/280+40 SCHWARZ BRAAS", _xll.EPMOlapMemberO("[PRDDESCR].[].[FGR+ FIGAROLLPLUS 5/280+40 SCHWARZ BRAAS]","","FGR+ FIGAROLLPLUS 5/280+40 SCHWARZ BRAAS","","000"))</f>
        <v>FGR+ FIGAROLLPLUS 5/280+40 SCHWARZ BRAAS</v>
      </c>
      <c r="I94" s="147" t="str">
        <f>IF(_ibpOfflineCondition_,"X0", _xll.EPMOlapMemberO("[MRPTYPE].[].[X0]","","X0","","000"))</f>
        <v>X0</v>
      </c>
      <c r="J94" s="147" t="str">
        <f>IF(_ibpOfflineCondition_,"Firmed Production Plan (Adjusted by PLT)", _xll.EPMOlapMemberO("[KEY_FIGURES].[].[ZFIRMEDPRODUCTIONPLT]","","Firmed Production Plan (Adjusted by PLT)","","000"))</f>
        <v>Firmed Production Plan (Adjusted by PLT)</v>
      </c>
      <c r="K94" s="80"/>
      <c r="L94" s="79"/>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c r="BM94" s="58"/>
      <c r="BN94" s="58"/>
      <c r="BO94" s="58"/>
      <c r="BP94" s="58"/>
      <c r="BQ94" s="58"/>
      <c r="BR94" s="58"/>
      <c r="BS94" s="58"/>
      <c r="BT94" s="58"/>
      <c r="BU94" s="58"/>
      <c r="BV94" s="58"/>
      <c r="BW94" s="58"/>
      <c r="BX94" s="107"/>
      <c r="BY94" s="107"/>
      <c r="BZ94" s="107"/>
      <c r="CA94" s="107"/>
      <c r="CB94" s="107"/>
      <c r="CC94" s="107"/>
      <c r="CD94" s="107"/>
      <c r="CE94" s="107"/>
      <c r="CF94" s="107"/>
      <c r="CG94" s="107"/>
      <c r="CH94" s="107"/>
      <c r="CI94" s="107"/>
      <c r="CJ94" s="107"/>
      <c r="CK94" s="107"/>
      <c r="CL94" s="107"/>
      <c r="CM94" s="107"/>
      <c r="CN94" s="107"/>
      <c r="CO94" s="107"/>
      <c r="CP94" s="107"/>
      <c r="CQ94" s="107"/>
      <c r="CR94" s="107"/>
      <c r="CS94" s="107"/>
      <c r="CT94" s="107"/>
      <c r="CU94" s="107"/>
      <c r="CV94" s="107"/>
      <c r="CW94" s="107"/>
      <c r="CX94" s="107"/>
      <c r="CY94" s="107"/>
      <c r="CZ94" s="107"/>
      <c r="DA94" s="107"/>
      <c r="DB94" s="107"/>
      <c r="DC94" s="107"/>
      <c r="DD94" s="107"/>
      <c r="DE94" s="107"/>
      <c r="DF94" s="107"/>
      <c r="DG94" s="107"/>
      <c r="DH94" s="107"/>
      <c r="DI94" s="107"/>
      <c r="DJ94" s="107"/>
      <c r="DK94" s="107"/>
      <c r="DL94" s="107"/>
      <c r="DM94" s="107"/>
      <c r="DN94" s="107"/>
      <c r="DO94" s="107"/>
      <c r="DP94" s="107"/>
      <c r="DQ94" s="107"/>
      <c r="DR94" s="107"/>
      <c r="DS94" s="107"/>
      <c r="DT94" s="107"/>
      <c r="DU94" s="107"/>
      <c r="DV94" s="107"/>
      <c r="DW94" s="107"/>
      <c r="DX94" s="107"/>
      <c r="DY94" s="107"/>
      <c r="DZ94" s="107"/>
      <c r="EA94" s="107"/>
      <c r="EB94" s="107"/>
      <c r="EC94" s="107"/>
      <c r="ED94" s="107"/>
      <c r="EE94" s="107"/>
      <c r="EF94" s="107"/>
      <c r="EG94" s="107"/>
    </row>
    <row r="95" spans="1:137" x14ac:dyDescent="0.25">
      <c r="A95" s="107"/>
      <c r="B95" s="107"/>
      <c r="C95" s="107"/>
      <c r="D95" s="107"/>
      <c r="E95" s="107"/>
      <c r="F95" s="107"/>
      <c r="G95" s="147" t="str">
        <f>IF(_ibpOfflineCondition_,"000000000000564820-1", _xll.EPMOlapMemberO("[PRDID].[].[000000000000564820-1]","","000000000000564820-1","","000"))</f>
        <v>000000000000564820-1</v>
      </c>
      <c r="H95" s="147" t="str">
        <f>IF(_ibpOfflineCondition_,"FGR+ FIGAROLLPLUS 5/280+40 SCHWARZ BRAAS", _xll.EPMOlapMemberO("[PRDDESCR].[].[FGR+ FIGAROLLPLUS 5/280+40 SCHWARZ BRAAS]","","FGR+ FIGAROLLPLUS 5/280+40 SCHWARZ BRAAS","","000"))</f>
        <v>FGR+ FIGAROLLPLUS 5/280+40 SCHWARZ BRAAS</v>
      </c>
      <c r="I95" s="147" t="str">
        <f>IF(_ibpOfflineCondition_,"X0", _xll.EPMOlapMemberO("[MRPTYPE].[].[X0]","","X0","","000"))</f>
        <v>X0</v>
      </c>
      <c r="J95" s="147" t="str">
        <f>IF(_ibpOfflineCondition_,"Open Production Orders (Adjusted by PLT)", _xll.EPMOlapMemberO("[KEY_FIGURES].[].[ZOPENPRODUCTIONORDERPLT]","","Open Production Orders (Adjusted by PLT)","","000"))</f>
        <v>Open Production Orders (Adjusted by PLT)</v>
      </c>
      <c r="K95" s="80">
        <v>900</v>
      </c>
      <c r="L95" s="79"/>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c r="BA95" s="58"/>
      <c r="BB95" s="58"/>
      <c r="BC95" s="58"/>
      <c r="BD95" s="58"/>
      <c r="BE95" s="58"/>
      <c r="BF95" s="58"/>
      <c r="BG95" s="58"/>
      <c r="BH95" s="58"/>
      <c r="BI95" s="58"/>
      <c r="BJ95" s="58"/>
      <c r="BK95" s="58"/>
      <c r="BL95" s="58"/>
      <c r="BM95" s="58"/>
      <c r="BN95" s="58"/>
      <c r="BO95" s="58"/>
      <c r="BP95" s="58"/>
      <c r="BQ95" s="58"/>
      <c r="BR95" s="58"/>
      <c r="BS95" s="58"/>
      <c r="BT95" s="58"/>
      <c r="BU95" s="58"/>
      <c r="BV95" s="58"/>
      <c r="BW95" s="58"/>
      <c r="BX95" s="107"/>
      <c r="BY95" s="107"/>
      <c r="BZ95" s="107"/>
      <c r="CA95" s="107"/>
      <c r="CB95" s="107"/>
      <c r="CC95" s="107"/>
      <c r="CD95" s="107"/>
      <c r="CE95" s="107"/>
      <c r="CF95" s="107"/>
      <c r="CG95" s="107"/>
      <c r="CH95" s="107"/>
      <c r="CI95" s="107"/>
      <c r="CJ95" s="107"/>
      <c r="CK95" s="107"/>
      <c r="CL95" s="107"/>
      <c r="CM95" s="107"/>
      <c r="CN95" s="107"/>
      <c r="CO95" s="107"/>
      <c r="CP95" s="107"/>
      <c r="CQ95" s="107"/>
      <c r="CR95" s="107"/>
      <c r="CS95" s="107"/>
      <c r="CT95" s="107"/>
      <c r="CU95" s="107"/>
      <c r="CV95" s="107"/>
      <c r="CW95" s="107"/>
      <c r="CX95" s="107"/>
      <c r="CY95" s="107"/>
      <c r="CZ95" s="107"/>
      <c r="DA95" s="107"/>
      <c r="DB95" s="107"/>
      <c r="DC95" s="107"/>
      <c r="DD95" s="107"/>
      <c r="DE95" s="107"/>
      <c r="DF95" s="107"/>
      <c r="DG95" s="107"/>
      <c r="DH95" s="107"/>
      <c r="DI95" s="107"/>
      <c r="DJ95" s="107"/>
      <c r="DK95" s="107"/>
      <c r="DL95" s="107"/>
      <c r="DM95" s="107"/>
      <c r="DN95" s="107"/>
      <c r="DO95" s="107"/>
      <c r="DP95" s="107"/>
      <c r="DQ95" s="107"/>
      <c r="DR95" s="107"/>
      <c r="DS95" s="107"/>
      <c r="DT95" s="107"/>
      <c r="DU95" s="107"/>
      <c r="DV95" s="107"/>
      <c r="DW95" s="107"/>
      <c r="DX95" s="107"/>
      <c r="DY95" s="107"/>
      <c r="DZ95" s="107"/>
      <c r="EA95" s="107"/>
      <c r="EB95" s="107"/>
      <c r="EC95" s="107"/>
      <c r="ED95" s="107"/>
      <c r="EE95" s="107"/>
      <c r="EF95" s="107"/>
      <c r="EG95" s="107"/>
    </row>
    <row r="96" spans="1:137" x14ac:dyDescent="0.25">
      <c r="A96" s="107"/>
      <c r="B96" s="107"/>
      <c r="C96" s="107"/>
      <c r="D96" s="107"/>
      <c r="E96" s="107"/>
      <c r="F96" s="107"/>
      <c r="G96" s="147" t="str">
        <f>IF(_ibpOfflineCondition_,"000000000000564820-1", _xll.EPMOlapMemberO("[PRDID].[].[000000000000564820-1]","","000000000000564820-1","","000"))</f>
        <v>000000000000564820-1</v>
      </c>
      <c r="H96" s="147" t="str">
        <f>IF(_ibpOfflineCondition_,"FGR+ FIGAROLLPLUS 5/280+40 SCHWARZ BRAAS", _xll.EPMOlapMemberO("[PRDDESCR].[].[FGR+ FIGAROLLPLUS 5/280+40 SCHWARZ BRAAS]","","FGR+ FIGAROLLPLUS 5/280+40 SCHWARZ BRAAS","","000"))</f>
        <v>FGR+ FIGAROLLPLUS 5/280+40 SCHWARZ BRAAS</v>
      </c>
      <c r="I96" s="147" t="str">
        <f>IF(_ibpOfflineCondition_,"X0", _xll.EPMOlapMemberO("[MRPTYPE].[].[X0]","","X0","","000"))</f>
        <v>X0</v>
      </c>
      <c r="J96" s="147" t="str">
        <f>IF(_ibpOfflineCondition_,"Total Open Production Receipts(Adjusted by PLT)", _xll.EPMOlapMemberO("[KEY_FIGURES].[].[ZTOTALOPENPRODUCTIONPLT]","","Total Open Production Receipts(Adjusted by PLT)","","000"))</f>
        <v>Total Open Production Receipts(Adjusted by PLT)</v>
      </c>
      <c r="K96" s="80">
        <v>900</v>
      </c>
      <c r="L96" s="79"/>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c r="BA96" s="58"/>
      <c r="BB96" s="58"/>
      <c r="BC96" s="58"/>
      <c r="BD96" s="58"/>
      <c r="BE96" s="58"/>
      <c r="BF96" s="58"/>
      <c r="BG96" s="58"/>
      <c r="BH96" s="58"/>
      <c r="BI96" s="58"/>
      <c r="BJ96" s="58"/>
      <c r="BK96" s="58"/>
      <c r="BL96" s="58"/>
      <c r="BM96" s="58"/>
      <c r="BN96" s="58"/>
      <c r="BO96" s="58"/>
      <c r="BP96" s="58"/>
      <c r="BQ96" s="58"/>
      <c r="BR96" s="58"/>
      <c r="BS96" s="58"/>
      <c r="BT96" s="58"/>
      <c r="BU96" s="58"/>
      <c r="BV96" s="58"/>
      <c r="BW96" s="58"/>
      <c r="BX96" s="107"/>
      <c r="BY96" s="107"/>
      <c r="BZ96" s="107"/>
      <c r="CA96" s="107"/>
      <c r="CB96" s="107"/>
      <c r="CC96" s="107"/>
      <c r="CD96" s="107"/>
      <c r="CE96" s="107"/>
      <c r="CF96" s="107"/>
      <c r="CG96" s="107"/>
      <c r="CH96" s="107"/>
      <c r="CI96" s="107"/>
      <c r="CJ96" s="107"/>
      <c r="CK96" s="107"/>
      <c r="CL96" s="107"/>
      <c r="CM96" s="107"/>
      <c r="CN96" s="107"/>
      <c r="CO96" s="107"/>
      <c r="CP96" s="107"/>
      <c r="CQ96" s="107"/>
      <c r="CR96" s="107"/>
      <c r="CS96" s="107"/>
      <c r="CT96" s="107"/>
      <c r="CU96" s="107"/>
      <c r="CV96" s="107"/>
      <c r="CW96" s="107"/>
      <c r="CX96" s="107"/>
      <c r="CY96" s="107"/>
      <c r="CZ96" s="107"/>
      <c r="DA96" s="107"/>
      <c r="DB96" s="107"/>
      <c r="DC96" s="107"/>
      <c r="DD96" s="107"/>
      <c r="DE96" s="107"/>
      <c r="DF96" s="107"/>
      <c r="DG96" s="107"/>
      <c r="DH96" s="107"/>
      <c r="DI96" s="107"/>
      <c r="DJ96" s="107"/>
      <c r="DK96" s="107"/>
      <c r="DL96" s="107"/>
      <c r="DM96" s="107"/>
      <c r="DN96" s="107"/>
      <c r="DO96" s="107"/>
      <c r="DP96" s="107"/>
      <c r="DQ96" s="107"/>
      <c r="DR96" s="107"/>
      <c r="DS96" s="107"/>
      <c r="DT96" s="107"/>
      <c r="DU96" s="107"/>
      <c r="DV96" s="107"/>
      <c r="DW96" s="107"/>
      <c r="DX96" s="107"/>
      <c r="DY96" s="107"/>
      <c r="DZ96" s="107"/>
      <c r="EA96" s="107"/>
      <c r="EB96" s="107"/>
      <c r="EC96" s="107"/>
      <c r="ED96" s="107"/>
      <c r="EE96" s="107"/>
      <c r="EF96" s="107"/>
      <c r="EG96" s="107"/>
    </row>
    <row r="97" spans="1:137" x14ac:dyDescent="0.25">
      <c r="A97" s="107"/>
      <c r="B97" s="107"/>
      <c r="C97" s="107"/>
      <c r="D97" s="107"/>
      <c r="E97" s="107"/>
      <c r="F97" s="107"/>
      <c r="G97" s="147" t="str">
        <f>IF(_ibpOfflineCondition_,"000000000000564820-1", _xll.EPMOlapMemberO("[PRDID].[].[000000000000564820-1]","","000000000000564820-1","","000"))</f>
        <v>000000000000564820-1</v>
      </c>
      <c r="H97" s="147" t="str">
        <f>IF(_ibpOfflineCondition_,"FGR+ FIGAROLLPLUS 5/280+40 SCHWARZ BRAAS", _xll.EPMOlapMemberO("[PRDDESCR].[].[FGR+ FIGAROLLPLUS 5/280+40 SCHWARZ BRAAS]","","FGR+ FIGAROLLPLUS 5/280+40 SCHWARZ BRAAS","","000"))</f>
        <v>FGR+ FIGAROLLPLUS 5/280+40 SCHWARZ BRAAS</v>
      </c>
      <c r="I97" s="147" t="str">
        <f>IF(_ibpOfflineCondition_,"X0", _xll.EPMOlapMemberO("[MRPTYPE].[].[X0]","","X0","","000"))</f>
        <v>X0</v>
      </c>
      <c r="J97" s="147" t="str">
        <f>IF(_ibpOfflineCondition_,"Production Receipt (Adjusted by PLT)", _xll.EPMOlapMemberO("[KEY_FIGURES].[].[ZPRODUCTIONSUPPLY]","","Production Receipt (Adjusted by PLT)","","000"))</f>
        <v>Production Receipt (Adjusted by PLT)</v>
      </c>
      <c r="K97" s="80">
        <v>900</v>
      </c>
      <c r="L97" s="79"/>
      <c r="M97" s="58"/>
      <c r="N97" s="58"/>
      <c r="O97" s="58"/>
      <c r="P97" s="58"/>
      <c r="Q97" s="58"/>
      <c r="R97" s="58"/>
      <c r="S97" s="58"/>
      <c r="T97" s="58">
        <v>540</v>
      </c>
      <c r="U97" s="58"/>
      <c r="V97" s="58"/>
      <c r="W97" s="58"/>
      <c r="X97" s="58">
        <v>450</v>
      </c>
      <c r="Y97" s="58"/>
      <c r="Z97" s="58"/>
      <c r="AA97" s="58">
        <v>360</v>
      </c>
      <c r="AB97" s="58">
        <v>360</v>
      </c>
      <c r="AC97" s="58"/>
      <c r="AD97" s="58"/>
      <c r="AE97" s="58">
        <v>540</v>
      </c>
      <c r="AF97" s="58"/>
      <c r="AG97" s="58"/>
      <c r="AH97" s="58"/>
      <c r="AI97" s="58">
        <v>810</v>
      </c>
      <c r="AJ97" s="58"/>
      <c r="AK97" s="58"/>
      <c r="AL97" s="58">
        <v>720</v>
      </c>
      <c r="AM97" s="58"/>
      <c r="AN97" s="58"/>
      <c r="AO97" s="58"/>
      <c r="AP97" s="58">
        <v>720</v>
      </c>
      <c r="AQ97" s="58"/>
      <c r="AR97" s="58"/>
      <c r="AS97" s="58"/>
      <c r="AT97" s="58">
        <v>630</v>
      </c>
      <c r="AU97" s="58"/>
      <c r="AV97" s="58"/>
      <c r="AW97" s="58"/>
      <c r="AX97" s="58"/>
      <c r="AY97" s="58"/>
      <c r="AZ97" s="58"/>
      <c r="BA97" s="58"/>
      <c r="BB97" s="58">
        <v>360</v>
      </c>
      <c r="BC97" s="58">
        <v>630</v>
      </c>
      <c r="BD97" s="58"/>
      <c r="BE97" s="58"/>
      <c r="BF97" s="58"/>
      <c r="BG97" s="58"/>
      <c r="BH97" s="58"/>
      <c r="BI97" s="58"/>
      <c r="BJ97" s="58"/>
      <c r="BK97" s="58"/>
      <c r="BL97" s="58">
        <v>107.025193</v>
      </c>
      <c r="BM97" s="58">
        <v>625.45806200000004</v>
      </c>
      <c r="BN97" s="58"/>
      <c r="BO97" s="58"/>
      <c r="BP97" s="58"/>
      <c r="BQ97" s="58">
        <v>417.96397100000002</v>
      </c>
      <c r="BR97" s="58"/>
      <c r="BS97" s="58"/>
      <c r="BT97" s="58"/>
      <c r="BU97" s="58">
        <v>373.09105199999999</v>
      </c>
      <c r="BV97" s="58"/>
      <c r="BW97" s="58"/>
      <c r="BX97" s="107"/>
      <c r="BY97" s="107"/>
      <c r="BZ97" s="107"/>
      <c r="CA97" s="107"/>
      <c r="CB97" s="107"/>
      <c r="CC97" s="107"/>
      <c r="CD97" s="107"/>
      <c r="CE97" s="107"/>
      <c r="CF97" s="107"/>
      <c r="CG97" s="107"/>
      <c r="CH97" s="107"/>
      <c r="CI97" s="107"/>
      <c r="CJ97" s="107"/>
      <c r="CK97" s="107"/>
      <c r="CL97" s="107"/>
      <c r="CM97" s="107"/>
      <c r="CN97" s="107"/>
      <c r="CO97" s="107"/>
      <c r="CP97" s="107"/>
      <c r="CQ97" s="107"/>
      <c r="CR97" s="107"/>
      <c r="CS97" s="107"/>
      <c r="CT97" s="107"/>
      <c r="CU97" s="107"/>
      <c r="CV97" s="107"/>
      <c r="CW97" s="107"/>
      <c r="CX97" s="107"/>
      <c r="CY97" s="107"/>
      <c r="CZ97" s="107"/>
      <c r="DA97" s="107"/>
      <c r="DB97" s="107"/>
      <c r="DC97" s="107"/>
      <c r="DD97" s="107"/>
      <c r="DE97" s="107"/>
      <c r="DF97" s="107"/>
      <c r="DG97" s="107"/>
      <c r="DH97" s="107"/>
      <c r="DI97" s="107"/>
      <c r="DJ97" s="107"/>
      <c r="DK97" s="107"/>
      <c r="DL97" s="107"/>
      <c r="DM97" s="107"/>
      <c r="DN97" s="107"/>
      <c r="DO97" s="107"/>
      <c r="DP97" s="107"/>
      <c r="DQ97" s="107"/>
      <c r="DR97" s="107"/>
      <c r="DS97" s="107"/>
      <c r="DT97" s="107"/>
      <c r="DU97" s="107"/>
      <c r="DV97" s="107"/>
      <c r="DW97" s="107"/>
      <c r="DX97" s="107"/>
      <c r="DY97" s="107"/>
      <c r="DZ97" s="107"/>
      <c r="EA97" s="107"/>
      <c r="EB97" s="107"/>
      <c r="EC97" s="107"/>
      <c r="ED97" s="107"/>
      <c r="EE97" s="107"/>
      <c r="EF97" s="107"/>
      <c r="EG97" s="107"/>
    </row>
    <row r="98" spans="1:137" x14ac:dyDescent="0.25">
      <c r="A98" s="107"/>
      <c r="B98" s="107"/>
      <c r="C98" s="107"/>
      <c r="D98" s="107"/>
      <c r="E98" s="107"/>
      <c r="F98" s="107"/>
      <c r="G98" s="147" t="str">
        <f>IF(_ibpOfflineCondition_,"000000000000573601-1", _xll.EPMOlapMemberO("[PRDID].[].[000000000000573601-1]","","000000000000573601-1","","000"))</f>
        <v>000000000000573601-1</v>
      </c>
      <c r="H98" s="147" t="str">
        <f>IF(_ibpOfflineCondition_,"FGR+ FIGAROLLPLUS 10/280+40 BRAUN PL", _xll.EPMOlapMemberO("[PRDDESCR].[].[FGR+ FIGAROLLPLUS 10/280+40 BRAUN PL]","","FGR+ FIGAROLLPLUS 10/280+40 BRAUN PL","","000"))</f>
        <v>FGR+ FIGAROLLPLUS 10/280+40 BRAUN PL</v>
      </c>
      <c r="I98" s="147" t="str">
        <f>IF(_ibpOfflineCondition_,"X7", _xll.EPMOlapMemberO("[MRPTYPE].[].[X7]","","X7","","000"))</f>
        <v>X7</v>
      </c>
      <c r="J98" s="147" t="str">
        <f>IF(_ibpOfflineCondition_,"Firmed Production Plan (Adjusted by PLT)", _xll.EPMOlapMemberO("[KEY_FIGURES].[].[ZFIRMEDPRODUCTIONPLT]","","Firmed Production Plan (Adjusted by PLT)","","000"))</f>
        <v>Firmed Production Plan (Adjusted by PLT)</v>
      </c>
      <c r="K98" s="80"/>
      <c r="L98" s="79"/>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c r="BA98" s="58"/>
      <c r="BB98" s="58"/>
      <c r="BC98" s="58"/>
      <c r="BD98" s="58"/>
      <c r="BE98" s="58"/>
      <c r="BF98" s="58"/>
      <c r="BG98" s="58"/>
      <c r="BH98" s="58"/>
      <c r="BI98" s="58"/>
      <c r="BJ98" s="58"/>
      <c r="BK98" s="58"/>
      <c r="BL98" s="58"/>
      <c r="BM98" s="58"/>
      <c r="BN98" s="58"/>
      <c r="BO98" s="58"/>
      <c r="BP98" s="58"/>
      <c r="BQ98" s="58"/>
      <c r="BR98" s="58"/>
      <c r="BS98" s="58"/>
      <c r="BT98" s="58"/>
      <c r="BU98" s="58"/>
      <c r="BV98" s="58"/>
      <c r="BW98" s="58"/>
      <c r="BX98" s="107"/>
      <c r="BY98" s="107"/>
      <c r="BZ98" s="107"/>
      <c r="CA98" s="107"/>
      <c r="CB98" s="107"/>
      <c r="CC98" s="107"/>
      <c r="CD98" s="107"/>
      <c r="CE98" s="107"/>
      <c r="CF98" s="107"/>
      <c r="CG98" s="107"/>
      <c r="CH98" s="107"/>
      <c r="CI98" s="107"/>
      <c r="CJ98" s="107"/>
      <c r="CK98" s="107"/>
      <c r="CL98" s="107"/>
      <c r="CM98" s="107"/>
      <c r="CN98" s="107"/>
      <c r="CO98" s="107"/>
      <c r="CP98" s="107"/>
      <c r="CQ98" s="107"/>
      <c r="CR98" s="107"/>
      <c r="CS98" s="107"/>
      <c r="CT98" s="107"/>
      <c r="CU98" s="107"/>
      <c r="CV98" s="107"/>
      <c r="CW98" s="107"/>
      <c r="CX98" s="107"/>
      <c r="CY98" s="107"/>
      <c r="CZ98" s="107"/>
      <c r="DA98" s="107"/>
      <c r="DB98" s="107"/>
      <c r="DC98" s="107"/>
      <c r="DD98" s="107"/>
      <c r="DE98" s="107"/>
      <c r="DF98" s="107"/>
      <c r="DG98" s="107"/>
      <c r="DH98" s="107"/>
      <c r="DI98" s="107"/>
      <c r="DJ98" s="107"/>
      <c r="DK98" s="107"/>
      <c r="DL98" s="107"/>
      <c r="DM98" s="107"/>
      <c r="DN98" s="107"/>
      <c r="DO98" s="107"/>
      <c r="DP98" s="107"/>
      <c r="DQ98" s="107"/>
      <c r="DR98" s="107"/>
      <c r="DS98" s="107"/>
      <c r="DT98" s="107"/>
      <c r="DU98" s="107"/>
      <c r="DV98" s="107"/>
      <c r="DW98" s="107"/>
      <c r="DX98" s="107"/>
      <c r="DY98" s="107"/>
      <c r="DZ98" s="107"/>
      <c r="EA98" s="107"/>
      <c r="EB98" s="107"/>
      <c r="EC98" s="107"/>
      <c r="ED98" s="107"/>
      <c r="EE98" s="107"/>
      <c r="EF98" s="107"/>
      <c r="EG98" s="107"/>
    </row>
    <row r="99" spans="1:137" x14ac:dyDescent="0.25">
      <c r="A99" s="107"/>
      <c r="B99" s="107"/>
      <c r="C99" s="107"/>
      <c r="D99" s="107"/>
      <c r="E99" s="107"/>
      <c r="F99" s="107"/>
      <c r="G99" s="147" t="str">
        <f>IF(_ibpOfflineCondition_,"000000000000573601-1", _xll.EPMOlapMemberO("[PRDID].[].[000000000000573601-1]","","000000000000573601-1","","000"))</f>
        <v>000000000000573601-1</v>
      </c>
      <c r="H99" s="147" t="str">
        <f>IF(_ibpOfflineCondition_,"FGR+ FIGAROLLPLUS 10/280+40 BRAUN PL", _xll.EPMOlapMemberO("[PRDDESCR].[].[FGR+ FIGAROLLPLUS 10/280+40 BRAUN PL]","","FGR+ FIGAROLLPLUS 10/280+40 BRAUN PL","","000"))</f>
        <v>FGR+ FIGAROLLPLUS 10/280+40 BRAUN PL</v>
      </c>
      <c r="I99" s="147" t="str">
        <f>IF(_ibpOfflineCondition_,"X7", _xll.EPMOlapMemberO("[MRPTYPE].[].[X7]","","X7","","000"))</f>
        <v>X7</v>
      </c>
      <c r="J99" s="147" t="str">
        <f>IF(_ibpOfflineCondition_,"Open Production Orders (Adjusted by PLT)", _xll.EPMOlapMemberO("[KEY_FIGURES].[].[ZOPENPRODUCTIONORDERPLT]","","Open Production Orders (Adjusted by PLT)","","000"))</f>
        <v>Open Production Orders (Adjusted by PLT)</v>
      </c>
      <c r="K99" s="80"/>
      <c r="L99" s="79"/>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c r="BA99" s="58"/>
      <c r="BB99" s="58"/>
      <c r="BC99" s="58"/>
      <c r="BD99" s="58"/>
      <c r="BE99" s="58"/>
      <c r="BF99" s="58"/>
      <c r="BG99" s="58"/>
      <c r="BH99" s="58"/>
      <c r="BI99" s="58"/>
      <c r="BJ99" s="58"/>
      <c r="BK99" s="58"/>
      <c r="BL99" s="58"/>
      <c r="BM99" s="58"/>
      <c r="BN99" s="58"/>
      <c r="BO99" s="58"/>
      <c r="BP99" s="58"/>
      <c r="BQ99" s="58"/>
      <c r="BR99" s="58"/>
      <c r="BS99" s="58"/>
      <c r="BT99" s="58"/>
      <c r="BU99" s="58"/>
      <c r="BV99" s="58"/>
      <c r="BW99" s="58"/>
      <c r="BX99" s="107"/>
      <c r="BY99" s="107"/>
      <c r="BZ99" s="107"/>
      <c r="CA99" s="107"/>
      <c r="CB99" s="107"/>
      <c r="CC99" s="107"/>
      <c r="CD99" s="107"/>
      <c r="CE99" s="107"/>
      <c r="CF99" s="107"/>
      <c r="CG99" s="107"/>
      <c r="CH99" s="107"/>
      <c r="CI99" s="107"/>
      <c r="CJ99" s="107"/>
      <c r="CK99" s="107"/>
      <c r="CL99" s="107"/>
      <c r="CM99" s="107"/>
      <c r="CN99" s="107"/>
      <c r="CO99" s="107"/>
      <c r="CP99" s="107"/>
      <c r="CQ99" s="107"/>
      <c r="CR99" s="107"/>
      <c r="CS99" s="107"/>
      <c r="CT99" s="107"/>
      <c r="CU99" s="107"/>
      <c r="CV99" s="107"/>
      <c r="CW99" s="107"/>
      <c r="CX99" s="107"/>
      <c r="CY99" s="107"/>
      <c r="CZ99" s="107"/>
      <c r="DA99" s="107"/>
      <c r="DB99" s="107"/>
      <c r="DC99" s="107"/>
      <c r="DD99" s="107"/>
      <c r="DE99" s="107"/>
      <c r="DF99" s="107"/>
      <c r="DG99" s="107"/>
      <c r="DH99" s="107"/>
      <c r="DI99" s="107"/>
      <c r="DJ99" s="107"/>
      <c r="DK99" s="107"/>
      <c r="DL99" s="107"/>
      <c r="DM99" s="107"/>
      <c r="DN99" s="107"/>
      <c r="DO99" s="107"/>
      <c r="DP99" s="107"/>
      <c r="DQ99" s="107"/>
      <c r="DR99" s="107"/>
      <c r="DS99" s="107"/>
      <c r="DT99" s="107"/>
      <c r="DU99" s="107"/>
      <c r="DV99" s="107"/>
      <c r="DW99" s="107"/>
      <c r="DX99" s="107"/>
      <c r="DY99" s="107"/>
      <c r="DZ99" s="107"/>
      <c r="EA99" s="107"/>
      <c r="EB99" s="107"/>
      <c r="EC99" s="107"/>
      <c r="ED99" s="107"/>
      <c r="EE99" s="107"/>
      <c r="EF99" s="107"/>
      <c r="EG99" s="107"/>
    </row>
    <row r="100" spans="1:137" x14ac:dyDescent="0.25">
      <c r="A100" s="107"/>
      <c r="B100" s="107"/>
      <c r="C100" s="107"/>
      <c r="D100" s="107"/>
      <c r="E100" s="107"/>
      <c r="F100" s="107"/>
      <c r="G100" s="147" t="str">
        <f>IF(_ibpOfflineCondition_,"000000000000573601-1", _xll.EPMOlapMemberO("[PRDID].[].[000000000000573601-1]","","000000000000573601-1","","000"))</f>
        <v>000000000000573601-1</v>
      </c>
      <c r="H100" s="147" t="str">
        <f>IF(_ibpOfflineCondition_,"FGR+ FIGAROLLPLUS 10/280+40 BRAUN PL", _xll.EPMOlapMemberO("[PRDDESCR].[].[FGR+ FIGAROLLPLUS 10/280+40 BRAUN PL]","","FGR+ FIGAROLLPLUS 10/280+40 BRAUN PL","","000"))</f>
        <v>FGR+ FIGAROLLPLUS 10/280+40 BRAUN PL</v>
      </c>
      <c r="I100" s="147" t="str">
        <f>IF(_ibpOfflineCondition_,"X7", _xll.EPMOlapMemberO("[MRPTYPE].[].[X7]","","X7","","000"))</f>
        <v>X7</v>
      </c>
      <c r="J100" s="147" t="str">
        <f>IF(_ibpOfflineCondition_,"Total Open Production Receipts(Adjusted by PLT)", _xll.EPMOlapMemberO("[KEY_FIGURES].[].[ZTOTALOPENPRODUCTIONPLT]","","Total Open Production Receipts(Adjusted by PLT)","","000"))</f>
        <v>Total Open Production Receipts(Adjusted by PLT)</v>
      </c>
      <c r="K100" s="80"/>
      <c r="L100" s="79"/>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c r="BA100" s="58"/>
      <c r="BB100" s="58"/>
      <c r="BC100" s="58"/>
      <c r="BD100" s="58"/>
      <c r="BE100" s="58"/>
      <c r="BF100" s="58"/>
      <c r="BG100" s="58"/>
      <c r="BH100" s="58"/>
      <c r="BI100" s="58"/>
      <c r="BJ100" s="58"/>
      <c r="BK100" s="58"/>
      <c r="BL100" s="58"/>
      <c r="BM100" s="58"/>
      <c r="BN100" s="58"/>
      <c r="BO100" s="58"/>
      <c r="BP100" s="58"/>
      <c r="BQ100" s="58"/>
      <c r="BR100" s="58"/>
      <c r="BS100" s="58"/>
      <c r="BT100" s="58"/>
      <c r="BU100" s="58"/>
      <c r="BV100" s="58"/>
      <c r="BW100" s="58"/>
      <c r="BX100" s="107"/>
      <c r="BY100" s="107"/>
      <c r="BZ100" s="107"/>
      <c r="CA100" s="107"/>
      <c r="CB100" s="107"/>
      <c r="CC100" s="107"/>
      <c r="CD100" s="107"/>
      <c r="CE100" s="107"/>
      <c r="CF100" s="107"/>
      <c r="CG100" s="107"/>
      <c r="CH100" s="107"/>
      <c r="CI100" s="107"/>
      <c r="CJ100" s="107"/>
      <c r="CK100" s="107"/>
      <c r="CL100" s="107"/>
      <c r="CM100" s="107"/>
      <c r="CN100" s="107"/>
      <c r="CO100" s="107"/>
      <c r="CP100" s="107"/>
      <c r="CQ100" s="107"/>
      <c r="CR100" s="107"/>
      <c r="CS100" s="107"/>
      <c r="CT100" s="107"/>
      <c r="CU100" s="107"/>
      <c r="CV100" s="107"/>
      <c r="CW100" s="107"/>
      <c r="CX100" s="107"/>
      <c r="CY100" s="107"/>
      <c r="CZ100" s="107"/>
      <c r="DA100" s="107"/>
      <c r="DB100" s="107"/>
      <c r="DC100" s="107"/>
      <c r="DD100" s="107"/>
      <c r="DE100" s="107"/>
      <c r="DF100" s="107"/>
      <c r="DG100" s="107"/>
      <c r="DH100" s="107"/>
      <c r="DI100" s="107"/>
      <c r="DJ100" s="107"/>
      <c r="DK100" s="107"/>
      <c r="DL100" s="107"/>
      <c r="DM100" s="107"/>
      <c r="DN100" s="107"/>
      <c r="DO100" s="107"/>
      <c r="DP100" s="107"/>
      <c r="DQ100" s="107"/>
      <c r="DR100" s="107"/>
      <c r="DS100" s="107"/>
      <c r="DT100" s="107"/>
      <c r="DU100" s="107"/>
      <c r="DV100" s="107"/>
      <c r="DW100" s="107"/>
      <c r="DX100" s="107"/>
      <c r="DY100" s="107"/>
      <c r="DZ100" s="107"/>
      <c r="EA100" s="107"/>
      <c r="EB100" s="107"/>
      <c r="EC100" s="107"/>
      <c r="ED100" s="107"/>
      <c r="EE100" s="107"/>
      <c r="EF100" s="107"/>
      <c r="EG100" s="107"/>
    </row>
    <row r="101" spans="1:137" x14ac:dyDescent="0.25">
      <c r="A101" s="107"/>
      <c r="B101" s="107"/>
      <c r="C101" s="107"/>
      <c r="D101" s="107"/>
      <c r="E101" s="107"/>
      <c r="F101" s="107"/>
      <c r="G101" s="147" t="str">
        <f>IF(_ibpOfflineCondition_,"000000000000573601-1", _xll.EPMOlapMemberO("[PRDID].[].[000000000000573601-1]","","000000000000573601-1","","000"))</f>
        <v>000000000000573601-1</v>
      </c>
      <c r="H101" s="147" t="str">
        <f>IF(_ibpOfflineCondition_,"FGR+ FIGAROLLPLUS 10/280+40 BRAUN PL", _xll.EPMOlapMemberO("[PRDDESCR].[].[FGR+ FIGAROLLPLUS 10/280+40 BRAUN PL]","","FGR+ FIGAROLLPLUS 10/280+40 BRAUN PL","","000"))</f>
        <v>FGR+ FIGAROLLPLUS 10/280+40 BRAUN PL</v>
      </c>
      <c r="I101" s="147" t="str">
        <f>IF(_ibpOfflineCondition_,"X7", _xll.EPMOlapMemberO("[MRPTYPE].[].[X7]","","X7","","000"))</f>
        <v>X7</v>
      </c>
      <c r="J101" s="147" t="str">
        <f>IF(_ibpOfflineCondition_,"Production Receipt (Adjusted by PLT)", _xll.EPMOlapMemberO("[KEY_FIGURES].[].[ZPRODUCTIONSUPPLY]","","Production Receipt (Adjusted by PLT)","","000"))</f>
        <v>Production Receipt (Adjusted by PLT)</v>
      </c>
      <c r="K101" s="80"/>
      <c r="L101" s="79"/>
      <c r="M101" s="58">
        <v>90</v>
      </c>
      <c r="N101" s="58"/>
      <c r="O101" s="58"/>
      <c r="P101" s="58"/>
      <c r="Q101" s="58"/>
      <c r="R101" s="58"/>
      <c r="S101" s="58"/>
      <c r="T101" s="58"/>
      <c r="U101" s="58"/>
      <c r="V101" s="58"/>
      <c r="W101" s="58">
        <v>90</v>
      </c>
      <c r="X101" s="58"/>
      <c r="Y101" s="58"/>
      <c r="Z101" s="58"/>
      <c r="AA101" s="58"/>
      <c r="AB101" s="58">
        <v>90</v>
      </c>
      <c r="AC101" s="58"/>
      <c r="AD101" s="58"/>
      <c r="AE101" s="58"/>
      <c r="AF101" s="58">
        <v>90</v>
      </c>
      <c r="AG101" s="58"/>
      <c r="AH101" s="58"/>
      <c r="AI101" s="58">
        <v>270</v>
      </c>
      <c r="AJ101" s="58"/>
      <c r="AK101" s="58"/>
      <c r="AL101" s="58"/>
      <c r="AM101" s="58"/>
      <c r="AN101" s="58"/>
      <c r="AO101" s="58">
        <v>90</v>
      </c>
      <c r="AP101" s="58">
        <v>90</v>
      </c>
      <c r="AQ101" s="58"/>
      <c r="AR101" s="58"/>
      <c r="AS101" s="58">
        <v>90</v>
      </c>
      <c r="AT101" s="58"/>
      <c r="AU101" s="58"/>
      <c r="AV101" s="58"/>
      <c r="AW101" s="58">
        <v>90</v>
      </c>
      <c r="AX101" s="58"/>
      <c r="AY101" s="58"/>
      <c r="AZ101" s="58"/>
      <c r="BA101" s="58"/>
      <c r="BB101" s="58"/>
      <c r="BC101" s="58">
        <v>180</v>
      </c>
      <c r="BD101" s="58"/>
      <c r="BE101" s="58"/>
      <c r="BF101" s="58"/>
      <c r="BG101" s="58"/>
      <c r="BH101" s="58">
        <v>180</v>
      </c>
      <c r="BI101" s="58"/>
      <c r="BJ101" s="58"/>
      <c r="BK101" s="58"/>
      <c r="BL101" s="58"/>
      <c r="BM101" s="58">
        <v>180</v>
      </c>
      <c r="BN101" s="58"/>
      <c r="BO101" s="58"/>
      <c r="BP101" s="58"/>
      <c r="BQ101" s="58">
        <v>90</v>
      </c>
      <c r="BR101" s="58"/>
      <c r="BS101" s="58"/>
      <c r="BT101" s="58"/>
      <c r="BU101" s="58"/>
      <c r="BV101" s="58"/>
      <c r="BW101" s="58"/>
      <c r="BX101" s="107"/>
      <c r="BY101" s="107"/>
      <c r="BZ101" s="107"/>
      <c r="CA101" s="107"/>
      <c r="CB101" s="107"/>
      <c r="CC101" s="107"/>
      <c r="CD101" s="107"/>
      <c r="CE101" s="107"/>
      <c r="CF101" s="107"/>
      <c r="CG101" s="107"/>
      <c r="CH101" s="107"/>
      <c r="CI101" s="107"/>
      <c r="CJ101" s="107"/>
      <c r="CK101" s="107"/>
      <c r="CL101" s="107"/>
      <c r="CM101" s="107"/>
      <c r="CN101" s="107"/>
      <c r="CO101" s="107"/>
      <c r="CP101" s="107"/>
      <c r="CQ101" s="107"/>
      <c r="CR101" s="107"/>
      <c r="CS101" s="107"/>
      <c r="CT101" s="107"/>
      <c r="CU101" s="107"/>
      <c r="CV101" s="107"/>
      <c r="CW101" s="107"/>
      <c r="CX101" s="107"/>
      <c r="CY101" s="107"/>
      <c r="CZ101" s="107"/>
      <c r="DA101" s="107"/>
      <c r="DB101" s="107"/>
      <c r="DC101" s="107"/>
      <c r="DD101" s="107"/>
      <c r="DE101" s="107"/>
      <c r="DF101" s="107"/>
      <c r="DG101" s="107"/>
      <c r="DH101" s="107"/>
      <c r="DI101" s="107"/>
      <c r="DJ101" s="107"/>
      <c r="DK101" s="107"/>
      <c r="DL101" s="107"/>
      <c r="DM101" s="107"/>
      <c r="DN101" s="107"/>
      <c r="DO101" s="107"/>
      <c r="DP101" s="107"/>
      <c r="DQ101" s="107"/>
      <c r="DR101" s="107"/>
      <c r="DS101" s="107"/>
      <c r="DT101" s="107"/>
      <c r="DU101" s="107"/>
      <c r="DV101" s="107"/>
      <c r="DW101" s="107"/>
      <c r="DX101" s="107"/>
      <c r="DY101" s="107"/>
      <c r="DZ101" s="107"/>
      <c r="EA101" s="107"/>
      <c r="EB101" s="107"/>
      <c r="EC101" s="107"/>
      <c r="ED101" s="107"/>
      <c r="EE101" s="107"/>
      <c r="EF101" s="107"/>
      <c r="EG101" s="107"/>
    </row>
    <row r="102" spans="1:137" x14ac:dyDescent="0.25">
      <c r="A102" s="107"/>
      <c r="B102" s="107"/>
      <c r="C102" s="107"/>
      <c r="D102" s="107"/>
      <c r="E102" s="107"/>
      <c r="F102" s="107"/>
      <c r="G102" s="147" t="str">
        <f>IF(_ibpOfflineCondition_,"000000000000573602-1", _xll.EPMOlapMemberO("[PRDID].[].[000000000000573602-1]","","000000000000573602-1","","000"))</f>
        <v>000000000000573602-1</v>
      </c>
      <c r="H102" s="147" t="str">
        <f>IF(_ibpOfflineCondition_,"FGR+ FIGAROLLPLUS 10/280+40 ANTHR PL", _xll.EPMOlapMemberO("[PRDDESCR].[].[FGR+ FIGAROLLPLUS 10/280+40 ANTHR PL]","","FGR+ FIGAROLLPLUS 10/280+40 ANTHR PL","","000"))</f>
        <v>FGR+ FIGAROLLPLUS 10/280+40 ANTHR PL</v>
      </c>
      <c r="I102" s="147" t="str">
        <f>IF(_ibpOfflineCondition_,"X0", _xll.EPMOlapMemberO("[MRPTYPE].[].[X0]","","X0","","000"))</f>
        <v>X0</v>
      </c>
      <c r="J102" s="147" t="str">
        <f>IF(_ibpOfflineCondition_,"Firmed Production Plan (Adjusted by PLT)", _xll.EPMOlapMemberO("[KEY_FIGURES].[].[ZFIRMEDPRODUCTIONPLT]","","Firmed Production Plan (Adjusted by PLT)","","000"))</f>
        <v>Firmed Production Plan (Adjusted by PLT)</v>
      </c>
      <c r="K102" s="80"/>
      <c r="L102" s="79"/>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c r="BA102" s="58"/>
      <c r="BB102" s="58"/>
      <c r="BC102" s="58"/>
      <c r="BD102" s="58"/>
      <c r="BE102" s="58"/>
      <c r="BF102" s="58"/>
      <c r="BG102" s="58"/>
      <c r="BH102" s="58"/>
      <c r="BI102" s="58"/>
      <c r="BJ102" s="58"/>
      <c r="BK102" s="58"/>
      <c r="BL102" s="58"/>
      <c r="BM102" s="58"/>
      <c r="BN102" s="58"/>
      <c r="BO102" s="58"/>
      <c r="BP102" s="58"/>
      <c r="BQ102" s="58"/>
      <c r="BR102" s="58"/>
      <c r="BS102" s="58"/>
      <c r="BT102" s="58"/>
      <c r="BU102" s="58"/>
      <c r="BV102" s="58"/>
      <c r="BW102" s="58"/>
      <c r="BX102" s="107"/>
      <c r="BY102" s="107"/>
      <c r="BZ102" s="107"/>
      <c r="CA102" s="107"/>
      <c r="CB102" s="107"/>
      <c r="CC102" s="107"/>
      <c r="CD102" s="107"/>
      <c r="CE102" s="107"/>
      <c r="CF102" s="107"/>
      <c r="CG102" s="107"/>
      <c r="CH102" s="107"/>
      <c r="CI102" s="107"/>
      <c r="CJ102" s="107"/>
      <c r="CK102" s="107"/>
      <c r="CL102" s="107"/>
      <c r="CM102" s="107"/>
      <c r="CN102" s="107"/>
      <c r="CO102" s="107"/>
      <c r="CP102" s="107"/>
      <c r="CQ102" s="107"/>
      <c r="CR102" s="107"/>
      <c r="CS102" s="107"/>
      <c r="CT102" s="107"/>
      <c r="CU102" s="107"/>
      <c r="CV102" s="107"/>
      <c r="CW102" s="107"/>
      <c r="CX102" s="107"/>
      <c r="CY102" s="107"/>
      <c r="CZ102" s="107"/>
      <c r="DA102" s="107"/>
      <c r="DB102" s="107"/>
      <c r="DC102" s="107"/>
      <c r="DD102" s="107"/>
      <c r="DE102" s="107"/>
      <c r="DF102" s="107"/>
      <c r="DG102" s="107"/>
      <c r="DH102" s="107"/>
      <c r="DI102" s="107"/>
      <c r="DJ102" s="107"/>
      <c r="DK102" s="107"/>
      <c r="DL102" s="107"/>
      <c r="DM102" s="107"/>
      <c r="DN102" s="107"/>
      <c r="DO102" s="107"/>
      <c r="DP102" s="107"/>
      <c r="DQ102" s="107"/>
      <c r="DR102" s="107"/>
      <c r="DS102" s="107"/>
      <c r="DT102" s="107"/>
      <c r="DU102" s="107"/>
      <c r="DV102" s="107"/>
      <c r="DW102" s="107"/>
      <c r="DX102" s="107"/>
      <c r="DY102" s="107"/>
      <c r="DZ102" s="107"/>
      <c r="EA102" s="107"/>
      <c r="EB102" s="107"/>
      <c r="EC102" s="107"/>
      <c r="ED102" s="107"/>
      <c r="EE102" s="107"/>
      <c r="EF102" s="107"/>
      <c r="EG102" s="107"/>
    </row>
    <row r="103" spans="1:137" x14ac:dyDescent="0.25">
      <c r="A103" s="107"/>
      <c r="B103" s="107"/>
      <c r="C103" s="107"/>
      <c r="D103" s="107"/>
      <c r="E103" s="107"/>
      <c r="F103" s="107"/>
      <c r="G103" s="147" t="str">
        <f>IF(_ibpOfflineCondition_,"000000000000573602-1", _xll.EPMOlapMemberO("[PRDID].[].[000000000000573602-1]","","000000000000573602-1","","000"))</f>
        <v>000000000000573602-1</v>
      </c>
      <c r="H103" s="147" t="str">
        <f>IF(_ibpOfflineCondition_,"FGR+ FIGAROLLPLUS 10/280+40 ANTHR PL", _xll.EPMOlapMemberO("[PRDDESCR].[].[FGR+ FIGAROLLPLUS 10/280+40 ANTHR PL]","","FGR+ FIGAROLLPLUS 10/280+40 ANTHR PL","","000"))</f>
        <v>FGR+ FIGAROLLPLUS 10/280+40 ANTHR PL</v>
      </c>
      <c r="I103" s="147" t="str">
        <f>IF(_ibpOfflineCondition_,"X0", _xll.EPMOlapMemberO("[MRPTYPE].[].[X0]","","X0","","000"))</f>
        <v>X0</v>
      </c>
      <c r="J103" s="147" t="str">
        <f>IF(_ibpOfflineCondition_,"Open Production Orders (Adjusted by PLT)", _xll.EPMOlapMemberO("[KEY_FIGURES].[].[ZOPENPRODUCTIONORDERPLT]","","Open Production Orders (Adjusted by PLT)","","000"))</f>
        <v>Open Production Orders (Adjusted by PLT)</v>
      </c>
      <c r="K103" s="80">
        <v>3060</v>
      </c>
      <c r="L103" s="79"/>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c r="BA103" s="58"/>
      <c r="BB103" s="58"/>
      <c r="BC103" s="58"/>
      <c r="BD103" s="58"/>
      <c r="BE103" s="58"/>
      <c r="BF103" s="58"/>
      <c r="BG103" s="58"/>
      <c r="BH103" s="58"/>
      <c r="BI103" s="58"/>
      <c r="BJ103" s="58"/>
      <c r="BK103" s="58"/>
      <c r="BL103" s="58"/>
      <c r="BM103" s="58"/>
      <c r="BN103" s="58"/>
      <c r="BO103" s="58"/>
      <c r="BP103" s="58"/>
      <c r="BQ103" s="58"/>
      <c r="BR103" s="58"/>
      <c r="BS103" s="58"/>
      <c r="BT103" s="58"/>
      <c r="BU103" s="58"/>
      <c r="BV103" s="58"/>
      <c r="BW103" s="58"/>
      <c r="BX103" s="107"/>
      <c r="BY103" s="107"/>
      <c r="BZ103" s="107"/>
      <c r="CA103" s="107"/>
      <c r="CB103" s="107"/>
      <c r="CC103" s="107"/>
      <c r="CD103" s="107"/>
      <c r="CE103" s="107"/>
      <c r="CF103" s="107"/>
      <c r="CG103" s="107"/>
      <c r="CH103" s="107"/>
      <c r="CI103" s="107"/>
      <c r="CJ103" s="107"/>
      <c r="CK103" s="107"/>
      <c r="CL103" s="107"/>
      <c r="CM103" s="107"/>
      <c r="CN103" s="107"/>
      <c r="CO103" s="107"/>
      <c r="CP103" s="107"/>
      <c r="CQ103" s="107"/>
      <c r="CR103" s="107"/>
      <c r="CS103" s="107"/>
      <c r="CT103" s="107"/>
      <c r="CU103" s="107"/>
      <c r="CV103" s="107"/>
      <c r="CW103" s="107"/>
      <c r="CX103" s="107"/>
      <c r="CY103" s="107"/>
      <c r="CZ103" s="107"/>
      <c r="DA103" s="107"/>
      <c r="DB103" s="107"/>
      <c r="DC103" s="107"/>
      <c r="DD103" s="107"/>
      <c r="DE103" s="107"/>
      <c r="DF103" s="107"/>
      <c r="DG103" s="107"/>
      <c r="DH103" s="107"/>
      <c r="DI103" s="107"/>
      <c r="DJ103" s="107"/>
      <c r="DK103" s="107"/>
      <c r="DL103" s="107"/>
      <c r="DM103" s="107"/>
      <c r="DN103" s="107"/>
      <c r="DO103" s="107"/>
      <c r="DP103" s="107"/>
      <c r="DQ103" s="107"/>
      <c r="DR103" s="107"/>
      <c r="DS103" s="107"/>
      <c r="DT103" s="107"/>
      <c r="DU103" s="107"/>
      <c r="DV103" s="107"/>
      <c r="DW103" s="107"/>
      <c r="DX103" s="107"/>
      <c r="DY103" s="107"/>
      <c r="DZ103" s="107"/>
      <c r="EA103" s="107"/>
      <c r="EB103" s="107"/>
      <c r="EC103" s="107"/>
      <c r="ED103" s="107"/>
      <c r="EE103" s="107"/>
      <c r="EF103" s="107"/>
      <c r="EG103" s="107"/>
    </row>
    <row r="104" spans="1:137" x14ac:dyDescent="0.25">
      <c r="A104" s="107"/>
      <c r="B104" s="107"/>
      <c r="C104" s="107"/>
      <c r="D104" s="107"/>
      <c r="E104" s="107"/>
      <c r="F104" s="107"/>
      <c r="G104" s="147" t="str">
        <f>IF(_ibpOfflineCondition_,"000000000000573602-1", _xll.EPMOlapMemberO("[PRDID].[].[000000000000573602-1]","","000000000000573602-1","","000"))</f>
        <v>000000000000573602-1</v>
      </c>
      <c r="H104" s="147" t="str">
        <f>IF(_ibpOfflineCondition_,"FGR+ FIGAROLLPLUS 10/280+40 ANTHR PL", _xll.EPMOlapMemberO("[PRDDESCR].[].[FGR+ FIGAROLLPLUS 10/280+40 ANTHR PL]","","FGR+ FIGAROLLPLUS 10/280+40 ANTHR PL","","000"))</f>
        <v>FGR+ FIGAROLLPLUS 10/280+40 ANTHR PL</v>
      </c>
      <c r="I104" s="147" t="str">
        <f>IF(_ibpOfflineCondition_,"X0", _xll.EPMOlapMemberO("[MRPTYPE].[].[X0]","","X0","","000"))</f>
        <v>X0</v>
      </c>
      <c r="J104" s="147" t="str">
        <f>IF(_ibpOfflineCondition_,"Total Open Production Receipts(Adjusted by PLT)", _xll.EPMOlapMemberO("[KEY_FIGURES].[].[ZTOTALOPENPRODUCTIONPLT]","","Total Open Production Receipts(Adjusted by PLT)","","000"))</f>
        <v>Total Open Production Receipts(Adjusted by PLT)</v>
      </c>
      <c r="K104" s="80">
        <v>3060</v>
      </c>
      <c r="L104" s="79"/>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c r="BA104" s="58"/>
      <c r="BB104" s="58"/>
      <c r="BC104" s="58"/>
      <c r="BD104" s="58"/>
      <c r="BE104" s="58"/>
      <c r="BF104" s="58"/>
      <c r="BG104" s="58"/>
      <c r="BH104" s="58"/>
      <c r="BI104" s="58"/>
      <c r="BJ104" s="58"/>
      <c r="BK104" s="58"/>
      <c r="BL104" s="58"/>
      <c r="BM104" s="58"/>
      <c r="BN104" s="58"/>
      <c r="BO104" s="58"/>
      <c r="BP104" s="58"/>
      <c r="BQ104" s="58"/>
      <c r="BR104" s="58"/>
      <c r="BS104" s="58"/>
      <c r="BT104" s="58"/>
      <c r="BU104" s="58"/>
      <c r="BV104" s="58"/>
      <c r="BW104" s="58"/>
      <c r="BX104" s="107"/>
      <c r="BY104" s="107"/>
      <c r="BZ104" s="107"/>
      <c r="CA104" s="107"/>
      <c r="CB104" s="107"/>
      <c r="CC104" s="107"/>
      <c r="CD104" s="107"/>
      <c r="CE104" s="107"/>
      <c r="CF104" s="107"/>
      <c r="CG104" s="107"/>
      <c r="CH104" s="107"/>
      <c r="CI104" s="107"/>
      <c r="CJ104" s="107"/>
      <c r="CK104" s="107"/>
      <c r="CL104" s="107"/>
      <c r="CM104" s="107"/>
      <c r="CN104" s="107"/>
      <c r="CO104" s="107"/>
      <c r="CP104" s="107"/>
      <c r="CQ104" s="107"/>
      <c r="CR104" s="107"/>
      <c r="CS104" s="107"/>
      <c r="CT104" s="107"/>
      <c r="CU104" s="107"/>
      <c r="CV104" s="107"/>
      <c r="CW104" s="107"/>
      <c r="CX104" s="107"/>
      <c r="CY104" s="107"/>
      <c r="CZ104" s="107"/>
      <c r="DA104" s="107"/>
      <c r="DB104" s="107"/>
      <c r="DC104" s="107"/>
      <c r="DD104" s="107"/>
      <c r="DE104" s="107"/>
      <c r="DF104" s="107"/>
      <c r="DG104" s="107"/>
      <c r="DH104" s="107"/>
      <c r="DI104" s="107"/>
      <c r="DJ104" s="107"/>
      <c r="DK104" s="107"/>
      <c r="DL104" s="107"/>
      <c r="DM104" s="107"/>
      <c r="DN104" s="107"/>
      <c r="DO104" s="107"/>
      <c r="DP104" s="107"/>
      <c r="DQ104" s="107"/>
      <c r="DR104" s="107"/>
      <c r="DS104" s="107"/>
      <c r="DT104" s="107"/>
      <c r="DU104" s="107"/>
      <c r="DV104" s="107"/>
      <c r="DW104" s="107"/>
      <c r="DX104" s="107"/>
      <c r="DY104" s="107"/>
      <c r="DZ104" s="107"/>
      <c r="EA104" s="107"/>
      <c r="EB104" s="107"/>
      <c r="EC104" s="107"/>
      <c r="ED104" s="107"/>
      <c r="EE104" s="107"/>
      <c r="EF104" s="107"/>
      <c r="EG104" s="107"/>
    </row>
    <row r="105" spans="1:137" x14ac:dyDescent="0.25">
      <c r="A105" s="107"/>
      <c r="B105" s="107"/>
      <c r="C105" s="107"/>
      <c r="D105" s="107"/>
      <c r="E105" s="107"/>
      <c r="F105" s="107"/>
      <c r="G105" s="147" t="str">
        <f>IF(_ibpOfflineCondition_,"000000000000573602-1", _xll.EPMOlapMemberO("[PRDID].[].[000000000000573602-1]","","000000000000573602-1","","000"))</f>
        <v>000000000000573602-1</v>
      </c>
      <c r="H105" s="147" t="str">
        <f>IF(_ibpOfflineCondition_,"FGR+ FIGAROLLPLUS 10/280+40 ANTHR PL", _xll.EPMOlapMemberO("[PRDDESCR].[].[FGR+ FIGAROLLPLUS 10/280+40 ANTHR PL]","","FGR+ FIGAROLLPLUS 10/280+40 ANTHR PL","","000"))</f>
        <v>FGR+ FIGAROLLPLUS 10/280+40 ANTHR PL</v>
      </c>
      <c r="I105" s="147" t="str">
        <f>IF(_ibpOfflineCondition_,"X0", _xll.EPMOlapMemberO("[MRPTYPE].[].[X0]","","X0","","000"))</f>
        <v>X0</v>
      </c>
      <c r="J105" s="147" t="str">
        <f>IF(_ibpOfflineCondition_,"Production Receipt (Adjusted by PLT)", _xll.EPMOlapMemberO("[KEY_FIGURES].[].[ZPRODUCTIONSUPPLY]","","Production Receipt (Adjusted by PLT)","","000"))</f>
        <v>Production Receipt (Adjusted by PLT)</v>
      </c>
      <c r="K105" s="80">
        <v>3060</v>
      </c>
      <c r="L105" s="79"/>
      <c r="M105" s="58">
        <v>1935</v>
      </c>
      <c r="N105" s="58"/>
      <c r="O105" s="58"/>
      <c r="P105" s="58"/>
      <c r="Q105" s="58"/>
      <c r="R105" s="58"/>
      <c r="S105" s="58"/>
      <c r="T105" s="58"/>
      <c r="U105" s="58"/>
      <c r="V105" s="58"/>
      <c r="W105" s="58">
        <v>900</v>
      </c>
      <c r="X105" s="58"/>
      <c r="Y105" s="58"/>
      <c r="Z105" s="58"/>
      <c r="AA105" s="58"/>
      <c r="AB105" s="58">
        <v>1080</v>
      </c>
      <c r="AC105" s="58"/>
      <c r="AD105" s="58"/>
      <c r="AE105" s="58">
        <v>90</v>
      </c>
      <c r="AF105" s="58">
        <v>3285</v>
      </c>
      <c r="AG105" s="58"/>
      <c r="AH105" s="58"/>
      <c r="AI105" s="58"/>
      <c r="AJ105" s="58"/>
      <c r="AK105" s="58"/>
      <c r="AL105" s="58">
        <v>1845</v>
      </c>
      <c r="AM105" s="58"/>
      <c r="AN105" s="58"/>
      <c r="AO105" s="58">
        <v>315</v>
      </c>
      <c r="AP105" s="58">
        <v>2925</v>
      </c>
      <c r="AQ105" s="58"/>
      <c r="AR105" s="58"/>
      <c r="AS105" s="58"/>
      <c r="AT105" s="58">
        <v>3825</v>
      </c>
      <c r="AU105" s="58"/>
      <c r="AV105" s="58"/>
      <c r="AW105" s="58">
        <v>90</v>
      </c>
      <c r="AX105" s="58">
        <v>720</v>
      </c>
      <c r="AY105" s="58"/>
      <c r="AZ105" s="58"/>
      <c r="BA105" s="58"/>
      <c r="BB105" s="58"/>
      <c r="BC105" s="58"/>
      <c r="BD105" s="58"/>
      <c r="BE105" s="58"/>
      <c r="BF105" s="58"/>
      <c r="BG105" s="58"/>
      <c r="BH105" s="58"/>
      <c r="BI105" s="58"/>
      <c r="BJ105" s="58"/>
      <c r="BK105" s="58"/>
      <c r="BL105" s="58">
        <v>498</v>
      </c>
      <c r="BM105" s="58">
        <v>540</v>
      </c>
      <c r="BN105" s="58"/>
      <c r="BO105" s="58"/>
      <c r="BP105" s="58"/>
      <c r="BQ105" s="58">
        <v>540</v>
      </c>
      <c r="BR105" s="58"/>
      <c r="BS105" s="58"/>
      <c r="BT105" s="58"/>
      <c r="BU105" s="58">
        <v>540</v>
      </c>
      <c r="BV105" s="58"/>
      <c r="BW105" s="58"/>
      <c r="BX105" s="107"/>
      <c r="BY105" s="107"/>
      <c r="BZ105" s="107"/>
      <c r="CA105" s="107"/>
      <c r="CB105" s="107"/>
      <c r="CC105" s="107"/>
      <c r="CD105" s="107"/>
      <c r="CE105" s="107"/>
      <c r="CF105" s="107"/>
      <c r="CG105" s="107"/>
      <c r="CH105" s="107"/>
      <c r="CI105" s="107"/>
      <c r="CJ105" s="107"/>
      <c r="CK105" s="107"/>
      <c r="CL105" s="107"/>
      <c r="CM105" s="107"/>
      <c r="CN105" s="107"/>
      <c r="CO105" s="107"/>
      <c r="CP105" s="107"/>
      <c r="CQ105" s="107"/>
      <c r="CR105" s="107"/>
      <c r="CS105" s="107"/>
      <c r="CT105" s="107"/>
      <c r="CU105" s="107"/>
      <c r="CV105" s="107"/>
      <c r="CW105" s="107"/>
      <c r="CX105" s="107"/>
      <c r="CY105" s="107"/>
      <c r="CZ105" s="107"/>
      <c r="DA105" s="107"/>
      <c r="DB105" s="107"/>
      <c r="DC105" s="107"/>
      <c r="DD105" s="107"/>
      <c r="DE105" s="107"/>
      <c r="DF105" s="107"/>
      <c r="DG105" s="107"/>
      <c r="DH105" s="107"/>
      <c r="DI105" s="107"/>
      <c r="DJ105" s="107"/>
      <c r="DK105" s="107"/>
      <c r="DL105" s="107"/>
      <c r="DM105" s="107"/>
      <c r="DN105" s="107"/>
      <c r="DO105" s="107"/>
      <c r="DP105" s="107"/>
      <c r="DQ105" s="107"/>
      <c r="DR105" s="107"/>
      <c r="DS105" s="107"/>
      <c r="DT105" s="107"/>
      <c r="DU105" s="107"/>
      <c r="DV105" s="107"/>
      <c r="DW105" s="107"/>
      <c r="DX105" s="107"/>
      <c r="DY105" s="107"/>
      <c r="DZ105" s="107"/>
      <c r="EA105" s="107"/>
      <c r="EB105" s="107"/>
      <c r="EC105" s="107"/>
      <c r="ED105" s="107"/>
      <c r="EE105" s="107"/>
      <c r="EF105" s="107"/>
      <c r="EG105" s="107"/>
    </row>
    <row r="106" spans="1:137" x14ac:dyDescent="0.25">
      <c r="A106" s="107"/>
      <c r="B106" s="107"/>
      <c r="C106" s="107"/>
      <c r="D106" s="107"/>
      <c r="E106" s="107"/>
      <c r="F106" s="107"/>
      <c r="G106" s="147" t="str">
        <f>IF(_ibpOfflineCondition_,"000000000000573603-1", _xll.EPMOlapMemberO("[PRDID].[].[000000000000573603-1]","","000000000000573603-1","","000"))</f>
        <v>000000000000573603-1</v>
      </c>
      <c r="H106" s="147" t="str">
        <f>IF(_ibpOfflineCondition_,"FGR+ FIGAROLLPLUS 10/280+40 ROT PL", _xll.EPMOlapMemberO("[PRDDESCR].[].[FGR+ FIGAROLLPLUS 10/280+40 ROT PL]","","FGR+ FIGAROLLPLUS 10/280+40 ROT PL","","000"))</f>
        <v>FGR+ FIGAROLLPLUS 10/280+40 ROT PL</v>
      </c>
      <c r="I106" s="147" t="str">
        <f>IF(_ibpOfflineCondition_,"X7", _xll.EPMOlapMemberO("[MRPTYPE].[].[X7]","","X7","","000"))</f>
        <v>X7</v>
      </c>
      <c r="J106" s="147" t="str">
        <f>IF(_ibpOfflineCondition_,"Firmed Production Plan (Adjusted by PLT)", _xll.EPMOlapMemberO("[KEY_FIGURES].[].[ZFIRMEDPRODUCTIONPLT]","","Firmed Production Plan (Adjusted by PLT)","","000"))</f>
        <v>Firmed Production Plan (Adjusted by PLT)</v>
      </c>
      <c r="K106" s="80"/>
      <c r="L106" s="79"/>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c r="BA106" s="58"/>
      <c r="BB106" s="58"/>
      <c r="BC106" s="58"/>
      <c r="BD106" s="58"/>
      <c r="BE106" s="58"/>
      <c r="BF106" s="58"/>
      <c r="BG106" s="58"/>
      <c r="BH106" s="58"/>
      <c r="BI106" s="58"/>
      <c r="BJ106" s="58"/>
      <c r="BK106" s="58"/>
      <c r="BL106" s="58"/>
      <c r="BM106" s="58"/>
      <c r="BN106" s="58"/>
      <c r="BO106" s="58"/>
      <c r="BP106" s="58"/>
      <c r="BQ106" s="58"/>
      <c r="BR106" s="58"/>
      <c r="BS106" s="58"/>
      <c r="BT106" s="58"/>
      <c r="BU106" s="58"/>
      <c r="BV106" s="58"/>
      <c r="BW106" s="58"/>
      <c r="BX106" s="107"/>
      <c r="BY106" s="107"/>
      <c r="BZ106" s="107"/>
      <c r="CA106" s="107"/>
      <c r="CB106" s="107"/>
      <c r="CC106" s="107"/>
      <c r="CD106" s="107"/>
      <c r="CE106" s="107"/>
      <c r="CF106" s="107"/>
      <c r="CG106" s="107"/>
      <c r="CH106" s="107"/>
      <c r="CI106" s="107"/>
      <c r="CJ106" s="107"/>
      <c r="CK106" s="107"/>
      <c r="CL106" s="107"/>
      <c r="CM106" s="107"/>
      <c r="CN106" s="107"/>
      <c r="CO106" s="107"/>
      <c r="CP106" s="107"/>
      <c r="CQ106" s="107"/>
      <c r="CR106" s="107"/>
      <c r="CS106" s="107"/>
      <c r="CT106" s="107"/>
      <c r="CU106" s="107"/>
      <c r="CV106" s="107"/>
      <c r="CW106" s="107"/>
      <c r="CX106" s="107"/>
      <c r="CY106" s="107"/>
      <c r="CZ106" s="107"/>
      <c r="DA106" s="107"/>
      <c r="DB106" s="107"/>
      <c r="DC106" s="107"/>
      <c r="DD106" s="107"/>
      <c r="DE106" s="107"/>
      <c r="DF106" s="107"/>
      <c r="DG106" s="107"/>
      <c r="DH106" s="107"/>
      <c r="DI106" s="107"/>
      <c r="DJ106" s="107"/>
      <c r="DK106" s="107"/>
      <c r="DL106" s="107"/>
      <c r="DM106" s="107"/>
      <c r="DN106" s="107"/>
      <c r="DO106" s="107"/>
      <c r="DP106" s="107"/>
      <c r="DQ106" s="107"/>
      <c r="DR106" s="107"/>
      <c r="DS106" s="107"/>
      <c r="DT106" s="107"/>
      <c r="DU106" s="107"/>
      <c r="DV106" s="107"/>
      <c r="DW106" s="107"/>
      <c r="DX106" s="107"/>
      <c r="DY106" s="107"/>
      <c r="DZ106" s="107"/>
      <c r="EA106" s="107"/>
      <c r="EB106" s="107"/>
      <c r="EC106" s="107"/>
      <c r="ED106" s="107"/>
      <c r="EE106" s="107"/>
      <c r="EF106" s="107"/>
      <c r="EG106" s="107"/>
    </row>
    <row r="107" spans="1:137" x14ac:dyDescent="0.25">
      <c r="A107" s="107"/>
      <c r="B107" s="107"/>
      <c r="C107" s="107"/>
      <c r="D107" s="107"/>
      <c r="E107" s="107"/>
      <c r="F107" s="107"/>
      <c r="G107" s="147" t="str">
        <f>IF(_ibpOfflineCondition_,"000000000000573603-1", _xll.EPMOlapMemberO("[PRDID].[].[000000000000573603-1]","","000000000000573603-1","","000"))</f>
        <v>000000000000573603-1</v>
      </c>
      <c r="H107" s="147" t="str">
        <f>IF(_ibpOfflineCondition_,"FGR+ FIGAROLLPLUS 10/280+40 ROT PL", _xll.EPMOlapMemberO("[PRDDESCR].[].[FGR+ FIGAROLLPLUS 10/280+40 ROT PL]","","FGR+ FIGAROLLPLUS 10/280+40 ROT PL","","000"))</f>
        <v>FGR+ FIGAROLLPLUS 10/280+40 ROT PL</v>
      </c>
      <c r="I107" s="147" t="str">
        <f>IF(_ibpOfflineCondition_,"X7", _xll.EPMOlapMemberO("[MRPTYPE].[].[X7]","","X7","","000"))</f>
        <v>X7</v>
      </c>
      <c r="J107" s="147" t="str">
        <f>IF(_ibpOfflineCondition_,"Open Production Orders (Adjusted by PLT)", _xll.EPMOlapMemberO("[KEY_FIGURES].[].[ZOPENPRODUCTIONORDERPLT]","","Open Production Orders (Adjusted by PLT)","","000"))</f>
        <v>Open Production Orders (Adjusted by PLT)</v>
      </c>
      <c r="K107" s="80"/>
      <c r="L107" s="79"/>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c r="BA107" s="58"/>
      <c r="BB107" s="58"/>
      <c r="BC107" s="58"/>
      <c r="BD107" s="58"/>
      <c r="BE107" s="58"/>
      <c r="BF107" s="58"/>
      <c r="BG107" s="58"/>
      <c r="BH107" s="58"/>
      <c r="BI107" s="58"/>
      <c r="BJ107" s="58"/>
      <c r="BK107" s="58"/>
      <c r="BL107" s="58"/>
      <c r="BM107" s="58"/>
      <c r="BN107" s="58"/>
      <c r="BO107" s="58"/>
      <c r="BP107" s="58"/>
      <c r="BQ107" s="58"/>
      <c r="BR107" s="58"/>
      <c r="BS107" s="58"/>
      <c r="BT107" s="58"/>
      <c r="BU107" s="58"/>
      <c r="BV107" s="58"/>
      <c r="BW107" s="58"/>
      <c r="BX107" s="107"/>
      <c r="BY107" s="107"/>
      <c r="BZ107" s="107"/>
      <c r="CA107" s="107"/>
      <c r="CB107" s="107"/>
      <c r="CC107" s="107"/>
      <c r="CD107" s="107"/>
      <c r="CE107" s="107"/>
      <c r="CF107" s="107"/>
      <c r="CG107" s="107"/>
      <c r="CH107" s="107"/>
      <c r="CI107" s="107"/>
      <c r="CJ107" s="107"/>
      <c r="CK107" s="107"/>
      <c r="CL107" s="107"/>
      <c r="CM107" s="107"/>
      <c r="CN107" s="107"/>
      <c r="CO107" s="107"/>
      <c r="CP107" s="107"/>
      <c r="CQ107" s="107"/>
      <c r="CR107" s="107"/>
      <c r="CS107" s="107"/>
      <c r="CT107" s="107"/>
      <c r="CU107" s="107"/>
      <c r="CV107" s="107"/>
      <c r="CW107" s="107"/>
      <c r="CX107" s="107"/>
      <c r="CY107" s="107"/>
      <c r="CZ107" s="107"/>
      <c r="DA107" s="107"/>
      <c r="DB107" s="107"/>
      <c r="DC107" s="107"/>
      <c r="DD107" s="107"/>
      <c r="DE107" s="107"/>
      <c r="DF107" s="107"/>
      <c r="DG107" s="107"/>
      <c r="DH107" s="107"/>
      <c r="DI107" s="107"/>
      <c r="DJ107" s="107"/>
      <c r="DK107" s="107"/>
      <c r="DL107" s="107"/>
      <c r="DM107" s="107"/>
      <c r="DN107" s="107"/>
      <c r="DO107" s="107"/>
      <c r="DP107" s="107"/>
      <c r="DQ107" s="107"/>
      <c r="DR107" s="107"/>
      <c r="DS107" s="107"/>
      <c r="DT107" s="107"/>
      <c r="DU107" s="107"/>
      <c r="DV107" s="107"/>
      <c r="DW107" s="107"/>
      <c r="DX107" s="107"/>
      <c r="DY107" s="107"/>
      <c r="DZ107" s="107"/>
      <c r="EA107" s="107"/>
      <c r="EB107" s="107"/>
      <c r="EC107" s="107"/>
      <c r="ED107" s="107"/>
      <c r="EE107" s="107"/>
      <c r="EF107" s="107"/>
      <c r="EG107" s="107"/>
    </row>
    <row r="108" spans="1:137" x14ac:dyDescent="0.25">
      <c r="A108" s="107"/>
      <c r="B108" s="107"/>
      <c r="C108" s="107"/>
      <c r="D108" s="107"/>
      <c r="E108" s="107"/>
      <c r="F108" s="107"/>
      <c r="G108" s="147" t="str">
        <f>IF(_ibpOfflineCondition_,"000000000000573603-1", _xll.EPMOlapMemberO("[PRDID].[].[000000000000573603-1]","","000000000000573603-1","","000"))</f>
        <v>000000000000573603-1</v>
      </c>
      <c r="H108" s="147" t="str">
        <f>IF(_ibpOfflineCondition_,"FGR+ FIGAROLLPLUS 10/280+40 ROT PL", _xll.EPMOlapMemberO("[PRDDESCR].[].[FGR+ FIGAROLLPLUS 10/280+40 ROT PL]","","FGR+ FIGAROLLPLUS 10/280+40 ROT PL","","000"))</f>
        <v>FGR+ FIGAROLLPLUS 10/280+40 ROT PL</v>
      </c>
      <c r="I108" s="147" t="str">
        <f>IF(_ibpOfflineCondition_,"X7", _xll.EPMOlapMemberO("[MRPTYPE].[].[X7]","","X7","","000"))</f>
        <v>X7</v>
      </c>
      <c r="J108" s="147" t="str">
        <f>IF(_ibpOfflineCondition_,"Total Open Production Receipts(Adjusted by PLT)", _xll.EPMOlapMemberO("[KEY_FIGURES].[].[ZTOTALOPENPRODUCTIONPLT]","","Total Open Production Receipts(Adjusted by PLT)","","000"))</f>
        <v>Total Open Production Receipts(Adjusted by PLT)</v>
      </c>
      <c r="K108" s="80"/>
      <c r="L108" s="79"/>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c r="BA108" s="58"/>
      <c r="BB108" s="58"/>
      <c r="BC108" s="58"/>
      <c r="BD108" s="58"/>
      <c r="BE108" s="58"/>
      <c r="BF108" s="58"/>
      <c r="BG108" s="58"/>
      <c r="BH108" s="58"/>
      <c r="BI108" s="58"/>
      <c r="BJ108" s="58"/>
      <c r="BK108" s="58"/>
      <c r="BL108" s="58"/>
      <c r="BM108" s="58"/>
      <c r="BN108" s="58"/>
      <c r="BO108" s="58"/>
      <c r="BP108" s="58"/>
      <c r="BQ108" s="58"/>
      <c r="BR108" s="58"/>
      <c r="BS108" s="58"/>
      <c r="BT108" s="58"/>
      <c r="BU108" s="58"/>
      <c r="BV108" s="58"/>
      <c r="BW108" s="58"/>
      <c r="BX108" s="107"/>
      <c r="BY108" s="107"/>
      <c r="BZ108" s="107"/>
      <c r="CA108" s="107"/>
      <c r="CB108" s="107"/>
      <c r="CC108" s="107"/>
      <c r="CD108" s="107"/>
      <c r="CE108" s="107"/>
      <c r="CF108" s="107"/>
      <c r="CG108" s="107"/>
      <c r="CH108" s="107"/>
      <c r="CI108" s="107"/>
      <c r="CJ108" s="107"/>
      <c r="CK108" s="107"/>
      <c r="CL108" s="107"/>
      <c r="CM108" s="107"/>
      <c r="CN108" s="107"/>
      <c r="CO108" s="107"/>
      <c r="CP108" s="107"/>
      <c r="CQ108" s="107"/>
      <c r="CR108" s="107"/>
      <c r="CS108" s="107"/>
      <c r="CT108" s="107"/>
      <c r="CU108" s="107"/>
      <c r="CV108" s="107"/>
      <c r="CW108" s="107"/>
      <c r="CX108" s="107"/>
      <c r="CY108" s="107"/>
      <c r="CZ108" s="107"/>
      <c r="DA108" s="107"/>
      <c r="DB108" s="107"/>
      <c r="DC108" s="107"/>
      <c r="DD108" s="107"/>
      <c r="DE108" s="107"/>
      <c r="DF108" s="107"/>
      <c r="DG108" s="107"/>
      <c r="DH108" s="107"/>
      <c r="DI108" s="107"/>
      <c r="DJ108" s="107"/>
      <c r="DK108" s="107"/>
      <c r="DL108" s="107"/>
      <c r="DM108" s="107"/>
      <c r="DN108" s="107"/>
      <c r="DO108" s="107"/>
      <c r="DP108" s="107"/>
      <c r="DQ108" s="107"/>
      <c r="DR108" s="107"/>
      <c r="DS108" s="107"/>
      <c r="DT108" s="107"/>
      <c r="DU108" s="107"/>
      <c r="DV108" s="107"/>
      <c r="DW108" s="107"/>
      <c r="DX108" s="107"/>
      <c r="DY108" s="107"/>
      <c r="DZ108" s="107"/>
      <c r="EA108" s="107"/>
      <c r="EB108" s="107"/>
      <c r="EC108" s="107"/>
      <c r="ED108" s="107"/>
      <c r="EE108" s="107"/>
      <c r="EF108" s="107"/>
      <c r="EG108" s="107"/>
    </row>
    <row r="109" spans="1:137" x14ac:dyDescent="0.25">
      <c r="A109" s="107"/>
      <c r="B109" s="107"/>
      <c r="C109" s="107"/>
      <c r="D109" s="107"/>
      <c r="E109" s="107"/>
      <c r="F109" s="107"/>
      <c r="G109" s="147" t="str">
        <f>IF(_ibpOfflineCondition_,"000000000000573603-1", _xll.EPMOlapMemberO("[PRDID].[].[000000000000573603-1]","","000000000000573603-1","","000"))</f>
        <v>000000000000573603-1</v>
      </c>
      <c r="H109" s="147" t="str">
        <f>IF(_ibpOfflineCondition_,"FGR+ FIGAROLLPLUS 10/280+40 ROT PL", _xll.EPMOlapMemberO("[PRDDESCR].[].[FGR+ FIGAROLLPLUS 10/280+40 ROT PL]","","FGR+ FIGAROLLPLUS 10/280+40 ROT PL","","000"))</f>
        <v>FGR+ FIGAROLLPLUS 10/280+40 ROT PL</v>
      </c>
      <c r="I109" s="147" t="str">
        <f>IF(_ibpOfflineCondition_,"X7", _xll.EPMOlapMemberO("[MRPTYPE].[].[X7]","","X7","","000"))</f>
        <v>X7</v>
      </c>
      <c r="J109" s="147" t="str">
        <f>IF(_ibpOfflineCondition_,"Production Receipt (Adjusted by PLT)", _xll.EPMOlapMemberO("[KEY_FIGURES].[].[ZPRODUCTIONSUPPLY]","","Production Receipt (Adjusted by PLT)","","000"))</f>
        <v>Production Receipt (Adjusted by PLT)</v>
      </c>
      <c r="K109" s="80"/>
      <c r="L109" s="79"/>
      <c r="M109" s="58">
        <v>180</v>
      </c>
      <c r="N109" s="58"/>
      <c r="O109" s="58"/>
      <c r="P109" s="58"/>
      <c r="Q109" s="58"/>
      <c r="R109" s="58"/>
      <c r="S109" s="58"/>
      <c r="T109" s="58"/>
      <c r="U109" s="58"/>
      <c r="V109" s="58"/>
      <c r="W109" s="58">
        <v>45</v>
      </c>
      <c r="X109" s="58">
        <v>90</v>
      </c>
      <c r="Y109" s="58"/>
      <c r="Z109" s="58"/>
      <c r="AA109" s="58">
        <v>45</v>
      </c>
      <c r="AB109" s="58">
        <v>90</v>
      </c>
      <c r="AC109" s="58"/>
      <c r="AD109" s="58"/>
      <c r="AE109" s="58"/>
      <c r="AF109" s="58">
        <v>225</v>
      </c>
      <c r="AG109" s="58"/>
      <c r="AH109" s="58"/>
      <c r="AI109" s="58">
        <v>225</v>
      </c>
      <c r="AJ109" s="58"/>
      <c r="AK109" s="58"/>
      <c r="AL109" s="58">
        <v>315</v>
      </c>
      <c r="AM109" s="58"/>
      <c r="AN109" s="58"/>
      <c r="AO109" s="58">
        <v>45</v>
      </c>
      <c r="AP109" s="58">
        <v>180</v>
      </c>
      <c r="AQ109" s="58"/>
      <c r="AR109" s="58"/>
      <c r="AS109" s="58">
        <v>90</v>
      </c>
      <c r="AT109" s="58">
        <v>90</v>
      </c>
      <c r="AU109" s="58"/>
      <c r="AV109" s="58"/>
      <c r="AW109" s="58">
        <v>45</v>
      </c>
      <c r="AX109" s="58">
        <v>45</v>
      </c>
      <c r="AY109" s="58"/>
      <c r="AZ109" s="58"/>
      <c r="BA109" s="58"/>
      <c r="BB109" s="58">
        <v>270</v>
      </c>
      <c r="BC109" s="58"/>
      <c r="BD109" s="58"/>
      <c r="BE109" s="58"/>
      <c r="BF109" s="58"/>
      <c r="BG109" s="58"/>
      <c r="BH109" s="58">
        <v>360</v>
      </c>
      <c r="BI109" s="58"/>
      <c r="BJ109" s="58"/>
      <c r="BK109" s="58"/>
      <c r="BL109" s="58">
        <v>135</v>
      </c>
      <c r="BM109" s="58">
        <v>225</v>
      </c>
      <c r="BN109" s="58"/>
      <c r="BO109" s="58"/>
      <c r="BP109" s="58">
        <v>90</v>
      </c>
      <c r="BQ109" s="58">
        <v>135</v>
      </c>
      <c r="BR109" s="58"/>
      <c r="BS109" s="58"/>
      <c r="BT109" s="58"/>
      <c r="BU109" s="58">
        <v>45</v>
      </c>
      <c r="BV109" s="58"/>
      <c r="BW109" s="58"/>
      <c r="BX109" s="107"/>
      <c r="BY109" s="107"/>
      <c r="BZ109" s="107"/>
      <c r="CA109" s="107"/>
      <c r="CB109" s="107"/>
      <c r="CC109" s="107"/>
      <c r="CD109" s="107"/>
      <c r="CE109" s="107"/>
      <c r="CF109" s="107"/>
      <c r="CG109" s="107"/>
      <c r="CH109" s="107"/>
      <c r="CI109" s="107"/>
      <c r="CJ109" s="107"/>
      <c r="CK109" s="107"/>
      <c r="CL109" s="107"/>
      <c r="CM109" s="107"/>
      <c r="CN109" s="107"/>
      <c r="CO109" s="107"/>
      <c r="CP109" s="107"/>
      <c r="CQ109" s="107"/>
      <c r="CR109" s="107"/>
      <c r="CS109" s="107"/>
      <c r="CT109" s="107"/>
      <c r="CU109" s="107"/>
      <c r="CV109" s="107"/>
      <c r="CW109" s="107"/>
      <c r="CX109" s="107"/>
      <c r="CY109" s="107"/>
      <c r="CZ109" s="107"/>
      <c r="DA109" s="107"/>
      <c r="DB109" s="107"/>
      <c r="DC109" s="107"/>
      <c r="DD109" s="107"/>
      <c r="DE109" s="107"/>
      <c r="DF109" s="107"/>
      <c r="DG109" s="107"/>
      <c r="DH109" s="107"/>
      <c r="DI109" s="107"/>
      <c r="DJ109" s="107"/>
      <c r="DK109" s="107"/>
      <c r="DL109" s="107"/>
      <c r="DM109" s="107"/>
      <c r="DN109" s="107"/>
      <c r="DO109" s="107"/>
      <c r="DP109" s="107"/>
      <c r="DQ109" s="107"/>
      <c r="DR109" s="107"/>
      <c r="DS109" s="107"/>
      <c r="DT109" s="107"/>
      <c r="DU109" s="107"/>
      <c r="DV109" s="107"/>
      <c r="DW109" s="107"/>
      <c r="DX109" s="107"/>
      <c r="DY109" s="107"/>
      <c r="DZ109" s="107"/>
      <c r="EA109" s="107"/>
      <c r="EB109" s="107"/>
      <c r="EC109" s="107"/>
      <c r="ED109" s="107"/>
      <c r="EE109" s="107"/>
      <c r="EF109" s="107"/>
      <c r="EG109" s="107"/>
    </row>
    <row r="110" spans="1:137" x14ac:dyDescent="0.25">
      <c r="A110" s="107"/>
      <c r="B110" s="107"/>
      <c r="C110" s="107"/>
      <c r="D110" s="107"/>
      <c r="E110" s="107"/>
      <c r="F110" s="107"/>
      <c r="G110" s="147" t="str">
        <f>IF(_ibpOfflineCondition_,"000000000000573620-1", _xll.EPMOlapMemberO("[PRDID].[].[000000000000573620-1]","","000000000000573620-1","","000"))</f>
        <v>000000000000573620-1</v>
      </c>
      <c r="H110" s="147" t="str">
        <f>IF(_ibpOfflineCondition_,"FGR+ FIGAROLLPLUS 10/280+40 SCHWARZ PL", _xll.EPMOlapMemberO("[PRDDESCR].[].[FGR+ FIGAROLLPLUS 10/280+40 SCHWARZ PL]","","FGR+ FIGAROLLPLUS 10/280+40 SCHWARZ PL","","000"))</f>
        <v>FGR+ FIGAROLLPLUS 10/280+40 SCHWARZ PL</v>
      </c>
      <c r="I110" s="147" t="str">
        <f>IF(_ibpOfflineCondition_,"X7", _xll.EPMOlapMemberO("[MRPTYPE].[].[X7]","","X7","","000"))</f>
        <v>X7</v>
      </c>
      <c r="J110" s="147" t="str">
        <f>IF(_ibpOfflineCondition_,"Firmed Production Plan (Adjusted by PLT)", _xll.EPMOlapMemberO("[KEY_FIGURES].[].[ZFIRMEDPRODUCTIONPLT]","","Firmed Production Plan (Adjusted by PLT)","","000"))</f>
        <v>Firmed Production Plan (Adjusted by PLT)</v>
      </c>
      <c r="K110" s="80"/>
      <c r="L110" s="79"/>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8"/>
      <c r="BO110" s="58"/>
      <c r="BP110" s="58"/>
      <c r="BQ110" s="58"/>
      <c r="BR110" s="58"/>
      <c r="BS110" s="58"/>
      <c r="BT110" s="58"/>
      <c r="BU110" s="58"/>
      <c r="BV110" s="58"/>
      <c r="BW110" s="58"/>
      <c r="BX110" s="107"/>
      <c r="BY110" s="107"/>
      <c r="BZ110" s="107"/>
      <c r="CA110" s="107"/>
      <c r="CB110" s="107"/>
      <c r="CC110" s="107"/>
      <c r="CD110" s="107"/>
      <c r="CE110" s="107"/>
      <c r="CF110" s="107"/>
      <c r="CG110" s="107"/>
      <c r="CH110" s="107"/>
      <c r="CI110" s="107"/>
      <c r="CJ110" s="107"/>
      <c r="CK110" s="107"/>
      <c r="CL110" s="107"/>
      <c r="CM110" s="107"/>
      <c r="CN110" s="107"/>
      <c r="CO110" s="107"/>
      <c r="CP110" s="107"/>
      <c r="CQ110" s="107"/>
      <c r="CR110" s="107"/>
      <c r="CS110" s="107"/>
      <c r="CT110" s="107"/>
      <c r="CU110" s="107"/>
      <c r="CV110" s="107"/>
      <c r="CW110" s="107"/>
      <c r="CX110" s="107"/>
      <c r="CY110" s="107"/>
      <c r="CZ110" s="107"/>
      <c r="DA110" s="107"/>
      <c r="DB110" s="107"/>
      <c r="DC110" s="107"/>
      <c r="DD110" s="107"/>
      <c r="DE110" s="107"/>
      <c r="DF110" s="107"/>
      <c r="DG110" s="107"/>
      <c r="DH110" s="107"/>
      <c r="DI110" s="107"/>
      <c r="DJ110" s="107"/>
      <c r="DK110" s="107"/>
      <c r="DL110" s="107"/>
      <c r="DM110" s="107"/>
      <c r="DN110" s="107"/>
      <c r="DO110" s="107"/>
      <c r="DP110" s="107"/>
      <c r="DQ110" s="107"/>
      <c r="DR110" s="107"/>
      <c r="DS110" s="107"/>
      <c r="DT110" s="107"/>
      <c r="DU110" s="107"/>
      <c r="DV110" s="107"/>
      <c r="DW110" s="107"/>
      <c r="DX110" s="107"/>
      <c r="DY110" s="107"/>
      <c r="DZ110" s="107"/>
      <c r="EA110" s="107"/>
      <c r="EB110" s="107"/>
      <c r="EC110" s="107"/>
      <c r="ED110" s="107"/>
      <c r="EE110" s="107"/>
      <c r="EF110" s="107"/>
      <c r="EG110" s="107"/>
    </row>
    <row r="111" spans="1:137" x14ac:dyDescent="0.25">
      <c r="A111" s="107"/>
      <c r="B111" s="107"/>
      <c r="C111" s="107"/>
      <c r="D111" s="107"/>
      <c r="E111" s="107"/>
      <c r="F111" s="107"/>
      <c r="G111" s="147" t="str">
        <f>IF(_ibpOfflineCondition_,"000000000000573620-1", _xll.EPMOlapMemberO("[PRDID].[].[000000000000573620-1]","","000000000000573620-1","","000"))</f>
        <v>000000000000573620-1</v>
      </c>
      <c r="H111" s="147" t="str">
        <f>IF(_ibpOfflineCondition_,"FGR+ FIGAROLLPLUS 10/280+40 SCHWARZ PL", _xll.EPMOlapMemberO("[PRDDESCR].[].[FGR+ FIGAROLLPLUS 10/280+40 SCHWARZ PL]","","FGR+ FIGAROLLPLUS 10/280+40 SCHWARZ PL","","000"))</f>
        <v>FGR+ FIGAROLLPLUS 10/280+40 SCHWARZ PL</v>
      </c>
      <c r="I111" s="147" t="str">
        <f>IF(_ibpOfflineCondition_,"X7", _xll.EPMOlapMemberO("[MRPTYPE].[].[X7]","","X7","","000"))</f>
        <v>X7</v>
      </c>
      <c r="J111" s="147" t="str">
        <f>IF(_ibpOfflineCondition_,"Open Production Orders (Adjusted by PLT)", _xll.EPMOlapMemberO("[KEY_FIGURES].[].[ZOPENPRODUCTIONORDERPLT]","","Open Production Orders (Adjusted by PLT)","","000"))</f>
        <v>Open Production Orders (Adjusted by PLT)</v>
      </c>
      <c r="K111" s="80"/>
      <c r="L111" s="79"/>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c r="BA111" s="58"/>
      <c r="BB111" s="58"/>
      <c r="BC111" s="58"/>
      <c r="BD111" s="58"/>
      <c r="BE111" s="58"/>
      <c r="BF111" s="58"/>
      <c r="BG111" s="58"/>
      <c r="BH111" s="58"/>
      <c r="BI111" s="58"/>
      <c r="BJ111" s="58"/>
      <c r="BK111" s="58"/>
      <c r="BL111" s="58"/>
      <c r="BM111" s="58"/>
      <c r="BN111" s="58"/>
      <c r="BO111" s="58"/>
      <c r="BP111" s="58"/>
      <c r="BQ111" s="58"/>
      <c r="BR111" s="58"/>
      <c r="BS111" s="58"/>
      <c r="BT111" s="58"/>
      <c r="BU111" s="58"/>
      <c r="BV111" s="58"/>
      <c r="BW111" s="58"/>
      <c r="BX111" s="107"/>
      <c r="BY111" s="107"/>
      <c r="BZ111" s="107"/>
      <c r="CA111" s="107"/>
      <c r="CB111" s="107"/>
      <c r="CC111" s="107"/>
      <c r="CD111" s="107"/>
      <c r="CE111" s="107"/>
      <c r="CF111" s="107"/>
      <c r="CG111" s="107"/>
      <c r="CH111" s="107"/>
      <c r="CI111" s="107"/>
      <c r="CJ111" s="107"/>
      <c r="CK111" s="107"/>
      <c r="CL111" s="107"/>
      <c r="CM111" s="107"/>
      <c r="CN111" s="107"/>
      <c r="CO111" s="107"/>
      <c r="CP111" s="107"/>
      <c r="CQ111" s="107"/>
      <c r="CR111" s="107"/>
      <c r="CS111" s="107"/>
      <c r="CT111" s="107"/>
      <c r="CU111" s="107"/>
      <c r="CV111" s="107"/>
      <c r="CW111" s="107"/>
      <c r="CX111" s="107"/>
      <c r="CY111" s="107"/>
      <c r="CZ111" s="107"/>
      <c r="DA111" s="107"/>
      <c r="DB111" s="107"/>
      <c r="DC111" s="107"/>
      <c r="DD111" s="107"/>
      <c r="DE111" s="107"/>
      <c r="DF111" s="107"/>
      <c r="DG111" s="107"/>
      <c r="DH111" s="107"/>
      <c r="DI111" s="107"/>
      <c r="DJ111" s="107"/>
      <c r="DK111" s="107"/>
      <c r="DL111" s="107"/>
      <c r="DM111" s="107"/>
      <c r="DN111" s="107"/>
      <c r="DO111" s="107"/>
      <c r="DP111" s="107"/>
      <c r="DQ111" s="107"/>
      <c r="DR111" s="107"/>
      <c r="DS111" s="107"/>
      <c r="DT111" s="107"/>
      <c r="DU111" s="107"/>
      <c r="DV111" s="107"/>
      <c r="DW111" s="107"/>
      <c r="DX111" s="107"/>
      <c r="DY111" s="107"/>
      <c r="DZ111" s="107"/>
      <c r="EA111" s="107"/>
      <c r="EB111" s="107"/>
      <c r="EC111" s="107"/>
      <c r="ED111" s="107"/>
      <c r="EE111" s="107"/>
      <c r="EF111" s="107"/>
      <c r="EG111" s="107"/>
    </row>
    <row r="112" spans="1:137" x14ac:dyDescent="0.25">
      <c r="A112" s="107"/>
      <c r="B112" s="107"/>
      <c r="C112" s="107"/>
      <c r="D112" s="107"/>
      <c r="E112" s="107"/>
      <c r="F112" s="107"/>
      <c r="G112" s="147" t="str">
        <f>IF(_ibpOfflineCondition_,"000000000000573620-1", _xll.EPMOlapMemberO("[PRDID].[].[000000000000573620-1]","","000000000000573620-1","","000"))</f>
        <v>000000000000573620-1</v>
      </c>
      <c r="H112" s="147" t="str">
        <f>IF(_ibpOfflineCondition_,"FGR+ FIGAROLLPLUS 10/280+40 SCHWARZ PL", _xll.EPMOlapMemberO("[PRDDESCR].[].[FGR+ FIGAROLLPLUS 10/280+40 SCHWARZ PL]","","FGR+ FIGAROLLPLUS 10/280+40 SCHWARZ PL","","000"))</f>
        <v>FGR+ FIGAROLLPLUS 10/280+40 SCHWARZ PL</v>
      </c>
      <c r="I112" s="147" t="str">
        <f>IF(_ibpOfflineCondition_,"X7", _xll.EPMOlapMemberO("[MRPTYPE].[].[X7]","","X7","","000"))</f>
        <v>X7</v>
      </c>
      <c r="J112" s="147" t="str">
        <f>IF(_ibpOfflineCondition_,"Total Open Production Receipts(Adjusted by PLT)", _xll.EPMOlapMemberO("[KEY_FIGURES].[].[ZTOTALOPENPRODUCTIONPLT]","","Total Open Production Receipts(Adjusted by PLT)","","000"))</f>
        <v>Total Open Production Receipts(Adjusted by PLT)</v>
      </c>
      <c r="K112" s="80"/>
      <c r="L112" s="79"/>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c r="BM112" s="58"/>
      <c r="BN112" s="58"/>
      <c r="BO112" s="58"/>
      <c r="BP112" s="58"/>
      <c r="BQ112" s="58"/>
      <c r="BR112" s="58"/>
      <c r="BS112" s="58"/>
      <c r="BT112" s="58"/>
      <c r="BU112" s="58"/>
      <c r="BV112" s="58"/>
      <c r="BW112" s="58"/>
      <c r="BX112" s="107"/>
      <c r="BY112" s="107"/>
      <c r="BZ112" s="107"/>
      <c r="CA112" s="107"/>
      <c r="CB112" s="107"/>
      <c r="CC112" s="107"/>
      <c r="CD112" s="107"/>
      <c r="CE112" s="107"/>
      <c r="CF112" s="107"/>
      <c r="CG112" s="107"/>
      <c r="CH112" s="107"/>
      <c r="CI112" s="107"/>
      <c r="CJ112" s="107"/>
      <c r="CK112" s="107"/>
      <c r="CL112" s="107"/>
      <c r="CM112" s="107"/>
      <c r="CN112" s="107"/>
      <c r="CO112" s="107"/>
      <c r="CP112" s="107"/>
      <c r="CQ112" s="107"/>
      <c r="CR112" s="107"/>
      <c r="CS112" s="107"/>
      <c r="CT112" s="107"/>
      <c r="CU112" s="107"/>
      <c r="CV112" s="107"/>
      <c r="CW112" s="107"/>
      <c r="CX112" s="107"/>
      <c r="CY112" s="107"/>
      <c r="CZ112" s="107"/>
      <c r="DA112" s="107"/>
      <c r="DB112" s="107"/>
      <c r="DC112" s="107"/>
      <c r="DD112" s="107"/>
      <c r="DE112" s="107"/>
      <c r="DF112" s="107"/>
      <c r="DG112" s="107"/>
      <c r="DH112" s="107"/>
      <c r="DI112" s="107"/>
      <c r="DJ112" s="107"/>
      <c r="DK112" s="107"/>
      <c r="DL112" s="107"/>
      <c r="DM112" s="107"/>
      <c r="DN112" s="107"/>
      <c r="DO112" s="107"/>
      <c r="DP112" s="107"/>
      <c r="DQ112" s="107"/>
      <c r="DR112" s="107"/>
      <c r="DS112" s="107"/>
      <c r="DT112" s="107"/>
      <c r="DU112" s="107"/>
      <c r="DV112" s="107"/>
      <c r="DW112" s="107"/>
      <c r="DX112" s="107"/>
      <c r="DY112" s="107"/>
      <c r="DZ112" s="107"/>
      <c r="EA112" s="107"/>
      <c r="EB112" s="107"/>
      <c r="EC112" s="107"/>
      <c r="ED112" s="107"/>
      <c r="EE112" s="107"/>
      <c r="EF112" s="107"/>
      <c r="EG112" s="107"/>
    </row>
    <row r="113" spans="1:137" x14ac:dyDescent="0.25">
      <c r="A113" s="107"/>
      <c r="B113" s="107"/>
      <c r="C113" s="107"/>
      <c r="D113" s="107"/>
      <c r="E113" s="107"/>
      <c r="F113" s="107"/>
      <c r="G113" s="147" t="str">
        <f>IF(_ibpOfflineCondition_,"000000000000573620-1", _xll.EPMOlapMemberO("[PRDID].[].[000000000000573620-1]","","000000000000573620-1","","000"))</f>
        <v>000000000000573620-1</v>
      </c>
      <c r="H113" s="147" t="str">
        <f>IF(_ibpOfflineCondition_,"FGR+ FIGAROLLPLUS 10/280+40 SCHWARZ PL", _xll.EPMOlapMemberO("[PRDDESCR].[].[FGR+ FIGAROLLPLUS 10/280+40 SCHWARZ PL]","","FGR+ FIGAROLLPLUS 10/280+40 SCHWARZ PL","","000"))</f>
        <v>FGR+ FIGAROLLPLUS 10/280+40 SCHWARZ PL</v>
      </c>
      <c r="I113" s="147" t="str">
        <f>IF(_ibpOfflineCondition_,"X7", _xll.EPMOlapMemberO("[MRPTYPE].[].[X7]","","X7","","000"))</f>
        <v>X7</v>
      </c>
      <c r="J113" s="147" t="str">
        <f>IF(_ibpOfflineCondition_,"Production Receipt (Adjusted by PLT)", _xll.EPMOlapMemberO("[KEY_FIGURES].[].[ZPRODUCTIONSUPPLY]","","Production Receipt (Adjusted by PLT)","","000"))</f>
        <v>Production Receipt (Adjusted by PLT)</v>
      </c>
      <c r="K113" s="80"/>
      <c r="L113" s="79"/>
      <c r="M113" s="58"/>
      <c r="N113" s="58"/>
      <c r="O113" s="58"/>
      <c r="P113" s="58"/>
      <c r="Q113" s="58"/>
      <c r="R113" s="58"/>
      <c r="S113" s="58"/>
      <c r="T113" s="58"/>
      <c r="U113" s="58"/>
      <c r="V113" s="58"/>
      <c r="W113" s="58"/>
      <c r="X113" s="58">
        <v>405</v>
      </c>
      <c r="Y113" s="58"/>
      <c r="Z113" s="58"/>
      <c r="AA113" s="58"/>
      <c r="AB113" s="58">
        <v>405</v>
      </c>
      <c r="AC113" s="58"/>
      <c r="AD113" s="58"/>
      <c r="AE113" s="58"/>
      <c r="AF113" s="58">
        <v>405</v>
      </c>
      <c r="AG113" s="58"/>
      <c r="AH113" s="58"/>
      <c r="AI113" s="58">
        <v>810</v>
      </c>
      <c r="AJ113" s="58"/>
      <c r="AK113" s="58"/>
      <c r="AL113" s="58">
        <v>405</v>
      </c>
      <c r="AM113" s="58"/>
      <c r="AN113" s="58"/>
      <c r="AO113" s="58">
        <v>405</v>
      </c>
      <c r="AP113" s="58">
        <v>810</v>
      </c>
      <c r="AQ113" s="58"/>
      <c r="AR113" s="58"/>
      <c r="AS113" s="58"/>
      <c r="AT113" s="58">
        <v>405</v>
      </c>
      <c r="AU113" s="58"/>
      <c r="AV113" s="58"/>
      <c r="AW113" s="58"/>
      <c r="AX113" s="58">
        <v>405</v>
      </c>
      <c r="AY113" s="58"/>
      <c r="AZ113" s="58"/>
      <c r="BA113" s="58"/>
      <c r="BB113" s="58">
        <v>810</v>
      </c>
      <c r="BC113" s="58"/>
      <c r="BD113" s="58"/>
      <c r="BE113" s="58"/>
      <c r="BF113" s="58"/>
      <c r="BG113" s="58"/>
      <c r="BH113" s="58">
        <v>1305</v>
      </c>
      <c r="BI113" s="58"/>
      <c r="BJ113" s="58"/>
      <c r="BK113" s="58"/>
      <c r="BL113" s="58">
        <v>405</v>
      </c>
      <c r="BM113" s="58">
        <v>1215</v>
      </c>
      <c r="BN113" s="58"/>
      <c r="BO113" s="58"/>
      <c r="BP113" s="58"/>
      <c r="BQ113" s="58">
        <v>810</v>
      </c>
      <c r="BR113" s="58"/>
      <c r="BS113" s="58"/>
      <c r="BT113" s="58"/>
      <c r="BU113" s="58"/>
      <c r="BV113" s="58"/>
      <c r="BW113" s="58"/>
      <c r="BX113" s="107"/>
      <c r="BY113" s="107"/>
      <c r="BZ113" s="107"/>
      <c r="CA113" s="107"/>
      <c r="CB113" s="107"/>
      <c r="CC113" s="107"/>
      <c r="CD113" s="107"/>
      <c r="CE113" s="107"/>
      <c r="CF113" s="107"/>
      <c r="CG113" s="107"/>
      <c r="CH113" s="107"/>
      <c r="CI113" s="107"/>
      <c r="CJ113" s="107"/>
      <c r="CK113" s="107"/>
      <c r="CL113" s="107"/>
      <c r="CM113" s="107"/>
      <c r="CN113" s="107"/>
      <c r="CO113" s="107"/>
      <c r="CP113" s="107"/>
      <c r="CQ113" s="107"/>
      <c r="CR113" s="107"/>
      <c r="CS113" s="107"/>
      <c r="CT113" s="107"/>
      <c r="CU113" s="107"/>
      <c r="CV113" s="107"/>
      <c r="CW113" s="107"/>
      <c r="CX113" s="107"/>
      <c r="CY113" s="107"/>
      <c r="CZ113" s="107"/>
      <c r="DA113" s="107"/>
      <c r="DB113" s="107"/>
      <c r="DC113" s="107"/>
      <c r="DD113" s="107"/>
      <c r="DE113" s="107"/>
      <c r="DF113" s="107"/>
      <c r="DG113" s="107"/>
      <c r="DH113" s="107"/>
      <c r="DI113" s="107"/>
      <c r="DJ113" s="107"/>
      <c r="DK113" s="107"/>
      <c r="DL113" s="107"/>
      <c r="DM113" s="107"/>
      <c r="DN113" s="107"/>
      <c r="DO113" s="107"/>
      <c r="DP113" s="107"/>
      <c r="DQ113" s="107"/>
      <c r="DR113" s="107"/>
      <c r="DS113" s="107"/>
      <c r="DT113" s="107"/>
      <c r="DU113" s="107"/>
      <c r="DV113" s="107"/>
      <c r="DW113" s="107"/>
      <c r="DX113" s="107"/>
      <c r="DY113" s="107"/>
      <c r="DZ113" s="107"/>
      <c r="EA113" s="107"/>
      <c r="EB113" s="107"/>
      <c r="EC113" s="107"/>
      <c r="ED113" s="107"/>
      <c r="EE113" s="107"/>
      <c r="EF113" s="107"/>
      <c r="EG113" s="107"/>
    </row>
    <row r="114" spans="1:137" x14ac:dyDescent="0.25">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c r="BS114" s="107"/>
      <c r="BT114" s="107"/>
      <c r="BU114" s="107"/>
      <c r="BV114" s="107"/>
      <c r="BW114" s="107"/>
      <c r="BX114" s="107"/>
      <c r="BY114" s="107"/>
      <c r="BZ114" s="107"/>
      <c r="CA114" s="107"/>
      <c r="CB114" s="107"/>
      <c r="CC114" s="107"/>
      <c r="CD114" s="107"/>
      <c r="CE114" s="107"/>
      <c r="CF114" s="107"/>
      <c r="CG114" s="107"/>
      <c r="CH114" s="107"/>
      <c r="CI114" s="107"/>
      <c r="CJ114" s="107"/>
      <c r="CK114" s="107"/>
      <c r="CL114" s="107"/>
      <c r="CM114" s="107"/>
      <c r="CN114" s="107"/>
      <c r="CO114" s="107"/>
      <c r="CP114" s="107"/>
      <c r="CQ114" s="107"/>
      <c r="CR114" s="107"/>
      <c r="CS114" s="107"/>
      <c r="CT114" s="107"/>
      <c r="CU114" s="107"/>
      <c r="CV114" s="107"/>
      <c r="CW114" s="107"/>
      <c r="CX114" s="107"/>
      <c r="CY114" s="107"/>
      <c r="CZ114" s="107"/>
      <c r="DA114" s="107"/>
      <c r="DB114" s="107"/>
      <c r="DC114" s="107"/>
      <c r="DD114" s="107"/>
      <c r="DE114" s="107"/>
      <c r="DF114" s="107"/>
      <c r="DG114" s="107"/>
      <c r="DH114" s="107"/>
      <c r="DI114" s="107"/>
      <c r="DJ114" s="107"/>
      <c r="DK114" s="107"/>
      <c r="DL114" s="107"/>
      <c r="DM114" s="107"/>
      <c r="DN114" s="107"/>
      <c r="DO114" s="107"/>
      <c r="DP114" s="107"/>
      <c r="DQ114" s="107"/>
      <c r="DR114" s="107"/>
      <c r="DS114" s="107"/>
      <c r="DT114" s="107"/>
      <c r="DU114" s="107"/>
      <c r="DV114" s="107"/>
      <c r="DW114" s="107"/>
      <c r="DX114" s="107"/>
      <c r="DY114" s="107"/>
      <c r="DZ114" s="107"/>
      <c r="EA114" s="107"/>
      <c r="EB114" s="107"/>
      <c r="EC114" s="107"/>
      <c r="ED114" s="107"/>
      <c r="EE114" s="107"/>
      <c r="EF114" s="107"/>
      <c r="EG114" s="107"/>
    </row>
    <row r="115" spans="1:137" x14ac:dyDescent="0.25">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c r="BS115" s="107"/>
      <c r="BT115" s="107"/>
      <c r="BU115" s="107"/>
      <c r="BV115" s="107"/>
      <c r="BW115" s="107"/>
      <c r="BX115" s="107"/>
      <c r="BY115" s="107"/>
      <c r="BZ115" s="107"/>
      <c r="CA115" s="107"/>
      <c r="CB115" s="107"/>
      <c r="CC115" s="107"/>
      <c r="CD115" s="107"/>
      <c r="CE115" s="107"/>
      <c r="CF115" s="107"/>
      <c r="CG115" s="107"/>
      <c r="CH115" s="107"/>
      <c r="CI115" s="107"/>
      <c r="CJ115" s="107"/>
      <c r="CK115" s="107"/>
      <c r="CL115" s="107"/>
      <c r="CM115" s="107"/>
      <c r="CN115" s="107"/>
      <c r="CO115" s="107"/>
      <c r="CP115" s="107"/>
      <c r="CQ115" s="107"/>
      <c r="CR115" s="107"/>
      <c r="CS115" s="107"/>
      <c r="CT115" s="107"/>
      <c r="CU115" s="107"/>
      <c r="CV115" s="107"/>
      <c r="CW115" s="107"/>
      <c r="CX115" s="107"/>
      <c r="CY115" s="107"/>
      <c r="CZ115" s="107"/>
      <c r="DA115" s="107"/>
      <c r="DB115" s="107"/>
      <c r="DC115" s="107"/>
      <c r="DD115" s="107"/>
      <c r="DE115" s="107"/>
      <c r="DF115" s="107"/>
      <c r="DG115" s="107"/>
      <c r="DH115" s="107"/>
      <c r="DI115" s="107"/>
      <c r="DJ115" s="107"/>
      <c r="DK115" s="107"/>
      <c r="DL115" s="107"/>
      <c r="DM115" s="107"/>
      <c r="DN115" s="107"/>
      <c r="DO115" s="107"/>
      <c r="DP115" s="107"/>
      <c r="DQ115" s="107"/>
      <c r="DR115" s="107"/>
      <c r="DS115" s="107"/>
      <c r="DT115" s="107"/>
      <c r="DU115" s="107"/>
      <c r="DV115" s="107"/>
      <c r="DW115" s="107"/>
      <c r="DX115" s="107"/>
      <c r="DY115" s="107"/>
      <c r="DZ115" s="107"/>
      <c r="EA115" s="107"/>
      <c r="EB115" s="107"/>
      <c r="EC115" s="107"/>
      <c r="ED115" s="107"/>
      <c r="EE115" s="107"/>
      <c r="EF115" s="107"/>
      <c r="EG115" s="107"/>
    </row>
    <row r="116" spans="1:137" x14ac:dyDescent="0.25">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c r="BS116" s="107"/>
      <c r="BT116" s="107"/>
      <c r="BU116" s="107"/>
      <c r="BV116" s="107"/>
      <c r="BW116" s="107"/>
      <c r="BX116" s="107"/>
      <c r="BY116" s="107"/>
      <c r="BZ116" s="107"/>
      <c r="CA116" s="107"/>
      <c r="CB116" s="107"/>
      <c r="CC116" s="107"/>
      <c r="CD116" s="107"/>
      <c r="CE116" s="107"/>
      <c r="CF116" s="107"/>
      <c r="CG116" s="107"/>
      <c r="CH116" s="107"/>
      <c r="CI116" s="107"/>
      <c r="CJ116" s="107"/>
      <c r="CK116" s="107"/>
      <c r="CL116" s="107"/>
      <c r="CM116" s="107"/>
      <c r="CN116" s="107"/>
      <c r="CO116" s="107"/>
      <c r="CP116" s="107"/>
      <c r="CQ116" s="107"/>
      <c r="CR116" s="107"/>
      <c r="CS116" s="107"/>
      <c r="CT116" s="107"/>
      <c r="CU116" s="107"/>
      <c r="CV116" s="107"/>
      <c r="CW116" s="107"/>
      <c r="CX116" s="107"/>
      <c r="CY116" s="107"/>
      <c r="CZ116" s="107"/>
      <c r="DA116" s="107"/>
      <c r="DB116" s="107"/>
      <c r="DC116" s="107"/>
      <c r="DD116" s="107"/>
      <c r="DE116" s="107"/>
      <c r="DF116" s="107"/>
      <c r="DG116" s="107"/>
      <c r="DH116" s="107"/>
      <c r="DI116" s="107"/>
      <c r="DJ116" s="107"/>
      <c r="DK116" s="107"/>
      <c r="DL116" s="107"/>
      <c r="DM116" s="107"/>
      <c r="DN116" s="107"/>
      <c r="DO116" s="107"/>
      <c r="DP116" s="107"/>
      <c r="DQ116" s="107"/>
      <c r="DR116" s="107"/>
      <c r="DS116" s="107"/>
      <c r="DT116" s="107"/>
      <c r="DU116" s="107"/>
      <c r="DV116" s="107"/>
      <c r="DW116" s="107"/>
      <c r="DX116" s="107"/>
      <c r="DY116" s="107"/>
      <c r="DZ116" s="107"/>
      <c r="EA116" s="107"/>
      <c r="EB116" s="107"/>
      <c r="EC116" s="107"/>
      <c r="ED116" s="107"/>
      <c r="EE116" s="107"/>
      <c r="EF116" s="107"/>
      <c r="EG116" s="107"/>
    </row>
    <row r="117" spans="1:137" x14ac:dyDescent="0.25">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c r="BS117" s="107"/>
      <c r="BT117" s="107"/>
      <c r="BU117" s="107"/>
      <c r="BV117" s="107"/>
      <c r="BW117" s="107"/>
      <c r="BX117" s="107"/>
      <c r="BY117" s="107"/>
      <c r="BZ117" s="107"/>
      <c r="CA117" s="107"/>
      <c r="CB117" s="107"/>
      <c r="CC117" s="107"/>
      <c r="CD117" s="107"/>
      <c r="CE117" s="107"/>
      <c r="CF117" s="107"/>
      <c r="CG117" s="107"/>
      <c r="CH117" s="107"/>
      <c r="CI117" s="107"/>
      <c r="CJ117" s="107"/>
      <c r="CK117" s="107"/>
      <c r="CL117" s="107"/>
      <c r="CM117" s="107"/>
      <c r="CN117" s="107"/>
      <c r="CO117" s="107"/>
      <c r="CP117" s="107"/>
      <c r="CQ117" s="107"/>
      <c r="CR117" s="107"/>
      <c r="CS117" s="107"/>
      <c r="CT117" s="107"/>
      <c r="CU117" s="107"/>
      <c r="CV117" s="107"/>
      <c r="CW117" s="107"/>
      <c r="CX117" s="107"/>
      <c r="CY117" s="107"/>
      <c r="CZ117" s="107"/>
      <c r="DA117" s="107"/>
      <c r="DB117" s="107"/>
      <c r="DC117" s="107"/>
      <c r="DD117" s="107"/>
      <c r="DE117" s="107"/>
      <c r="DF117" s="107"/>
      <c r="DG117" s="107"/>
      <c r="DH117" s="107"/>
      <c r="DI117" s="107"/>
      <c r="DJ117" s="107"/>
      <c r="DK117" s="107"/>
      <c r="DL117" s="107"/>
      <c r="DM117" s="107"/>
      <c r="DN117" s="107"/>
      <c r="DO117" s="107"/>
      <c r="DP117" s="107"/>
      <c r="DQ117" s="107"/>
      <c r="DR117" s="107"/>
      <c r="DS117" s="107"/>
      <c r="DT117" s="107"/>
      <c r="DU117" s="107"/>
      <c r="DV117" s="107"/>
      <c r="DW117" s="107"/>
      <c r="DX117" s="107"/>
      <c r="DY117" s="107"/>
      <c r="DZ117" s="107"/>
      <c r="EA117" s="107"/>
      <c r="EB117" s="107"/>
      <c r="EC117" s="107"/>
      <c r="ED117" s="107"/>
      <c r="EE117" s="107"/>
      <c r="EF117" s="107"/>
      <c r="EG117" s="107"/>
    </row>
  </sheetData>
  <sheetProtection algorithmName="SHA-512" hashValue="voZmWA6ijV6RlV3ryh7DjtHJSdrFjAB9dU/wN6Uf3sBJnumbaKMYIyxeD/yLAm8eeU3FkZKtB3CRSwbNWJNQ9A==" saltValue="cbqBtFwoBV496QcEApc9ZA==" spinCount="100000" sheet="1" scenarios="1" formatColumns="0" formatRows="0" autoFilter="0"/>
  <autoFilter ref="G5:BW113" xr:uid="{00000000-0001-0000-0200-000000000000}"/>
  <mergeCells count="7">
    <mergeCell ref="A4:J4"/>
    <mergeCell ref="K1:P1"/>
    <mergeCell ref="Q1:V1"/>
    <mergeCell ref="K3:V3"/>
    <mergeCell ref="H1:J1"/>
    <mergeCell ref="H2:J2"/>
    <mergeCell ref="H3:J3"/>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operties>
  <drawing r:id="rId5"/>
  <legacyDrawing r:id="rId6"/>
  <picture r:id="rId7"/>
  <controls>
    <mc:AlternateContent xmlns:mc="http://schemas.openxmlformats.org/markup-compatibility/2006">
      <mc:Choice Requires="x14">
        <control shapeId="3147" r:id="rId8" name="AnalyzerDynReportDC000tb1">
          <controlPr defaultSize="0" autoLine="0" autoPict="0" r:id="rId9">
            <anchor moveWithCells="1">
              <from>
                <xdr:col>0</xdr:col>
                <xdr:colOff>0</xdr:colOff>
                <xdr:row>0</xdr:row>
                <xdr:rowOff>0</xdr:rowOff>
              </from>
              <to>
                <xdr:col>6</xdr:col>
                <xdr:colOff>600075</xdr:colOff>
                <xdr:row>0</xdr:row>
                <xdr:rowOff>0</xdr:rowOff>
              </to>
            </anchor>
          </controlPr>
        </control>
      </mc:Choice>
      <mc:Fallback>
        <control shapeId="3147" r:id="rId8" name="AnalyzerDynReportDC000tb1"/>
      </mc:Fallback>
    </mc:AlternateContent>
    <mc:AlternateContent xmlns:mc="http://schemas.openxmlformats.org/markup-compatibility/2006">
      <mc:Choice Requires="x14">
        <control shapeId="3145" r:id="rId10" name="ReportSubmitControl_1DCtb1">
          <controlPr defaultSize="0" autoLine="0" autoPict="0" r:id="rId11">
            <anchor moveWithCells="1">
              <from>
                <xdr:col>0</xdr:col>
                <xdr:colOff>0</xdr:colOff>
                <xdr:row>0</xdr:row>
                <xdr:rowOff>0</xdr:rowOff>
              </from>
              <to>
                <xdr:col>6</xdr:col>
                <xdr:colOff>342900</xdr:colOff>
                <xdr:row>0</xdr:row>
                <xdr:rowOff>0</xdr:rowOff>
              </to>
            </anchor>
          </controlPr>
        </control>
      </mc:Choice>
      <mc:Fallback>
        <control shapeId="3145" r:id="rId10" name="ReportSubmitControl_1DCtb1"/>
      </mc:Fallback>
    </mc:AlternateContent>
    <mc:AlternateContent xmlns:mc="http://schemas.openxmlformats.org/markup-compatibility/2006">
      <mc:Choice Requires="x14">
        <control shapeId="3143" r:id="rId12" name="ReportSubmitManagerControlD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43" r:id="rId12" name="ReportSubmitManagerControlDCtb1"/>
      </mc:Fallback>
    </mc:AlternateContent>
    <mc:AlternateContent xmlns:mc="http://schemas.openxmlformats.org/markup-compatibility/2006">
      <mc:Choice Requires="x14">
        <control shapeId="3142" r:id="rId14" name="ReportSubmitManagerControlH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42" r:id="rId14" name="ReportSubmitManagerControlHCtb1"/>
      </mc:Fallback>
    </mc:AlternateContent>
    <mc:AlternateContent xmlns:mc="http://schemas.openxmlformats.org/markup-compatibility/2006">
      <mc:Choice Requires="x14">
        <control shapeId="3141" r:id="rId15" name="MultipleReportManagerInfoD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41" r:id="rId15" name="MultipleReportManagerInfoDCtb1"/>
      </mc:Fallback>
    </mc:AlternateContent>
    <mc:AlternateContent xmlns:mc="http://schemas.openxmlformats.org/markup-compatibility/2006">
      <mc:Choice Requires="x14">
        <control shapeId="3140" r:id="rId16" name="MultipleReportManagerInfoH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40" r:id="rId16" name="MultipleReportManagerInfoHCtb1"/>
      </mc:Fallback>
    </mc:AlternateContent>
    <mc:AlternateContent xmlns:mc="http://schemas.openxmlformats.org/markup-compatibility/2006">
      <mc:Choice Requires="x14">
        <control shapeId="3139" r:id="rId17" name="ConnectionDescriptorsInfoD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39" r:id="rId17" name="ConnectionDescriptorsInfoDCtb1"/>
      </mc:Fallback>
    </mc:AlternateContent>
    <mc:AlternateContent xmlns:mc="http://schemas.openxmlformats.org/markup-compatibility/2006">
      <mc:Choice Requires="x14">
        <control shapeId="3132" r:id="rId18" name="CheckBox3">
          <controlPr defaultSize="0" autoLine="0" r:id="rId19">
            <anchor>
              <from>
                <xdr:col>6</xdr:col>
                <xdr:colOff>342900</xdr:colOff>
                <xdr:row>5</xdr:row>
                <xdr:rowOff>76200</xdr:rowOff>
              </from>
              <to>
                <xdr:col>7</xdr:col>
                <xdr:colOff>228600</xdr:colOff>
                <xdr:row>6</xdr:row>
                <xdr:rowOff>152400</xdr:rowOff>
              </to>
            </anchor>
          </controlPr>
        </control>
      </mc:Choice>
      <mc:Fallback>
        <control shapeId="3132" r:id="rId18" name="CheckBox3"/>
      </mc:Fallback>
    </mc:AlternateContent>
    <mc:AlternateContent xmlns:mc="http://schemas.openxmlformats.org/markup-compatibility/2006">
      <mc:Choice Requires="x14">
        <control shapeId="3131" r:id="rId20" name="CheckBox2">
          <controlPr defaultSize="0" autoLine="0" r:id="rId21">
            <anchor>
              <from>
                <xdr:col>6</xdr:col>
                <xdr:colOff>342900</xdr:colOff>
                <xdr:row>4</xdr:row>
                <xdr:rowOff>76200</xdr:rowOff>
              </from>
              <to>
                <xdr:col>7</xdr:col>
                <xdr:colOff>228600</xdr:colOff>
                <xdr:row>5</xdr:row>
                <xdr:rowOff>152400</xdr:rowOff>
              </to>
            </anchor>
          </controlPr>
        </control>
      </mc:Choice>
      <mc:Fallback>
        <control shapeId="3131" r:id="rId20" name="CheckBox2"/>
      </mc:Fallback>
    </mc:AlternateContent>
    <mc:AlternateContent xmlns:mc="http://schemas.openxmlformats.org/markup-compatibility/2006">
      <mc:Choice Requires="x14">
        <control shapeId="3129" r:id="rId22" name="ListBox2">
          <controlPr defaultSize="0" autoLine="0" r:id="rId23">
            <anchor>
              <from>
                <xdr:col>6</xdr:col>
                <xdr:colOff>762000</xdr:colOff>
                <xdr:row>8</xdr:row>
                <xdr:rowOff>76200</xdr:rowOff>
              </from>
              <to>
                <xdr:col>6</xdr:col>
                <xdr:colOff>933450</xdr:colOff>
                <xdr:row>8</xdr:row>
                <xdr:rowOff>133350</xdr:rowOff>
              </to>
            </anchor>
          </controlPr>
        </control>
      </mc:Choice>
      <mc:Fallback>
        <control shapeId="3129" r:id="rId22" name="ListBox2"/>
      </mc:Fallback>
    </mc:AlternateContent>
    <mc:AlternateContent xmlns:mc="http://schemas.openxmlformats.org/markup-compatibility/2006">
      <mc:Choice Requires="x14">
        <control shapeId="3128" r:id="rId24" name="ListBox1">
          <controlPr defaultSize="0" autoLine="0" r:id="rId25">
            <anchor>
              <from>
                <xdr:col>0</xdr:col>
                <xdr:colOff>38100</xdr:colOff>
                <xdr:row>8</xdr:row>
                <xdr:rowOff>76200</xdr:rowOff>
              </from>
              <to>
                <xdr:col>2</xdr:col>
                <xdr:colOff>38100</xdr:colOff>
                <xdr:row>8</xdr:row>
                <xdr:rowOff>133350</xdr:rowOff>
              </to>
            </anchor>
          </controlPr>
        </control>
      </mc:Choice>
      <mc:Fallback>
        <control shapeId="3128" r:id="rId24" name="ListBox1"/>
      </mc:Fallback>
    </mc:AlternateContent>
    <mc:AlternateContent xmlns:mc="http://schemas.openxmlformats.org/markup-compatibility/2006">
      <mc:Choice Requires="x14">
        <control shapeId="3127" r:id="rId26" name="CommandButton7">
          <controlPr defaultSize="0" autoLine="0" r:id="rId27">
            <anchor>
              <from>
                <xdr:col>0</xdr:col>
                <xdr:colOff>38100</xdr:colOff>
                <xdr:row>2</xdr:row>
                <xdr:rowOff>104775</xdr:rowOff>
              </from>
              <to>
                <xdr:col>2</xdr:col>
                <xdr:colOff>76200</xdr:colOff>
                <xdr:row>4</xdr:row>
                <xdr:rowOff>19050</xdr:rowOff>
              </to>
            </anchor>
          </controlPr>
        </control>
      </mc:Choice>
      <mc:Fallback>
        <control shapeId="3127" r:id="rId26" name="CommandButton7"/>
      </mc:Fallback>
    </mc:AlternateContent>
    <mc:AlternateContent xmlns:mc="http://schemas.openxmlformats.org/markup-compatibility/2006">
      <mc:Choice Requires="x14">
        <control shapeId="3125" r:id="rId28" name="CommandButton6">
          <controlPr defaultSize="0" autoLine="0" r:id="rId29">
            <anchor>
              <from>
                <xdr:col>0</xdr:col>
                <xdr:colOff>28575</xdr:colOff>
                <xdr:row>2</xdr:row>
                <xdr:rowOff>104775</xdr:rowOff>
              </from>
              <to>
                <xdr:col>2</xdr:col>
                <xdr:colOff>66675</xdr:colOff>
                <xdr:row>4</xdr:row>
                <xdr:rowOff>19050</xdr:rowOff>
              </to>
            </anchor>
          </controlPr>
        </control>
      </mc:Choice>
      <mc:Fallback>
        <control shapeId="3125" r:id="rId28" name="CommandButton6"/>
      </mc:Fallback>
    </mc:AlternateContent>
    <mc:AlternateContent xmlns:mc="http://schemas.openxmlformats.org/markup-compatibility/2006">
      <mc:Choice Requires="x14">
        <control shapeId="3093" r:id="rId30" name="FPMExcelClientSheetOptionstb1">
          <controlPr defaultSize="0" autoLine="0" r:id="rId31">
            <anchor moveWithCells="1" sizeWithCells="1">
              <from>
                <xdr:col>0</xdr:col>
                <xdr:colOff>0</xdr:colOff>
                <xdr:row>0</xdr:row>
                <xdr:rowOff>0</xdr:rowOff>
              </from>
              <to>
                <xdr:col>0</xdr:col>
                <xdr:colOff>0</xdr:colOff>
                <xdr:row>0</xdr:row>
                <xdr:rowOff>0</xdr:rowOff>
              </to>
            </anchor>
          </controlPr>
        </control>
      </mc:Choice>
      <mc:Fallback>
        <control shapeId="3093" r:id="rId30" name="FPMExcelClientSheetOptionstb1"/>
      </mc:Fallback>
    </mc:AlternateContent>
    <mc:AlternateContent xmlns:mc="http://schemas.openxmlformats.org/markup-compatibility/2006">
      <mc:Choice Requires="x14">
        <control shapeId="3114" r:id="rId32" name="CommandButton1">
          <controlPr defaultSize="0" autoLine="0" altText="Refresh Chart" r:id="rId33">
            <anchor>
              <from>
                <xdr:col>0</xdr:col>
                <xdr:colOff>38100</xdr:colOff>
                <xdr:row>4</xdr:row>
                <xdr:rowOff>76200</xdr:rowOff>
              </from>
              <to>
                <xdr:col>2</xdr:col>
                <xdr:colOff>76200</xdr:colOff>
                <xdr:row>5</xdr:row>
                <xdr:rowOff>114300</xdr:rowOff>
              </to>
            </anchor>
          </controlPr>
        </control>
      </mc:Choice>
      <mc:Fallback>
        <control shapeId="3114" r:id="rId32" name="CommandButton1"/>
      </mc:Fallback>
    </mc:AlternateContent>
    <mc:AlternateContent xmlns:mc="http://schemas.openxmlformats.org/markup-compatibility/2006">
      <mc:Choice Requires="x14">
        <control shapeId="3116" r:id="rId34" name="Label1">
          <controlPr defaultSize="0" autoLine="0" r:id="rId35">
            <anchor>
              <from>
                <xdr:col>3</xdr:col>
                <xdr:colOff>28575</xdr:colOff>
                <xdr:row>4</xdr:row>
                <xdr:rowOff>104775</xdr:rowOff>
              </from>
              <to>
                <xdr:col>6</xdr:col>
                <xdr:colOff>371475</xdr:colOff>
                <xdr:row>5</xdr:row>
                <xdr:rowOff>133350</xdr:rowOff>
              </to>
            </anchor>
          </controlPr>
        </control>
      </mc:Choice>
      <mc:Fallback>
        <control shapeId="3116" r:id="rId34" name="Label1"/>
      </mc:Fallback>
    </mc:AlternateContent>
    <mc:AlternateContent xmlns:mc="http://schemas.openxmlformats.org/markup-compatibility/2006">
      <mc:Choice Requires="x14">
        <control shapeId="3117" r:id="rId36" name="CommandButton2">
          <controlPr defaultSize="0" autoLine="0" r:id="rId37">
            <anchor>
              <from>
                <xdr:col>0</xdr:col>
                <xdr:colOff>38100</xdr:colOff>
                <xdr:row>7</xdr:row>
                <xdr:rowOff>0</xdr:rowOff>
              </from>
              <to>
                <xdr:col>2</xdr:col>
                <xdr:colOff>76200</xdr:colOff>
                <xdr:row>8</xdr:row>
                <xdr:rowOff>38100</xdr:rowOff>
              </to>
            </anchor>
          </controlPr>
        </control>
      </mc:Choice>
      <mc:Fallback>
        <control shapeId="3117" r:id="rId36" name="CommandButton2"/>
      </mc:Fallback>
    </mc:AlternateContent>
    <mc:AlternateContent xmlns:mc="http://schemas.openxmlformats.org/markup-compatibility/2006">
      <mc:Choice Requires="x14">
        <control shapeId="3118" r:id="rId38" name="CommandButton3">
          <controlPr defaultSize="0" autoLine="0" r:id="rId39">
            <anchor>
              <from>
                <xdr:col>3</xdr:col>
                <xdr:colOff>28575</xdr:colOff>
                <xdr:row>7</xdr:row>
                <xdr:rowOff>0</xdr:rowOff>
              </from>
              <to>
                <xdr:col>5</xdr:col>
                <xdr:colOff>66675</xdr:colOff>
                <xdr:row>8</xdr:row>
                <xdr:rowOff>38100</xdr:rowOff>
              </to>
            </anchor>
          </controlPr>
        </control>
      </mc:Choice>
      <mc:Fallback>
        <control shapeId="3118" r:id="rId38" name="CommandButton3"/>
      </mc:Fallback>
    </mc:AlternateContent>
    <mc:AlternateContent xmlns:mc="http://schemas.openxmlformats.org/markup-compatibility/2006">
      <mc:Choice Requires="x14">
        <control shapeId="3120" r:id="rId40" name="Label2">
          <controlPr defaultSize="0" autoLine="0" r:id="rId41">
            <anchor>
              <from>
                <xdr:col>6</xdr:col>
                <xdr:colOff>28575</xdr:colOff>
                <xdr:row>7</xdr:row>
                <xdr:rowOff>28575</xdr:rowOff>
              </from>
              <to>
                <xdr:col>6</xdr:col>
                <xdr:colOff>657225</xdr:colOff>
                <xdr:row>7</xdr:row>
                <xdr:rowOff>180975</xdr:rowOff>
              </to>
            </anchor>
          </controlPr>
        </control>
      </mc:Choice>
      <mc:Fallback>
        <control shapeId="3120" r:id="rId40" name="Label2"/>
      </mc:Fallback>
    </mc:AlternateContent>
    <mc:AlternateContent xmlns:mc="http://schemas.openxmlformats.org/markup-compatibility/2006">
      <mc:Choice Requires="x14">
        <control shapeId="3121" r:id="rId42" name="CommandButton4">
          <controlPr defaultSize="0" autoLine="0" r:id="rId37">
            <anchor>
              <from>
                <xdr:col>6</xdr:col>
                <xdr:colOff>762000</xdr:colOff>
                <xdr:row>7</xdr:row>
                <xdr:rowOff>0</xdr:rowOff>
              </from>
              <to>
                <xdr:col>6</xdr:col>
                <xdr:colOff>990600</xdr:colOff>
                <xdr:row>8</xdr:row>
                <xdr:rowOff>38100</xdr:rowOff>
              </to>
            </anchor>
          </controlPr>
        </control>
      </mc:Choice>
      <mc:Fallback>
        <control shapeId="3121" r:id="rId42" name="CommandButton4"/>
      </mc:Fallback>
    </mc:AlternateContent>
    <mc:AlternateContent xmlns:mc="http://schemas.openxmlformats.org/markup-compatibility/2006">
      <mc:Choice Requires="x14">
        <control shapeId="3122" r:id="rId43" name="CommandButton5">
          <controlPr defaultSize="0" autoLine="0" r:id="rId44">
            <anchor>
              <from>
                <xdr:col>6</xdr:col>
                <xdr:colOff>1028700</xdr:colOff>
                <xdr:row>7</xdr:row>
                <xdr:rowOff>0</xdr:rowOff>
              </from>
              <to>
                <xdr:col>6</xdr:col>
                <xdr:colOff>1266825</xdr:colOff>
                <xdr:row>8</xdr:row>
                <xdr:rowOff>38100</xdr:rowOff>
              </to>
            </anchor>
          </controlPr>
        </control>
      </mc:Choice>
      <mc:Fallback>
        <control shapeId="3122" r:id="rId43" name="CommandButton5"/>
      </mc:Fallback>
    </mc:AlternateContent>
    <mc:AlternateContent xmlns:mc="http://schemas.openxmlformats.org/markup-compatibility/2006">
      <mc:Choice Requires="x14">
        <control shapeId="3123" r:id="rId45" name="Label3">
          <controlPr defaultSize="0" autoLine="0" r:id="rId46">
            <anchor>
              <from>
                <xdr:col>6</xdr:col>
                <xdr:colOff>1304925</xdr:colOff>
                <xdr:row>7</xdr:row>
                <xdr:rowOff>28575</xdr:rowOff>
              </from>
              <to>
                <xdr:col>7</xdr:col>
                <xdr:colOff>419100</xdr:colOff>
                <xdr:row>7</xdr:row>
                <xdr:rowOff>180975</xdr:rowOff>
              </to>
            </anchor>
          </controlPr>
        </control>
      </mc:Choice>
      <mc:Fallback>
        <control shapeId="3123" r:id="rId45" name="Label3"/>
      </mc:Fallback>
    </mc:AlternateContent>
    <mc:AlternateContent xmlns:mc="http://schemas.openxmlformats.org/markup-compatibility/2006">
      <mc:Choice Requires="x14">
        <control shapeId="3130" r:id="rId47" name="CheckBox1">
          <controlPr defaultSize="0" autoLine="0" r:id="rId48">
            <anchor>
              <from>
                <xdr:col>7</xdr:col>
                <xdr:colOff>323850</xdr:colOff>
                <xdr:row>4</xdr:row>
                <xdr:rowOff>76200</xdr:rowOff>
              </from>
              <to>
                <xdr:col>7</xdr:col>
                <xdr:colOff>1019175</xdr:colOff>
                <xdr:row>5</xdr:row>
                <xdr:rowOff>152400</xdr:rowOff>
              </to>
            </anchor>
          </controlPr>
        </control>
      </mc:Choice>
      <mc:Fallback>
        <control shapeId="3130" r:id="rId47" name="CheckBox1"/>
      </mc:Fallback>
    </mc:AlternateContent>
    <mc:AlternateContent xmlns:mc="http://schemas.openxmlformats.org/markup-compatibility/2006">
      <mc:Choice Requires="x14">
        <control shapeId="3135" r:id="rId49" name="MultipleReportManagerInfotb1">
          <controlPr defaultSize="0" autoLine="0" autoPict="0" r:id="rId50">
            <anchor moveWithCells="1" sizeWithCells="1">
              <from>
                <xdr:col>0</xdr:col>
                <xdr:colOff>0</xdr:colOff>
                <xdr:row>0</xdr:row>
                <xdr:rowOff>0</xdr:rowOff>
              </from>
              <to>
                <xdr:col>7</xdr:col>
                <xdr:colOff>66675</xdr:colOff>
                <xdr:row>0</xdr:row>
                <xdr:rowOff>0</xdr:rowOff>
              </to>
            </anchor>
          </controlPr>
        </control>
      </mc:Choice>
      <mc:Fallback>
        <control shapeId="3135" r:id="rId49" name="MultipleReportManagerInfotb1"/>
      </mc:Fallback>
    </mc:AlternateContent>
    <mc:AlternateContent xmlns:mc="http://schemas.openxmlformats.org/markup-compatibility/2006">
      <mc:Choice Requires="x14">
        <control shapeId="3136" r:id="rId51" name="ReportSubmitManagerControltb1">
          <controlPr defaultSize="0" autoLine="0" autoPict="0" r:id="rId50">
            <anchor moveWithCells="1" sizeWithCells="1">
              <from>
                <xdr:col>0</xdr:col>
                <xdr:colOff>0</xdr:colOff>
                <xdr:row>0</xdr:row>
                <xdr:rowOff>0</xdr:rowOff>
              </from>
              <to>
                <xdr:col>7</xdr:col>
                <xdr:colOff>66675</xdr:colOff>
                <xdr:row>0</xdr:row>
                <xdr:rowOff>0</xdr:rowOff>
              </to>
            </anchor>
          </controlPr>
        </control>
      </mc:Choice>
      <mc:Fallback>
        <control shapeId="3136" r:id="rId51" name="ReportSubmitManagerControl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E3EBA-7B3A-4C83-8B42-F21EA3C57E33}">
  <sheetPr codeName="Sheet10"/>
  <dimension ref="A1:FT104"/>
  <sheetViews>
    <sheetView showGridLines="0" zoomScale="70" zoomScaleNormal="70" workbookViewId="0">
      <pane xSplit="10" ySplit="5" topLeftCell="K6" activePane="bottomRight" state="frozen"/>
      <selection pane="topRight" activeCell="G1" sqref="G1"/>
      <selection pane="bottomLeft" activeCell="A6" sqref="A6"/>
      <selection pane="bottomRight" activeCell="G6" sqref="G6:J104"/>
    </sheetView>
  </sheetViews>
  <sheetFormatPr defaultRowHeight="15" x14ac:dyDescent="0.25"/>
  <cols>
    <col min="1" max="4" width="1.42578125" bestFit="1" customWidth="1"/>
    <col min="5" max="6" width="1.42578125" customWidth="1"/>
    <col min="7" max="7" width="25.7109375" bestFit="1" customWidth="1"/>
    <col min="8" max="8" width="52.42578125" bestFit="1" customWidth="1"/>
    <col min="9" max="9" width="27.28515625" bestFit="1" customWidth="1"/>
    <col min="10" max="10" width="49.7109375" bestFit="1" customWidth="1"/>
    <col min="11" max="14" width="19.5703125" bestFit="1" customWidth="1"/>
    <col min="15" max="15" width="19.140625" bestFit="1" customWidth="1"/>
    <col min="16" max="16" width="18.7109375" bestFit="1" customWidth="1"/>
    <col min="17" max="24" width="19.140625" bestFit="1" customWidth="1"/>
    <col min="25" max="25" width="19.5703125" bestFit="1" customWidth="1"/>
    <col min="26" max="26" width="19.140625" bestFit="1" customWidth="1"/>
    <col min="27" max="35" width="19.5703125" bestFit="1" customWidth="1"/>
    <col min="36" max="36" width="19.140625" bestFit="1" customWidth="1"/>
    <col min="37" max="45" width="19.5703125" bestFit="1" customWidth="1"/>
    <col min="46" max="46" width="19.140625" bestFit="1" customWidth="1"/>
    <col min="47" max="55" width="19.5703125" bestFit="1" customWidth="1"/>
    <col min="56" max="56" width="19.140625" bestFit="1" customWidth="1"/>
    <col min="57" max="57" width="19.5703125" bestFit="1" customWidth="1"/>
    <col min="58" max="58" width="19.140625" bestFit="1" customWidth="1"/>
    <col min="59" max="66" width="19.5703125" bestFit="1" customWidth="1"/>
    <col min="67" max="67" width="19.140625" bestFit="1" customWidth="1"/>
    <col min="68" max="68" width="18.7109375" bestFit="1" customWidth="1"/>
    <col min="69" max="76" width="19.140625" bestFit="1" customWidth="1"/>
    <col min="77" max="77" width="19.5703125" bestFit="1" customWidth="1"/>
    <col min="78" max="78" width="19.140625" bestFit="1" customWidth="1"/>
    <col min="79" max="87" width="19.5703125" bestFit="1" customWidth="1"/>
    <col min="88" max="88" width="19.140625" bestFit="1" customWidth="1"/>
    <col min="89" max="97" width="19.5703125" bestFit="1" customWidth="1"/>
    <col min="98" max="98" width="19.140625" bestFit="1" customWidth="1"/>
    <col min="99" max="107" width="19.5703125" bestFit="1" customWidth="1"/>
    <col min="108" max="108" width="19.140625" bestFit="1" customWidth="1"/>
    <col min="109" max="109" width="19.5703125" bestFit="1" customWidth="1"/>
    <col min="110" max="110" width="19.140625" bestFit="1" customWidth="1"/>
    <col min="111" max="114" width="19.5703125" bestFit="1" customWidth="1"/>
  </cols>
  <sheetData>
    <row r="1" spans="1:176" s="65" customFormat="1" ht="28.5" customHeight="1" x14ac:dyDescent="0.25">
      <c r="A1" s="100"/>
      <c r="B1" s="100"/>
      <c r="C1" s="100"/>
      <c r="D1" s="100"/>
      <c r="E1" s="100"/>
      <c r="F1" s="100"/>
      <c r="G1" s="100"/>
      <c r="H1" s="142" t="s">
        <v>253</v>
      </c>
      <c r="I1" s="142"/>
      <c r="J1" s="142"/>
      <c r="K1" s="139" t="str">
        <f>" "&amp;IFERROR(IF(SOP_Favorite_Name&lt;&gt;" ",SOP_Favorite_Name,IF(SOP_Template_Name&lt;&gt;" ",SOP_Template_Name,"Ad Hoc Planning View")),"Offline")</f>
        <v xml:space="preserve"> DDMRP Project Data</v>
      </c>
      <c r="L1" s="139"/>
      <c r="M1" s="139"/>
      <c r="N1" s="139"/>
      <c r="O1" s="139"/>
      <c r="P1" s="139"/>
      <c r="Q1" s="140" t="str">
        <f>IF(_ibpOfflineCondition_,"User: Selma Zukić-Jarrar   |    Planning Area: BMIDACHGLB
Template: 2-Supply Planning","User: "&amp;_xll.IBPUser()&amp;"   |    Planning Area: "&amp;IFERROR(SOP_Planning_Area,"Offline")&amp;"
"&amp;"Template: "&amp;IFERROR(SOP_Template_Name,"none"))</f>
        <v>User: Selma Zukić-Jarrar   |    Planning Area: BMIDACHGLB
Template: 2-Supply Planning</v>
      </c>
      <c r="R1" s="140"/>
      <c r="S1" s="140"/>
      <c r="T1" s="140"/>
      <c r="U1" s="140"/>
      <c r="V1" s="140"/>
      <c r="W1" s="101"/>
      <c r="X1" s="102"/>
      <c r="Y1" s="102"/>
      <c r="Z1" s="102"/>
      <c r="AA1" s="102"/>
      <c r="AB1" s="102"/>
      <c r="AC1" s="102"/>
      <c r="AD1" s="102"/>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76"/>
      <c r="BS1" s="76"/>
      <c r="BT1" s="76"/>
      <c r="BU1" s="76"/>
      <c r="BV1" s="76"/>
      <c r="BW1" s="76"/>
      <c r="BX1" s="76"/>
      <c r="BY1" s="76"/>
      <c r="BZ1" s="76"/>
      <c r="CA1" s="76"/>
      <c r="CB1" s="76"/>
      <c r="CC1" s="76"/>
      <c r="CD1" s="76"/>
      <c r="CE1" s="76"/>
      <c r="CF1" s="76"/>
      <c r="CG1" s="76"/>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row>
    <row r="2" spans="1:176" s="65" customFormat="1" ht="25.35" customHeight="1" x14ac:dyDescent="0.25">
      <c r="A2" s="104"/>
      <c r="B2" s="104"/>
      <c r="C2" s="104"/>
      <c r="D2" s="104"/>
      <c r="E2" s="104"/>
      <c r="F2" s="104"/>
      <c r="G2" s="104"/>
      <c r="H2" s="143" t="str">
        <f>"Unit of Measure : "&amp;SOP_TargetUoM</f>
        <v>Unit of Measure : ZUM</v>
      </c>
      <c r="I2" s="143"/>
      <c r="J2" s="143"/>
      <c r="K2" s="108"/>
      <c r="L2" s="108"/>
      <c r="M2" s="108"/>
      <c r="N2" s="108"/>
      <c r="O2" s="108"/>
      <c r="P2" s="108"/>
      <c r="Q2" s="109"/>
      <c r="R2" s="109"/>
      <c r="S2" s="109"/>
      <c r="T2" s="109"/>
      <c r="U2" s="109"/>
      <c r="V2" s="109"/>
      <c r="W2" s="101"/>
      <c r="X2" s="102"/>
      <c r="Y2" s="102"/>
      <c r="Z2" s="102"/>
      <c r="AA2" s="102"/>
      <c r="AB2" s="102"/>
      <c r="AC2" s="102"/>
      <c r="AD2" s="102"/>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76"/>
      <c r="BS2" s="76"/>
      <c r="BT2" s="76"/>
      <c r="BU2" s="76"/>
      <c r="BV2" s="76"/>
      <c r="BW2" s="76"/>
      <c r="BX2" s="76"/>
      <c r="BY2" s="76"/>
      <c r="BZ2" s="76"/>
      <c r="CA2" s="76"/>
      <c r="CB2" s="76"/>
      <c r="CC2" s="76"/>
      <c r="CD2" s="76"/>
      <c r="CE2" s="76"/>
      <c r="CF2" s="76"/>
      <c r="CG2" s="76"/>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row>
    <row r="3" spans="1:176" s="65" customFormat="1" ht="25.35" customHeight="1" x14ac:dyDescent="0.25">
      <c r="A3" s="104"/>
      <c r="B3" s="104"/>
      <c r="C3" s="104"/>
      <c r="D3" s="104"/>
      <c r="E3" s="104"/>
      <c r="F3" s="104"/>
      <c r="G3" s="104"/>
      <c r="H3" s="144" t="str">
        <f>" Currency : " &amp;SOP_TargetCurrency</f>
        <v xml:space="preserve"> Currency : EUR</v>
      </c>
      <c r="I3" s="144"/>
      <c r="J3" s="144"/>
      <c r="K3" s="141" t="str">
        <f>"  Last Refresh: "&amp;IFERROR(YEAR(SOP_Refresh_Timestamp)&amp;"-"&amp;TEXT(SOP_Refresh_Timestamp,"MMM")&amp;"-"&amp;DAY(SOP_Refresh_Timestamp)&amp;"   "&amp;TEXT(SOP_Refresh_Timestamp,"HH:MM:SS"),"Offline")</f>
        <v xml:space="preserve">  Last Refresh: 2026-Feb-3   08:34:00</v>
      </c>
      <c r="L3" s="141"/>
      <c r="M3" s="141"/>
      <c r="N3" s="141"/>
      <c r="O3" s="141"/>
      <c r="P3" s="141"/>
      <c r="Q3" s="141"/>
      <c r="R3" s="141"/>
      <c r="S3" s="141"/>
      <c r="T3" s="141"/>
      <c r="U3" s="141"/>
      <c r="V3" s="141"/>
      <c r="W3" s="101"/>
      <c r="X3" s="102"/>
      <c r="Y3" s="102"/>
      <c r="Z3" s="102"/>
      <c r="AA3" s="102"/>
      <c r="AB3" s="102"/>
      <c r="AC3" s="102"/>
      <c r="AD3" s="102"/>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76"/>
      <c r="BS3" s="76"/>
      <c r="BT3" s="76"/>
      <c r="BU3" s="76"/>
      <c r="BV3" s="76"/>
      <c r="BW3" s="76"/>
      <c r="BX3" s="76"/>
      <c r="BY3" s="76"/>
      <c r="BZ3" s="76"/>
      <c r="CA3" s="76"/>
      <c r="CB3" s="76"/>
      <c r="CC3" s="76"/>
      <c r="CD3" s="76"/>
      <c r="CE3" s="76"/>
      <c r="CF3" s="76"/>
      <c r="CG3" s="76"/>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row>
    <row r="4" spans="1:176" s="26" customFormat="1" ht="189.75" hidden="1" customHeight="1" x14ac:dyDescent="0.25">
      <c r="A4" s="138"/>
      <c r="B4" s="138"/>
      <c r="C4" s="138"/>
      <c r="D4" s="138"/>
      <c r="E4" s="138"/>
      <c r="F4" s="138"/>
      <c r="G4" s="138"/>
      <c r="H4" s="138"/>
      <c r="I4" s="138"/>
      <c r="J4" s="138"/>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5"/>
      <c r="BU4" s="105"/>
      <c r="BV4" s="105"/>
      <c r="BW4" s="105"/>
      <c r="BX4" s="105"/>
      <c r="BY4" s="105"/>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c r="EP4" s="105"/>
      <c r="EQ4" s="105"/>
      <c r="ER4" s="105"/>
      <c r="ES4" s="105"/>
      <c r="ET4" s="105"/>
      <c r="EU4" s="105"/>
      <c r="EV4" s="105"/>
      <c r="EW4" s="105"/>
      <c r="EX4" s="105"/>
      <c r="EY4" s="105"/>
      <c r="EZ4" s="105"/>
      <c r="FA4" s="105"/>
      <c r="FB4" s="105"/>
      <c r="FC4" s="105"/>
      <c r="FD4" s="105"/>
      <c r="FE4" s="105"/>
      <c r="FF4" s="105"/>
      <c r="FG4" s="105"/>
      <c r="FH4" s="105"/>
      <c r="FI4" s="105"/>
      <c r="FJ4" s="105"/>
      <c r="FK4" s="105"/>
      <c r="FL4" s="105"/>
      <c r="FM4" s="105"/>
      <c r="FN4" s="105"/>
      <c r="FO4" s="105"/>
      <c r="FP4" s="105"/>
      <c r="FQ4" s="105"/>
      <c r="FR4" s="105"/>
      <c r="FS4" s="105"/>
      <c r="FT4" s="105"/>
    </row>
    <row r="5" spans="1:176" s="27" customFormat="1" x14ac:dyDescent="0.25">
      <c r="A5" s="106" t="str">
        <f>SOP_Heading10</f>
        <v xml:space="preserve"> </v>
      </c>
      <c r="B5" s="106" t="str">
        <f>SOP_Heading9</f>
        <v xml:space="preserve"> </v>
      </c>
      <c r="C5" s="106" t="str">
        <f>SOP_Heading8</f>
        <v xml:space="preserve"> </v>
      </c>
      <c r="D5" s="106" t="str">
        <f>SOP_Heading7</f>
        <v xml:space="preserve"> </v>
      </c>
      <c r="E5" s="106" t="str">
        <f>SOP_Heading6</f>
        <v xml:space="preserve"> </v>
      </c>
      <c r="F5" s="106" t="str">
        <f>SOP_Heading5</f>
        <v xml:space="preserve"> </v>
      </c>
      <c r="G5" s="106" t="str">
        <f>SOP_Heading4</f>
        <v>Product ID</v>
      </c>
      <c r="H5" s="106" t="str">
        <f>SOP_Heading3</f>
        <v>Product Desc</v>
      </c>
      <c r="I5" s="106" t="str">
        <f>SOP_Heading2</f>
        <v>MRP Type Indicator</v>
      </c>
      <c r="J5" s="106" t="str">
        <f>SOP_Heading1</f>
        <v>Key Figure</v>
      </c>
      <c r="K5" s="146" t="str">
        <f>IF(_ibpOfflineCondition_,"W06 2024", _xll.EPMOlapMemberO("[PERIODID4].[].[62824]","","W06 2024","","000"))</f>
        <v>W06 2024</v>
      </c>
      <c r="L5" s="146" t="str">
        <f>IF(_ibpOfflineCondition_,"W07 2024", _xll.EPMOlapMemberO("[PERIODID4].[].[62825]","","W07 2024","","000"))</f>
        <v>W07 2024</v>
      </c>
      <c r="M5" s="146" t="str">
        <f>IF(_ibpOfflineCondition_,"W08 2024", _xll.EPMOlapMemberO("[PERIODID4].[].[62826]","","W08 2024","","000"))</f>
        <v>W08 2024</v>
      </c>
      <c r="N5" s="146" t="str">
        <f>IF(_ibpOfflineCondition_,"W09 2024", _xll.EPMOlapMemberO("[PERIODID4].[].[62827]","","W09 2024","","000"))</f>
        <v>W09 2024</v>
      </c>
      <c r="O5" s="146" t="str">
        <f>IF(_ibpOfflineCondition_,"W10 2024", _xll.EPMOlapMemberO("[PERIODID4].[].[62828]","","W10 2024","","000"))</f>
        <v>W10 2024</v>
      </c>
      <c r="P5" s="146" t="str">
        <f>IF(_ibpOfflineCondition_,"W11 2024", _xll.EPMOlapMemberO("[PERIODID4].[].[62829]","","W11 2024","","000"))</f>
        <v>W11 2024</v>
      </c>
      <c r="Q5" s="146" t="str">
        <f>IF(_ibpOfflineCondition_,"W12 2024", _xll.EPMOlapMemberO("[PERIODID4].[].[62830]","","W12 2024","","000"))</f>
        <v>W12 2024</v>
      </c>
      <c r="R5" s="146" t="str">
        <f>IF(_ibpOfflineCondition_,"W13 2024", _xll.EPMOlapMemberO("[PERIODID4].[].[62831]","","W13 2024","","000"))</f>
        <v>W13 2024</v>
      </c>
      <c r="S5" s="146" t="str">
        <f>IF(_ibpOfflineCondition_,"W14 2024", _xll.EPMOlapMemberO("[PERIODID4].[].[62832]","","W14 2024","","000"))</f>
        <v>W14 2024</v>
      </c>
      <c r="T5" s="146" t="str">
        <f>IF(_ibpOfflineCondition_,"W15 2024", _xll.EPMOlapMemberO("[PERIODID4].[].[62833]","","W15 2024","","000"))</f>
        <v>W15 2024</v>
      </c>
      <c r="U5" s="146" t="str">
        <f>IF(_ibpOfflineCondition_,"W16 2024", _xll.EPMOlapMemberO("[PERIODID4].[].[62834]","","W16 2024","","000"))</f>
        <v>W16 2024</v>
      </c>
      <c r="V5" s="146" t="str">
        <f>IF(_ibpOfflineCondition_,"W17 2024", _xll.EPMOlapMemberO("[PERIODID4].[].[62835]","","W17 2024","","000"))</f>
        <v>W17 2024</v>
      </c>
      <c r="W5" s="146" t="str">
        <f>IF(_ibpOfflineCondition_,"W18 2024", _xll.EPMOlapMemberO("[PERIODID4].[].[62836]","","W18 2024","","000"))</f>
        <v>W18 2024</v>
      </c>
      <c r="X5" s="146" t="str">
        <f>IF(_ibpOfflineCondition_,"W19 2024", _xll.EPMOlapMemberO("[PERIODID4].[].[62837]","","W19 2024","","000"))</f>
        <v>W19 2024</v>
      </c>
      <c r="Y5" s="146" t="str">
        <f>IF(_ibpOfflineCondition_,"W20 2024", _xll.EPMOlapMemberO("[PERIODID4].[].[62838]","","W20 2024","","000"))</f>
        <v>W20 2024</v>
      </c>
      <c r="Z5" s="146" t="str">
        <f>IF(_ibpOfflineCondition_,"W21 2024", _xll.EPMOlapMemberO("[PERIODID4].[].[62839]","","W21 2024","","000"))</f>
        <v>W21 2024</v>
      </c>
      <c r="AA5" s="146" t="str">
        <f>IF(_ibpOfflineCondition_,"W22 2024", _xll.EPMOlapMemberO("[PERIODID4].[].[62840]","","W22 2024","","000"))</f>
        <v>W22 2024</v>
      </c>
      <c r="AB5" s="146" t="str">
        <f>IF(_ibpOfflineCondition_,"W23 2024", _xll.EPMOlapMemberO("[PERIODID4].[].[62841]","","W23 2024","","000"))</f>
        <v>W23 2024</v>
      </c>
      <c r="AC5" s="146" t="str">
        <f>IF(_ibpOfflineCondition_,"W24 2024", _xll.EPMOlapMemberO("[PERIODID4].[].[62842]","","W24 2024","","000"))</f>
        <v>W24 2024</v>
      </c>
      <c r="AD5" s="146" t="str">
        <f>IF(_ibpOfflineCondition_,"W25 2024", _xll.EPMOlapMemberO("[PERIODID4].[].[62843]","","W25 2024","","000"))</f>
        <v>W25 2024</v>
      </c>
      <c r="AE5" s="146" t="str">
        <f>IF(_ibpOfflineCondition_,"W26 2024", _xll.EPMOlapMemberO("[PERIODID4].[].[62844]","","W26 2024","","000"))</f>
        <v>W26 2024</v>
      </c>
      <c r="AF5" s="146" t="str">
        <f>IF(_ibpOfflineCondition_,"W27 2024", _xll.EPMOlapMemberO("[PERIODID4].[].[62845]","","W27 2024","","000"))</f>
        <v>W27 2024</v>
      </c>
      <c r="AG5" s="146" t="str">
        <f>IF(_ibpOfflineCondition_,"W28 2024", _xll.EPMOlapMemberO("[PERIODID4].[].[62846]","","W28 2024","","000"))</f>
        <v>W28 2024</v>
      </c>
      <c r="AH5" s="146" t="str">
        <f>IF(_ibpOfflineCondition_,"W29 2024", _xll.EPMOlapMemberO("[PERIODID4].[].[62847]","","W29 2024","","000"))</f>
        <v>W29 2024</v>
      </c>
      <c r="AI5" s="146" t="str">
        <f>IF(_ibpOfflineCondition_,"W30 2024", _xll.EPMOlapMemberO("[PERIODID4].[].[62848]","","W30 2024","","000"))</f>
        <v>W30 2024</v>
      </c>
      <c r="AJ5" s="146" t="str">
        <f>IF(_ibpOfflineCondition_,"W31 2024", _xll.EPMOlapMemberO("[PERIODID4].[].[62849]","","W31 2024","","000"))</f>
        <v>W31 2024</v>
      </c>
      <c r="AK5" s="146" t="str">
        <f>IF(_ibpOfflineCondition_,"W32 2024", _xll.EPMOlapMemberO("[PERIODID4].[].[62850]","","W32 2024","","000"))</f>
        <v>W32 2024</v>
      </c>
      <c r="AL5" s="146" t="str">
        <f>IF(_ibpOfflineCondition_,"W33 2024", _xll.EPMOlapMemberO("[PERIODID4].[].[62851]","","W33 2024","","000"))</f>
        <v>W33 2024</v>
      </c>
      <c r="AM5" s="146" t="str">
        <f>IF(_ibpOfflineCondition_,"W34 2024", _xll.EPMOlapMemberO("[PERIODID4].[].[62852]","","W34 2024","","000"))</f>
        <v>W34 2024</v>
      </c>
      <c r="AN5" s="146" t="str">
        <f>IF(_ibpOfflineCondition_,"W35 2024", _xll.EPMOlapMemberO("[PERIODID4].[].[62853]","","W35 2024","","000"))</f>
        <v>W35 2024</v>
      </c>
      <c r="AO5" s="146" t="str">
        <f>IF(_ibpOfflineCondition_,"W36 2024", _xll.EPMOlapMemberO("[PERIODID4].[].[62854]","","W36 2024","","000"))</f>
        <v>W36 2024</v>
      </c>
      <c r="AP5" s="146" t="str">
        <f>IF(_ibpOfflineCondition_,"W37 2024", _xll.EPMOlapMemberO("[PERIODID4].[].[62855]","","W37 2024","","000"))</f>
        <v>W37 2024</v>
      </c>
      <c r="AQ5" s="146" t="str">
        <f>IF(_ibpOfflineCondition_,"W38 2024", _xll.EPMOlapMemberO("[PERIODID4].[].[62856]","","W38 2024","","000"))</f>
        <v>W38 2024</v>
      </c>
      <c r="AR5" s="146" t="str">
        <f>IF(_ibpOfflineCondition_,"W39 2024", _xll.EPMOlapMemberO("[PERIODID4].[].[62857]","","W39 2024","","000"))</f>
        <v>W39 2024</v>
      </c>
      <c r="AS5" s="146" t="str">
        <f>IF(_ibpOfflineCondition_,"W40 2024", _xll.EPMOlapMemberO("[PERIODID4].[].[62858]","","W40 2024","","000"))</f>
        <v>W40 2024</v>
      </c>
      <c r="AT5" s="146" t="str">
        <f>IF(_ibpOfflineCondition_,"W41 2024", _xll.EPMOlapMemberO("[PERIODID4].[].[62859]","","W41 2024","","000"))</f>
        <v>W41 2024</v>
      </c>
      <c r="AU5" s="146" t="str">
        <f>IF(_ibpOfflineCondition_,"W42 2024", _xll.EPMOlapMemberO("[PERIODID4].[].[62860]","","W42 2024","","000"))</f>
        <v>W42 2024</v>
      </c>
      <c r="AV5" s="146" t="str">
        <f>IF(_ibpOfflineCondition_,"W43 2024", _xll.EPMOlapMemberO("[PERIODID4].[].[62861]","","W43 2024","","000"))</f>
        <v>W43 2024</v>
      </c>
      <c r="AW5" s="146" t="str">
        <f>IF(_ibpOfflineCondition_,"W44 2024", _xll.EPMOlapMemberO("[PERIODID4].[].[62862]","","W44 2024","","000"))</f>
        <v>W44 2024</v>
      </c>
      <c r="AX5" s="146" t="str">
        <f>IF(_ibpOfflineCondition_,"W45 2024", _xll.EPMOlapMemberO("[PERIODID4].[].[62863]","","W45 2024","","000"))</f>
        <v>W45 2024</v>
      </c>
      <c r="AY5" s="146" t="str">
        <f>IF(_ibpOfflineCondition_,"W46 2024", _xll.EPMOlapMemberO("[PERIODID4].[].[62864]","","W46 2024","","000"))</f>
        <v>W46 2024</v>
      </c>
      <c r="AZ5" s="146" t="str">
        <f>IF(_ibpOfflineCondition_,"W47 2024", _xll.EPMOlapMemberO("[PERIODID4].[].[62865]","","W47 2024","","000"))</f>
        <v>W47 2024</v>
      </c>
      <c r="BA5" s="146" t="str">
        <f>IF(_ibpOfflineCondition_,"W48 2024", _xll.EPMOlapMemberO("[PERIODID4].[].[62866]","","W48 2024","","000"))</f>
        <v>W48 2024</v>
      </c>
      <c r="BB5" s="146" t="str">
        <f>IF(_ibpOfflineCondition_,"W49 2024", _xll.EPMOlapMemberO("[PERIODID4].[].[62867]","","W49 2024","","000"))</f>
        <v>W49 2024</v>
      </c>
      <c r="BC5" s="146" t="str">
        <f>IF(_ibpOfflineCondition_,"W50 2024", _xll.EPMOlapMemberO("[PERIODID4].[].[62868]","","W50 2024","","000"))</f>
        <v>W50 2024</v>
      </c>
      <c r="BD5" s="146" t="str">
        <f>IF(_ibpOfflineCondition_,"W51 2024", _xll.EPMOlapMemberO("[PERIODID4].[].[62869]","","W51 2024","","000"))</f>
        <v>W51 2024</v>
      </c>
      <c r="BE5" s="146" t="str">
        <f>IF(_ibpOfflineCondition_,"W52 2024", _xll.EPMOlapMemberO("[PERIODID4].[].[62870]","","W52 2024","","000"))</f>
        <v>W52 2024</v>
      </c>
      <c r="BF5" s="146" t="str">
        <f>IF(_ibpOfflineCondition_,"W01 2025", _xll.EPMOlapMemberO("[PERIODID4].[].[62871]","","W01 2025","","000"))</f>
        <v>W01 2025</v>
      </c>
      <c r="BG5" s="146" t="str">
        <f>IF(_ibpOfflineCondition_,"W02 2025", _xll.EPMOlapMemberO("[PERIODID4].[].[62872]","","W02 2025","","000"))</f>
        <v>W02 2025</v>
      </c>
      <c r="BH5" s="146" t="str">
        <f>IF(_ibpOfflineCondition_,"W03 2025", _xll.EPMOlapMemberO("[PERIODID4].[].[62873]","","W03 2025","","000"))</f>
        <v>W03 2025</v>
      </c>
      <c r="BI5" s="146" t="str">
        <f>IF(_ibpOfflineCondition_,"W04 2025", _xll.EPMOlapMemberO("[PERIODID4].[].[62874]","","W04 2025","","000"))</f>
        <v>W04 2025</v>
      </c>
      <c r="BJ5" s="146" t="str">
        <f>IF(_ibpOfflineCondition_,"W05 2025", _xll.EPMOlapMemberO("[PERIODID4].[].[62875]","","W05 2025","","000"))</f>
        <v>W05 2025</v>
      </c>
      <c r="BK5" s="146" t="str">
        <f>IF(_ibpOfflineCondition_,"W06 2025", _xll.EPMOlapMemberO("[PERIODID4].[].[62876]","","W06 2025","","000"))</f>
        <v>W06 2025</v>
      </c>
      <c r="BL5" s="146" t="str">
        <f>IF(_ibpOfflineCondition_,"W07 2025", _xll.EPMOlapMemberO("[PERIODID4].[].[62877]","","W07 2025","","000"))</f>
        <v>W07 2025</v>
      </c>
      <c r="BM5" s="146" t="str">
        <f>IF(_ibpOfflineCondition_,"W08 2025", _xll.EPMOlapMemberO("[PERIODID4].[].[62878]","","W08 2025","","000"))</f>
        <v>W08 2025</v>
      </c>
      <c r="BN5" s="146" t="str">
        <f>IF(_ibpOfflineCondition_,"W09 2025", _xll.EPMOlapMemberO("[PERIODID4].[].[62879]","","W09 2025","","000"))</f>
        <v>W09 2025</v>
      </c>
      <c r="BO5" s="146" t="str">
        <f>IF(_ibpOfflineCondition_,"W10 2025", _xll.EPMOlapMemberO("[PERIODID4].[].[62880]","","W10 2025","","000"))</f>
        <v>W10 2025</v>
      </c>
      <c r="BP5" s="146" t="str">
        <f>IF(_ibpOfflineCondition_,"W11 2025", _xll.EPMOlapMemberO("[PERIODID4].[].[62881]","","W11 2025","","000"))</f>
        <v>W11 2025</v>
      </c>
      <c r="BQ5" s="146" t="str">
        <f>IF(_ibpOfflineCondition_,"W12 2025", _xll.EPMOlapMemberO("[PERIODID4].[].[62882]","","W12 2025","","000"))</f>
        <v>W12 2025</v>
      </c>
      <c r="BR5" s="146" t="str">
        <f>IF(_ibpOfflineCondition_,"W13 2025", _xll.EPMOlapMemberO("[PERIODID4].[].[62883]","","W13 2025","","000"))</f>
        <v>W13 2025</v>
      </c>
      <c r="BS5" s="146" t="str">
        <f>IF(_ibpOfflineCondition_,"W14 2025", _xll.EPMOlapMemberO("[PERIODID4].[].[62884]","","W14 2025","","000"))</f>
        <v>W14 2025</v>
      </c>
      <c r="BT5" s="146" t="str">
        <f>IF(_ibpOfflineCondition_,"W15 2025", _xll.EPMOlapMemberO("[PERIODID4].[].[62885]","","W15 2025","","000"))</f>
        <v>W15 2025</v>
      </c>
      <c r="BU5" s="146" t="str">
        <f>IF(_ibpOfflineCondition_,"W16 2025", _xll.EPMOlapMemberO("[PERIODID4].[].[62886]","","W16 2025","","000"))</f>
        <v>W16 2025</v>
      </c>
      <c r="BV5" s="146" t="str">
        <f>IF(_ibpOfflineCondition_,"W17 2025", _xll.EPMOlapMemberO("[PERIODID4].[].[62887]","","W17 2025","","000"))</f>
        <v>W17 2025</v>
      </c>
      <c r="BW5" s="146" t="str">
        <f>IF(_ibpOfflineCondition_,"W18 2025", _xll.EPMOlapMemberO("[PERIODID4].[].[62888]","","W18 2025","","000"))</f>
        <v>W18 2025</v>
      </c>
      <c r="BX5" s="146" t="str">
        <f>IF(_ibpOfflineCondition_,"W19 2025", _xll.EPMOlapMemberO("[PERIODID4].[].[62889]","","W19 2025","","000"))</f>
        <v>W19 2025</v>
      </c>
      <c r="BY5" s="146" t="str">
        <f>IF(_ibpOfflineCondition_,"W20 2025", _xll.EPMOlapMemberO("[PERIODID4].[].[62890]","","W20 2025","","000"))</f>
        <v>W20 2025</v>
      </c>
      <c r="BZ5" s="146" t="str">
        <f>IF(_ibpOfflineCondition_,"W21 2025", _xll.EPMOlapMemberO("[PERIODID4].[].[62891]","","W21 2025","","000"))</f>
        <v>W21 2025</v>
      </c>
      <c r="CA5" s="146" t="str">
        <f>IF(_ibpOfflineCondition_,"W22 2025", _xll.EPMOlapMemberO("[PERIODID4].[].[62892]","","W22 2025","","000"))</f>
        <v>W22 2025</v>
      </c>
      <c r="CB5" s="146" t="str">
        <f>IF(_ibpOfflineCondition_,"W23 2025", _xll.EPMOlapMemberO("[PERIODID4].[].[62893]","","W23 2025","","000"))</f>
        <v>W23 2025</v>
      </c>
      <c r="CC5" s="146" t="str">
        <f>IF(_ibpOfflineCondition_,"W24 2025", _xll.EPMOlapMemberO("[PERIODID4].[].[62894]","","W24 2025","","000"))</f>
        <v>W24 2025</v>
      </c>
      <c r="CD5" s="146" t="str">
        <f>IF(_ibpOfflineCondition_,"W25 2025", _xll.EPMOlapMemberO("[PERIODID4].[].[62895]","","W25 2025","","000"))</f>
        <v>W25 2025</v>
      </c>
      <c r="CE5" s="146" t="str">
        <f>IF(_ibpOfflineCondition_,"W26 2025", _xll.EPMOlapMemberO("[PERIODID4].[].[62896]","","W26 2025","","000"))</f>
        <v>W26 2025</v>
      </c>
      <c r="CF5" s="146" t="str">
        <f>IF(_ibpOfflineCondition_,"W27 2025", _xll.EPMOlapMemberO("[PERIODID4].[].[62897]","","W27 2025","","000"))</f>
        <v>W27 2025</v>
      </c>
      <c r="CG5" s="146" t="str">
        <f>IF(_ibpOfflineCondition_,"W28 2025", _xll.EPMOlapMemberO("[PERIODID4].[].[62898]","","W28 2025","","000"))</f>
        <v>W28 2025</v>
      </c>
      <c r="CH5" s="146" t="str">
        <f>IF(_ibpOfflineCondition_,"W29 2025", _xll.EPMOlapMemberO("[PERIODID4].[].[62899]","","W29 2025","","000"))</f>
        <v>W29 2025</v>
      </c>
      <c r="CI5" s="146" t="str">
        <f>IF(_ibpOfflineCondition_,"W30 2025", _xll.EPMOlapMemberO("[PERIODID4].[].[62900]","","W30 2025","","000"))</f>
        <v>W30 2025</v>
      </c>
      <c r="CJ5" s="146" t="str">
        <f>IF(_ibpOfflineCondition_,"W31 2025", _xll.EPMOlapMemberO("[PERIODID4].[].[62901]","","W31 2025","","000"))</f>
        <v>W31 2025</v>
      </c>
      <c r="CK5" s="146" t="str">
        <f>IF(_ibpOfflineCondition_,"W32 2025", _xll.EPMOlapMemberO("[PERIODID4].[].[62902]","","W32 2025","","000"))</f>
        <v>W32 2025</v>
      </c>
      <c r="CL5" s="146" t="str">
        <f>IF(_ibpOfflineCondition_,"W33 2025", _xll.EPMOlapMemberO("[PERIODID4].[].[62903]","","W33 2025","","000"))</f>
        <v>W33 2025</v>
      </c>
      <c r="CM5" s="146" t="str">
        <f>IF(_ibpOfflineCondition_,"W34 2025", _xll.EPMOlapMemberO("[PERIODID4].[].[62904]","","W34 2025","","000"))</f>
        <v>W34 2025</v>
      </c>
      <c r="CN5" s="146" t="str">
        <f>IF(_ibpOfflineCondition_,"W35 2025", _xll.EPMOlapMemberO("[PERIODID4].[].[62905]","","W35 2025","","000"))</f>
        <v>W35 2025</v>
      </c>
      <c r="CO5" s="146" t="str">
        <f>IF(_ibpOfflineCondition_,"W36 2025", _xll.EPMOlapMemberO("[PERIODID4].[].[62906]","","W36 2025","","000"))</f>
        <v>W36 2025</v>
      </c>
      <c r="CP5" s="146" t="str">
        <f>IF(_ibpOfflineCondition_,"W37 2025", _xll.EPMOlapMemberO("[PERIODID4].[].[62907]","","W37 2025","","000"))</f>
        <v>W37 2025</v>
      </c>
      <c r="CQ5" s="146" t="str">
        <f>IF(_ibpOfflineCondition_,"W38 2025", _xll.EPMOlapMemberO("[PERIODID4].[].[62908]","","W38 2025","","000"))</f>
        <v>W38 2025</v>
      </c>
      <c r="CR5" s="146" t="str">
        <f>IF(_ibpOfflineCondition_,"W39 2025", _xll.EPMOlapMemberO("[PERIODID4].[].[62909]","","W39 2025","","000"))</f>
        <v>W39 2025</v>
      </c>
      <c r="CS5" s="146" t="str">
        <f>IF(_ibpOfflineCondition_,"W40 2025", _xll.EPMOlapMemberO("[PERIODID4].[].[62910]","","W40 2025","","000"))</f>
        <v>W40 2025</v>
      </c>
      <c r="CT5" s="146" t="str">
        <f>IF(_ibpOfflineCondition_,"W41 2025", _xll.EPMOlapMemberO("[PERIODID4].[].[62911]","","W41 2025","","000"))</f>
        <v>W41 2025</v>
      </c>
      <c r="CU5" s="146" t="str">
        <f>IF(_ibpOfflineCondition_,"W42 2025", _xll.EPMOlapMemberO("[PERIODID4].[].[62912]","","W42 2025","","000"))</f>
        <v>W42 2025</v>
      </c>
      <c r="CV5" s="146" t="str">
        <f>IF(_ibpOfflineCondition_,"W43 2025", _xll.EPMOlapMemberO("[PERIODID4].[].[62913]","","W43 2025","","000"))</f>
        <v>W43 2025</v>
      </c>
      <c r="CW5" s="146" t="str">
        <f>IF(_ibpOfflineCondition_,"W44 2025", _xll.EPMOlapMemberO("[PERIODID4].[].[62914]","","W44 2025","","000"))</f>
        <v>W44 2025</v>
      </c>
      <c r="CX5" s="146" t="str">
        <f>IF(_ibpOfflineCondition_,"W45 2025", _xll.EPMOlapMemberO("[PERIODID4].[].[62915]","","W45 2025","","000"))</f>
        <v>W45 2025</v>
      </c>
      <c r="CY5" s="146" t="str">
        <f>IF(_ibpOfflineCondition_,"W46 2025", _xll.EPMOlapMemberO("[PERIODID4].[].[62916]","","W46 2025","","000"))</f>
        <v>W46 2025</v>
      </c>
      <c r="CZ5" s="146" t="str">
        <f>IF(_ibpOfflineCondition_,"W47 2025", _xll.EPMOlapMemberO("[PERIODID4].[].[62917]","","W47 2025","","000"))</f>
        <v>W47 2025</v>
      </c>
      <c r="DA5" s="146" t="str">
        <f>IF(_ibpOfflineCondition_,"W48 2025", _xll.EPMOlapMemberO("[PERIODID4].[].[62918]","","W48 2025","","000"))</f>
        <v>W48 2025</v>
      </c>
      <c r="DB5" s="146" t="str">
        <f>IF(_ibpOfflineCondition_,"W49 2025", _xll.EPMOlapMemberO("[PERIODID4].[].[62919]","","W49 2025","","000"))</f>
        <v>W49 2025</v>
      </c>
      <c r="DC5" s="146" t="str">
        <f>IF(_ibpOfflineCondition_,"W50 2025", _xll.EPMOlapMemberO("[PERIODID4].[].[62920]","","W50 2025","","000"))</f>
        <v>W50 2025</v>
      </c>
      <c r="DD5" s="146" t="str">
        <f>IF(_ibpOfflineCondition_,"W51 2025", _xll.EPMOlapMemberO("[PERIODID4].[].[62921]","","W51 2025","","000"))</f>
        <v>W51 2025</v>
      </c>
      <c r="DE5" s="146" t="str">
        <f>IF(_ibpOfflineCondition_,"W52 2025", _xll.EPMOlapMemberO("[PERIODID4].[].[62922]","","W52 2025","","000"))</f>
        <v>W52 2025</v>
      </c>
      <c r="DF5" s="146" t="str">
        <f>IF(_ibpOfflineCondition_,"W01 2026", _xll.EPMOlapMemberO("[PERIODID4].[].[62923]","","W01 2026","","000"))</f>
        <v>W01 2026</v>
      </c>
      <c r="DG5" s="146" t="str">
        <f>IF(_ibpOfflineCondition_,"W02 2026", _xll.EPMOlapMemberO("[PERIODID4].[].[62924]","","W02 2026","","000"))</f>
        <v>W02 2026</v>
      </c>
      <c r="DH5" s="146" t="str">
        <f>IF(_ibpOfflineCondition_,"W03 2026", _xll.EPMOlapMemberO("[PERIODID4].[].[62925]","","W03 2026","","000"))</f>
        <v>W03 2026</v>
      </c>
      <c r="DI5" s="146" t="str">
        <f>IF(_ibpOfflineCondition_,"W04 2026", _xll.EPMOlapMemberO("[PERIODID4].[].[62926]","","W04 2026","","000"))</f>
        <v>W04 2026</v>
      </c>
      <c r="DJ5" s="146" t="str">
        <f>IF(_ibpOfflineCondition_,"W05 2026", _xll.EPMOlapMemberO("[PERIODID4].[].[62927]","","W05 2026","","000"))</f>
        <v>W05 2026</v>
      </c>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row>
    <row r="6" spans="1:176" x14ac:dyDescent="0.25">
      <c r="A6" s="107"/>
      <c r="B6" s="107"/>
      <c r="C6" s="107"/>
      <c r="D6" s="107"/>
      <c r="E6" s="107"/>
      <c r="F6" s="107"/>
      <c r="G6" s="147" t="str">
        <f>IF(_ibpOfflineCondition_,"000000000000563901-1", _xll.EPMOlapMemberO("[PRDID].[].[000000000000563901-1]","","000000000000563901-1","","000"))</f>
        <v>000000000000563901-1</v>
      </c>
      <c r="H6" s="147" t="str">
        <f>IF(_ibpOfflineCondition_,"FGR+ FIGAROLLPLUS 5/280+40 BRAUN BRAMAC", _xll.EPMOlapMemberO("[PRDDESCR].[].[FGR+ FIGAROLLPLUS 5/280+40 BRAUN BRAMAC]","","FGR+ FIGAROLLPLUS 5/280+40 BRAUN BRAMAC","","000"))</f>
        <v>FGR+ FIGAROLLPLUS 5/280+40 BRAUN BRAMAC</v>
      </c>
      <c r="I6" s="147" t="str">
        <f>IF(_ibpOfflineCondition_,"X0", _xll.EPMOlapMemberO("[MRPTYPE].[].[X0]","","X0","","000"))</f>
        <v>X0</v>
      </c>
      <c r="J6" s="147" t="str">
        <f>IF(_ibpOfflineCondition_,"GSCRM Actual Sales and Unconstrained Demand", _xll.EPMOlapMemberO("[KEY_FIGURES].[].[ZGSCRMACTUALUNCONSDEMAND]","","GSCRM Actual Sales and Unconstrained Demand","","000"))</f>
        <v>GSCRM Actual Sales and Unconstrained Demand</v>
      </c>
      <c r="K6" s="58"/>
      <c r="L6" s="58">
        <v>180</v>
      </c>
      <c r="M6" s="58">
        <v>180</v>
      </c>
      <c r="N6" s="58">
        <v>90</v>
      </c>
      <c r="O6" s="58">
        <v>180</v>
      </c>
      <c r="P6" s="58">
        <v>180</v>
      </c>
      <c r="Q6" s="58">
        <v>180</v>
      </c>
      <c r="R6" s="58"/>
      <c r="S6" s="58"/>
      <c r="T6" s="58">
        <v>450</v>
      </c>
      <c r="U6" s="58">
        <v>180</v>
      </c>
      <c r="V6" s="58"/>
      <c r="W6" s="58">
        <v>90</v>
      </c>
      <c r="X6" s="58"/>
      <c r="Y6" s="58"/>
      <c r="Z6" s="58">
        <v>270</v>
      </c>
      <c r="AA6" s="58"/>
      <c r="AB6" s="58">
        <v>450</v>
      </c>
      <c r="AC6" s="58">
        <v>360</v>
      </c>
      <c r="AD6" s="58">
        <v>90</v>
      </c>
      <c r="AE6" s="58"/>
      <c r="AF6" s="58">
        <v>90</v>
      </c>
      <c r="AG6" s="58"/>
      <c r="AH6" s="58">
        <v>630</v>
      </c>
      <c r="AI6" s="58"/>
      <c r="AJ6" s="58">
        <v>270</v>
      </c>
      <c r="AK6" s="58">
        <v>270</v>
      </c>
      <c r="AL6" s="58">
        <v>90</v>
      </c>
      <c r="AM6" s="58">
        <v>180</v>
      </c>
      <c r="AN6" s="58"/>
      <c r="AO6" s="58">
        <v>90</v>
      </c>
      <c r="AP6" s="58">
        <v>270</v>
      </c>
      <c r="AQ6" s="58">
        <v>315</v>
      </c>
      <c r="AR6" s="58"/>
      <c r="AS6" s="58">
        <v>270</v>
      </c>
      <c r="AT6" s="58">
        <v>90</v>
      </c>
      <c r="AU6" s="58">
        <v>90</v>
      </c>
      <c r="AV6" s="58">
        <v>180</v>
      </c>
      <c r="AW6" s="58"/>
      <c r="AX6" s="58">
        <v>90</v>
      </c>
      <c r="AY6" s="58"/>
      <c r="AZ6" s="58"/>
      <c r="BA6" s="58"/>
      <c r="BB6" s="58">
        <v>270</v>
      </c>
      <c r="BC6" s="58"/>
      <c r="BD6" s="58">
        <v>90</v>
      </c>
      <c r="BE6" s="58"/>
      <c r="BF6" s="58"/>
      <c r="BG6" s="58">
        <v>90</v>
      </c>
      <c r="BH6" s="58">
        <v>840</v>
      </c>
      <c r="BI6" s="58">
        <v>360</v>
      </c>
      <c r="BJ6" s="58"/>
      <c r="BK6" s="58">
        <v>300</v>
      </c>
      <c r="BL6" s="58">
        <v>90</v>
      </c>
      <c r="BM6" s="58"/>
      <c r="BN6" s="58">
        <v>90</v>
      </c>
      <c r="BO6" s="58"/>
      <c r="BP6" s="58">
        <v>240</v>
      </c>
      <c r="BQ6" s="58">
        <v>90</v>
      </c>
      <c r="BR6" s="58">
        <v>270</v>
      </c>
      <c r="BS6" s="58">
        <v>990</v>
      </c>
      <c r="BT6" s="58">
        <v>180</v>
      </c>
      <c r="BU6" s="58">
        <v>360</v>
      </c>
      <c r="BV6" s="58">
        <v>540</v>
      </c>
      <c r="BW6" s="58"/>
      <c r="BX6" s="58">
        <v>180</v>
      </c>
      <c r="BY6" s="58">
        <v>180</v>
      </c>
      <c r="BZ6" s="58"/>
      <c r="CA6" s="58">
        <v>300</v>
      </c>
      <c r="CB6" s="58">
        <v>90</v>
      </c>
      <c r="CC6" s="58">
        <v>90</v>
      </c>
      <c r="CD6" s="58">
        <v>180</v>
      </c>
      <c r="CE6" s="58">
        <v>90</v>
      </c>
      <c r="CF6" s="58">
        <v>150</v>
      </c>
      <c r="CG6" s="58"/>
      <c r="CH6" s="58">
        <v>270</v>
      </c>
      <c r="CI6" s="58">
        <v>270</v>
      </c>
      <c r="CJ6" s="58">
        <v>90</v>
      </c>
      <c r="CK6" s="58">
        <v>180</v>
      </c>
      <c r="CL6" s="58"/>
      <c r="CM6" s="58">
        <v>360</v>
      </c>
      <c r="CN6" s="58">
        <v>90</v>
      </c>
      <c r="CO6" s="58">
        <v>90</v>
      </c>
      <c r="CP6" s="58">
        <v>90</v>
      </c>
      <c r="CQ6" s="58">
        <v>90</v>
      </c>
      <c r="CR6" s="58">
        <v>270</v>
      </c>
      <c r="CS6" s="58">
        <v>360</v>
      </c>
      <c r="CT6" s="58">
        <v>180</v>
      </c>
      <c r="CU6" s="58">
        <v>180</v>
      </c>
      <c r="CV6" s="58">
        <v>90</v>
      </c>
      <c r="CW6" s="58">
        <v>180</v>
      </c>
      <c r="CX6" s="58">
        <v>140</v>
      </c>
      <c r="CY6" s="58"/>
      <c r="CZ6" s="58"/>
      <c r="DA6" s="58"/>
      <c r="DB6" s="58">
        <v>90</v>
      </c>
      <c r="DC6" s="58">
        <v>90</v>
      </c>
      <c r="DD6" s="58"/>
      <c r="DE6" s="58"/>
      <c r="DF6" s="58"/>
      <c r="DG6" s="58"/>
      <c r="DH6" s="58">
        <v>90</v>
      </c>
      <c r="DI6" s="58">
        <v>270</v>
      </c>
      <c r="DJ6" s="58">
        <v>90</v>
      </c>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row>
    <row r="7" spans="1:176" x14ac:dyDescent="0.25">
      <c r="A7" s="107"/>
      <c r="B7" s="107"/>
      <c r="C7" s="107"/>
      <c r="D7" s="107"/>
      <c r="E7" s="107"/>
      <c r="F7" s="107"/>
      <c r="G7" s="147" t="str">
        <f>IF(_ibpOfflineCondition_,"000000000000563901-1", _xll.EPMOlapMemberO("[PRDID].[].[000000000000563901-1]","","000000000000563901-1","","000"))</f>
        <v>000000000000563901-1</v>
      </c>
      <c r="H7" s="147" t="str">
        <f>IF(_ibpOfflineCondition_,"FGR+ FIGAROLLPLUS 5/280+40 BRAUN BRAMAC", _xll.EPMOlapMemberO("[PRDDESCR].[].[FGR+ FIGAROLLPLUS 5/280+40 BRAUN BRAMAC]","","FGR+ FIGAROLLPLUS 5/280+40 BRAUN BRAMAC","","000"))</f>
        <v>FGR+ FIGAROLLPLUS 5/280+40 BRAUN BRAMAC</v>
      </c>
      <c r="I7" s="147" t="str">
        <f>IF(_ibpOfflineCondition_,"X0", _xll.EPMOlapMemberO("[MRPTYPE].[].[X0]","","X0","","000"))</f>
        <v>X0</v>
      </c>
      <c r="J7" s="147" t="str">
        <f>IF(_ibpOfflineCondition_,"GSCRM Actuals and Future Production", _xll.EPMOlapMemberO("[KEY_FIGURES].[].[ZGSCRMACTUALSPRODUCTION]","","GSCRM Actuals and Future Production","","000"))</f>
        <v>GSCRM Actuals and Future Production</v>
      </c>
      <c r="K7" s="58">
        <v>0</v>
      </c>
      <c r="L7" s="58">
        <v>0</v>
      </c>
      <c r="M7" s="58">
        <v>0</v>
      </c>
      <c r="N7" s="58">
        <v>0</v>
      </c>
      <c r="O7" s="58">
        <v>0</v>
      </c>
      <c r="P7" s="58">
        <v>0</v>
      </c>
      <c r="Q7" s="58">
        <v>0</v>
      </c>
      <c r="R7" s="58">
        <v>720</v>
      </c>
      <c r="S7" s="58">
        <v>0</v>
      </c>
      <c r="T7" s="58">
        <v>0</v>
      </c>
      <c r="U7" s="58">
        <v>0</v>
      </c>
      <c r="V7" s="58">
        <v>0</v>
      </c>
      <c r="W7" s="58">
        <v>0</v>
      </c>
      <c r="X7" s="58">
        <v>360</v>
      </c>
      <c r="Y7" s="58">
        <v>540</v>
      </c>
      <c r="Z7" s="58">
        <v>0</v>
      </c>
      <c r="AA7" s="58">
        <v>360</v>
      </c>
      <c r="AB7" s="58">
        <v>0</v>
      </c>
      <c r="AC7" s="58">
        <v>0</v>
      </c>
      <c r="AD7" s="58">
        <v>0</v>
      </c>
      <c r="AE7" s="58"/>
      <c r="AF7" s="58">
        <v>900</v>
      </c>
      <c r="AG7" s="58"/>
      <c r="AH7" s="58">
        <v>900</v>
      </c>
      <c r="AI7" s="58"/>
      <c r="AJ7" s="58">
        <v>0</v>
      </c>
      <c r="AK7" s="58">
        <v>0</v>
      </c>
      <c r="AL7" s="58">
        <v>0</v>
      </c>
      <c r="AM7" s="58">
        <v>0</v>
      </c>
      <c r="AN7" s="58">
        <v>1080</v>
      </c>
      <c r="AO7" s="58">
        <v>0</v>
      </c>
      <c r="AP7" s="58">
        <v>0</v>
      </c>
      <c r="AQ7" s="58">
        <v>0</v>
      </c>
      <c r="AR7" s="58"/>
      <c r="AS7" s="58">
        <v>0</v>
      </c>
      <c r="AT7" s="58">
        <v>0</v>
      </c>
      <c r="AU7" s="58">
        <v>0</v>
      </c>
      <c r="AV7" s="58">
        <v>0</v>
      </c>
      <c r="AW7" s="58"/>
      <c r="AX7" s="58">
        <v>0</v>
      </c>
      <c r="AY7" s="58"/>
      <c r="AZ7" s="58">
        <v>450</v>
      </c>
      <c r="BA7" s="58">
        <v>1440</v>
      </c>
      <c r="BB7" s="58">
        <v>270</v>
      </c>
      <c r="BC7" s="58"/>
      <c r="BD7" s="58">
        <v>0</v>
      </c>
      <c r="BE7" s="58"/>
      <c r="BF7" s="58"/>
      <c r="BG7" s="58">
        <v>0</v>
      </c>
      <c r="BH7" s="58">
        <v>0</v>
      </c>
      <c r="BI7" s="58">
        <v>0</v>
      </c>
      <c r="BJ7" s="58"/>
      <c r="BK7" s="58">
        <v>0</v>
      </c>
      <c r="BL7" s="58">
        <v>0</v>
      </c>
      <c r="BM7" s="58"/>
      <c r="BN7" s="58">
        <v>360</v>
      </c>
      <c r="BO7" s="58"/>
      <c r="BP7" s="58">
        <v>0</v>
      </c>
      <c r="BQ7" s="58">
        <v>1440</v>
      </c>
      <c r="BR7" s="58">
        <v>0</v>
      </c>
      <c r="BS7" s="58">
        <v>0</v>
      </c>
      <c r="BT7" s="58">
        <v>1260</v>
      </c>
      <c r="BU7" s="58">
        <v>0</v>
      </c>
      <c r="BV7" s="58">
        <v>0</v>
      </c>
      <c r="BW7" s="58"/>
      <c r="BX7" s="58">
        <v>540</v>
      </c>
      <c r="BY7" s="58">
        <v>0</v>
      </c>
      <c r="BZ7" s="58"/>
      <c r="CA7" s="58">
        <v>360</v>
      </c>
      <c r="CB7" s="58">
        <v>540</v>
      </c>
      <c r="CC7" s="58">
        <v>0</v>
      </c>
      <c r="CD7" s="58">
        <v>0</v>
      </c>
      <c r="CE7" s="58">
        <v>1260</v>
      </c>
      <c r="CF7" s="58">
        <v>0</v>
      </c>
      <c r="CG7" s="58"/>
      <c r="CH7" s="58">
        <v>0</v>
      </c>
      <c r="CI7" s="58">
        <v>0</v>
      </c>
      <c r="CJ7" s="58">
        <v>0</v>
      </c>
      <c r="CK7" s="58">
        <v>0</v>
      </c>
      <c r="CL7" s="58"/>
      <c r="CM7" s="58">
        <v>0</v>
      </c>
      <c r="CN7" s="58">
        <v>0</v>
      </c>
      <c r="CO7" s="58">
        <v>450</v>
      </c>
      <c r="CP7" s="58">
        <v>0</v>
      </c>
      <c r="CQ7" s="58">
        <v>0</v>
      </c>
      <c r="CR7" s="58">
        <v>360</v>
      </c>
      <c r="CS7" s="58">
        <v>540</v>
      </c>
      <c r="CT7" s="58">
        <v>0</v>
      </c>
      <c r="CU7" s="58">
        <v>0</v>
      </c>
      <c r="CV7" s="58">
        <v>0</v>
      </c>
      <c r="CW7" s="58">
        <v>540</v>
      </c>
      <c r="CX7" s="58">
        <v>0</v>
      </c>
      <c r="CY7" s="58"/>
      <c r="CZ7" s="58"/>
      <c r="DA7" s="58"/>
      <c r="DB7" s="58">
        <v>0</v>
      </c>
      <c r="DC7" s="58">
        <v>0</v>
      </c>
      <c r="DD7" s="58"/>
      <c r="DE7" s="58"/>
      <c r="DF7" s="58"/>
      <c r="DG7" s="58">
        <v>270</v>
      </c>
      <c r="DH7" s="58">
        <v>0</v>
      </c>
      <c r="DI7" s="58">
        <v>0</v>
      </c>
      <c r="DJ7" s="58">
        <v>0</v>
      </c>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row>
    <row r="8" spans="1:176" x14ac:dyDescent="0.25">
      <c r="A8" s="107"/>
      <c r="B8" s="107"/>
      <c r="C8" s="107"/>
      <c r="D8" s="107"/>
      <c r="E8" s="107"/>
      <c r="F8" s="107"/>
      <c r="G8" s="147" t="str">
        <f>IF(_ibpOfflineCondition_,"000000000000563901-1", _xll.EPMOlapMemberO("[PRDID].[].[000000000000563901-1]","","000000000000563901-1","","000"))</f>
        <v>000000000000563901-1</v>
      </c>
      <c r="H8" s="147" t="str">
        <f>IF(_ibpOfflineCondition_,"FGR+ FIGAROLLPLUS 5/280+40 BRAUN BRAMAC", _xll.EPMOlapMemberO("[PRDDESCR].[].[FGR+ FIGAROLLPLUS 5/280+40 BRAUN BRAMAC]","","FGR+ FIGAROLLPLUS 5/280+40 BRAUN BRAMAC","","000"))</f>
        <v>FGR+ FIGAROLLPLUS 5/280+40 BRAUN BRAMAC</v>
      </c>
      <c r="I8" s="147" t="str">
        <f>IF(_ibpOfflineCondition_,"X0", _xll.EPMOlapMemberO("[MRPTYPE].[].[X0]","","X0","","000"))</f>
        <v>X0</v>
      </c>
      <c r="J8" s="147" t="str">
        <f>IF(_ibpOfflineCondition_,"GSCRM Projected Stock (Unconstrained Demand)", _xll.EPMOlapMemberO("[KEY_FIGURES].[].[ZGSCRMUNCONSINVENTORY]","","GSCRM Projected Stock (Unconstrained Demand)","","000"))</f>
        <v>GSCRM Projected Stock (Unconstrained Demand)</v>
      </c>
      <c r="K8" s="58">
        <v>1011</v>
      </c>
      <c r="L8" s="58">
        <v>831</v>
      </c>
      <c r="M8" s="58">
        <v>651</v>
      </c>
      <c r="N8" s="58">
        <v>561</v>
      </c>
      <c r="O8" s="58">
        <v>381</v>
      </c>
      <c r="P8" s="58">
        <v>201</v>
      </c>
      <c r="Q8" s="58">
        <v>21</v>
      </c>
      <c r="R8" s="58">
        <v>741</v>
      </c>
      <c r="S8" s="58"/>
      <c r="T8" s="58">
        <v>291</v>
      </c>
      <c r="U8" s="58">
        <v>111</v>
      </c>
      <c r="V8" s="58">
        <v>111</v>
      </c>
      <c r="W8" s="58">
        <v>21</v>
      </c>
      <c r="X8" s="58">
        <v>381</v>
      </c>
      <c r="Y8" s="58">
        <v>921</v>
      </c>
      <c r="Z8" s="58">
        <v>651</v>
      </c>
      <c r="AA8" s="58">
        <v>1011</v>
      </c>
      <c r="AB8" s="58">
        <v>471</v>
      </c>
      <c r="AC8" s="58">
        <v>201</v>
      </c>
      <c r="AD8" s="58">
        <v>111</v>
      </c>
      <c r="AE8" s="58">
        <v>111</v>
      </c>
      <c r="AF8" s="58">
        <v>921</v>
      </c>
      <c r="AG8" s="58">
        <v>921</v>
      </c>
      <c r="AH8" s="58">
        <v>1191</v>
      </c>
      <c r="AI8" s="58">
        <v>1191</v>
      </c>
      <c r="AJ8" s="58">
        <v>921</v>
      </c>
      <c r="AK8" s="58">
        <v>651</v>
      </c>
      <c r="AL8" s="58">
        <v>561</v>
      </c>
      <c r="AM8" s="58">
        <v>381</v>
      </c>
      <c r="AN8" s="58">
        <v>1461</v>
      </c>
      <c r="AO8" s="58">
        <v>1371</v>
      </c>
      <c r="AP8" s="58">
        <v>1101</v>
      </c>
      <c r="AQ8" s="58">
        <v>786</v>
      </c>
      <c r="AR8" s="58">
        <v>786</v>
      </c>
      <c r="AS8" s="58">
        <v>516</v>
      </c>
      <c r="AT8" s="58">
        <v>426</v>
      </c>
      <c r="AU8" s="58">
        <v>336</v>
      </c>
      <c r="AV8" s="58">
        <v>156</v>
      </c>
      <c r="AW8" s="58">
        <v>156</v>
      </c>
      <c r="AX8" s="58">
        <v>66</v>
      </c>
      <c r="AY8" s="58">
        <v>66</v>
      </c>
      <c r="AZ8" s="58">
        <v>516</v>
      </c>
      <c r="BA8" s="58">
        <v>1956</v>
      </c>
      <c r="BB8" s="58">
        <v>1866</v>
      </c>
      <c r="BC8" s="58">
        <v>1866</v>
      </c>
      <c r="BD8" s="58">
        <v>1776</v>
      </c>
      <c r="BE8" s="58">
        <v>1776</v>
      </c>
      <c r="BF8" s="58">
        <v>1776</v>
      </c>
      <c r="BG8" s="58">
        <v>1686</v>
      </c>
      <c r="BH8" s="58">
        <v>846</v>
      </c>
      <c r="BI8" s="58">
        <v>486</v>
      </c>
      <c r="BJ8" s="58">
        <v>486</v>
      </c>
      <c r="BK8" s="58">
        <v>186</v>
      </c>
      <c r="BL8" s="58">
        <v>96</v>
      </c>
      <c r="BM8" s="58">
        <v>96</v>
      </c>
      <c r="BN8" s="58">
        <v>366</v>
      </c>
      <c r="BO8" s="58">
        <v>366</v>
      </c>
      <c r="BP8" s="58">
        <v>126</v>
      </c>
      <c r="BQ8" s="58">
        <v>1476</v>
      </c>
      <c r="BR8" s="58">
        <v>1206</v>
      </c>
      <c r="BS8" s="58">
        <v>216</v>
      </c>
      <c r="BT8" s="58">
        <v>1296</v>
      </c>
      <c r="BU8" s="58">
        <v>936</v>
      </c>
      <c r="BV8" s="58">
        <v>396</v>
      </c>
      <c r="BW8" s="58">
        <v>396</v>
      </c>
      <c r="BX8" s="58">
        <v>756</v>
      </c>
      <c r="BY8" s="58">
        <v>576</v>
      </c>
      <c r="BZ8" s="58">
        <v>576</v>
      </c>
      <c r="CA8" s="58">
        <v>636</v>
      </c>
      <c r="CB8" s="58">
        <v>1086</v>
      </c>
      <c r="CC8" s="58">
        <v>996</v>
      </c>
      <c r="CD8" s="58">
        <v>816</v>
      </c>
      <c r="CE8" s="58">
        <v>1986</v>
      </c>
      <c r="CF8" s="58">
        <v>1836</v>
      </c>
      <c r="CG8" s="58">
        <v>1836</v>
      </c>
      <c r="CH8" s="58">
        <v>1566</v>
      </c>
      <c r="CI8" s="58">
        <v>1296</v>
      </c>
      <c r="CJ8" s="58">
        <v>1206</v>
      </c>
      <c r="CK8" s="58">
        <v>1026</v>
      </c>
      <c r="CL8" s="58">
        <v>1026</v>
      </c>
      <c r="CM8" s="58">
        <v>666</v>
      </c>
      <c r="CN8" s="58">
        <v>576</v>
      </c>
      <c r="CO8" s="58">
        <v>936</v>
      </c>
      <c r="CP8" s="58">
        <v>846</v>
      </c>
      <c r="CQ8" s="58">
        <v>756</v>
      </c>
      <c r="CR8" s="58">
        <v>846</v>
      </c>
      <c r="CS8" s="58">
        <v>1026</v>
      </c>
      <c r="CT8" s="58">
        <v>846</v>
      </c>
      <c r="CU8" s="58">
        <v>666</v>
      </c>
      <c r="CV8" s="58">
        <v>576</v>
      </c>
      <c r="CW8" s="58">
        <v>936</v>
      </c>
      <c r="CX8" s="58">
        <v>796</v>
      </c>
      <c r="CY8" s="58">
        <v>796</v>
      </c>
      <c r="CZ8" s="58">
        <v>796</v>
      </c>
      <c r="DA8" s="58">
        <v>796</v>
      </c>
      <c r="DB8" s="58">
        <v>706</v>
      </c>
      <c r="DC8" s="58">
        <v>616</v>
      </c>
      <c r="DD8" s="58">
        <v>616</v>
      </c>
      <c r="DE8" s="58">
        <v>616</v>
      </c>
      <c r="DF8" s="58">
        <v>616</v>
      </c>
      <c r="DG8" s="58">
        <v>886</v>
      </c>
      <c r="DH8" s="58">
        <v>706</v>
      </c>
      <c r="DI8" s="58">
        <v>526</v>
      </c>
      <c r="DJ8" s="58">
        <v>436</v>
      </c>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row>
    <row r="9" spans="1:176" x14ac:dyDescent="0.25">
      <c r="A9" s="107"/>
      <c r="B9" s="107"/>
      <c r="C9" s="107"/>
      <c r="D9" s="107"/>
      <c r="E9" s="107"/>
      <c r="F9" s="107"/>
      <c r="G9" s="147" t="str">
        <f>IF(_ibpOfflineCondition_,"000000000000563902-1", _xll.EPMOlapMemberO("[PRDID].[].[000000000000563902-1]","","000000000000563902-1","","000"))</f>
        <v>000000000000563902-1</v>
      </c>
      <c r="H9" s="147" t="str">
        <f>IF(_ibpOfflineCondition_,"FGR+ FIGAROLLPLUS 5/280+40 ANTHR BRAMAC", _xll.EPMOlapMemberO("[PRDDESCR].[].[FGR+ FIGAROLLPLUS 5/280+40 ANTHR BRAMAC]","","FGR+ FIGAROLLPLUS 5/280+40 ANTHR BRAMAC","","000"))</f>
        <v>FGR+ FIGAROLLPLUS 5/280+40 ANTHR BRAMAC</v>
      </c>
      <c r="I9" s="147" t="str">
        <f>IF(_ibpOfflineCondition_,"X0", _xll.EPMOlapMemberO("[MRPTYPE].[].[X0]","","X0","","000"))</f>
        <v>X0</v>
      </c>
      <c r="J9" s="147" t="str">
        <f>IF(_ibpOfflineCondition_,"GSCRM Actual Sales and Unconstrained Demand", _xll.EPMOlapMemberO("[KEY_FIGURES].[].[ZGSCRMACTUALUNCONSDEMAND]","","GSCRM Actual Sales and Unconstrained Demand","","000"))</f>
        <v>GSCRM Actual Sales and Unconstrained Demand</v>
      </c>
      <c r="K9" s="58"/>
      <c r="L9" s="58">
        <v>180</v>
      </c>
      <c r="M9" s="58">
        <v>540</v>
      </c>
      <c r="N9" s="58">
        <v>450</v>
      </c>
      <c r="O9" s="58">
        <v>450</v>
      </c>
      <c r="P9" s="58">
        <v>990</v>
      </c>
      <c r="Q9" s="58"/>
      <c r="R9" s="58"/>
      <c r="S9" s="58"/>
      <c r="T9" s="58">
        <v>900</v>
      </c>
      <c r="U9" s="58">
        <v>90</v>
      </c>
      <c r="V9" s="58">
        <v>90</v>
      </c>
      <c r="W9" s="58">
        <v>540</v>
      </c>
      <c r="X9" s="58"/>
      <c r="Y9" s="58">
        <v>360</v>
      </c>
      <c r="Z9" s="58">
        <v>270</v>
      </c>
      <c r="AA9" s="58">
        <v>90</v>
      </c>
      <c r="AB9" s="58">
        <v>630</v>
      </c>
      <c r="AC9" s="58">
        <v>1440</v>
      </c>
      <c r="AD9" s="58">
        <v>1030</v>
      </c>
      <c r="AE9" s="58">
        <v>580</v>
      </c>
      <c r="AF9" s="58">
        <v>360</v>
      </c>
      <c r="AG9" s="58">
        <v>40</v>
      </c>
      <c r="AH9" s="58">
        <v>990</v>
      </c>
      <c r="AI9" s="58"/>
      <c r="AJ9" s="58">
        <v>200</v>
      </c>
      <c r="AK9" s="58">
        <v>360</v>
      </c>
      <c r="AL9" s="58">
        <v>720</v>
      </c>
      <c r="AM9" s="58">
        <v>270</v>
      </c>
      <c r="AN9" s="58">
        <v>180</v>
      </c>
      <c r="AO9" s="58">
        <v>90</v>
      </c>
      <c r="AP9" s="58">
        <v>540</v>
      </c>
      <c r="AQ9" s="58">
        <v>45</v>
      </c>
      <c r="AR9" s="58">
        <v>180</v>
      </c>
      <c r="AS9" s="58">
        <v>410</v>
      </c>
      <c r="AT9" s="58">
        <v>45</v>
      </c>
      <c r="AU9" s="58">
        <v>810</v>
      </c>
      <c r="AV9" s="58">
        <v>630</v>
      </c>
      <c r="AW9" s="58">
        <v>360</v>
      </c>
      <c r="AX9" s="58">
        <v>720</v>
      </c>
      <c r="AY9" s="58">
        <v>450</v>
      </c>
      <c r="AZ9" s="58"/>
      <c r="BA9" s="58">
        <v>360</v>
      </c>
      <c r="BB9" s="58">
        <v>660</v>
      </c>
      <c r="BC9" s="58">
        <v>180</v>
      </c>
      <c r="BD9" s="58"/>
      <c r="BE9" s="58"/>
      <c r="BF9" s="58"/>
      <c r="BG9" s="58"/>
      <c r="BH9" s="58">
        <v>490</v>
      </c>
      <c r="BI9" s="58">
        <v>180</v>
      </c>
      <c r="BJ9" s="58"/>
      <c r="BK9" s="58">
        <v>430</v>
      </c>
      <c r="BL9" s="58">
        <v>90</v>
      </c>
      <c r="BM9" s="58">
        <v>90</v>
      </c>
      <c r="BN9" s="58"/>
      <c r="BO9" s="58">
        <v>450</v>
      </c>
      <c r="BP9" s="58">
        <v>1200</v>
      </c>
      <c r="BQ9" s="58">
        <v>1470</v>
      </c>
      <c r="BR9" s="58"/>
      <c r="BS9" s="58">
        <v>1260</v>
      </c>
      <c r="BT9" s="58">
        <v>540</v>
      </c>
      <c r="BU9" s="58">
        <v>360</v>
      </c>
      <c r="BV9" s="58">
        <v>810</v>
      </c>
      <c r="BW9" s="58">
        <v>540</v>
      </c>
      <c r="BX9" s="58">
        <v>90</v>
      </c>
      <c r="BY9" s="58">
        <v>540</v>
      </c>
      <c r="BZ9" s="58"/>
      <c r="CA9" s="58">
        <v>570</v>
      </c>
      <c r="CB9" s="58">
        <v>270</v>
      </c>
      <c r="CC9" s="58">
        <v>270</v>
      </c>
      <c r="CD9" s="58">
        <v>90</v>
      </c>
      <c r="CE9" s="58">
        <v>540</v>
      </c>
      <c r="CF9" s="58">
        <v>330</v>
      </c>
      <c r="CG9" s="58"/>
      <c r="CH9" s="58">
        <v>540</v>
      </c>
      <c r="CI9" s="58">
        <v>540</v>
      </c>
      <c r="CJ9" s="58">
        <v>270</v>
      </c>
      <c r="CK9" s="58">
        <v>720</v>
      </c>
      <c r="CL9" s="58"/>
      <c r="CM9" s="58">
        <v>360</v>
      </c>
      <c r="CN9" s="58">
        <v>180</v>
      </c>
      <c r="CO9" s="58">
        <v>540</v>
      </c>
      <c r="CP9" s="58">
        <v>540</v>
      </c>
      <c r="CQ9" s="58"/>
      <c r="CR9" s="58">
        <v>1170</v>
      </c>
      <c r="CS9" s="58">
        <v>360</v>
      </c>
      <c r="CT9" s="58">
        <v>540</v>
      </c>
      <c r="CU9" s="58">
        <v>450</v>
      </c>
      <c r="CV9" s="58">
        <v>180</v>
      </c>
      <c r="CW9" s="58">
        <v>180</v>
      </c>
      <c r="CX9" s="58"/>
      <c r="CY9" s="58">
        <v>1170</v>
      </c>
      <c r="CZ9" s="58"/>
      <c r="DA9" s="58">
        <v>540</v>
      </c>
      <c r="DB9" s="58">
        <v>180</v>
      </c>
      <c r="DC9" s="58">
        <v>360</v>
      </c>
      <c r="DD9" s="58"/>
      <c r="DE9" s="58"/>
      <c r="DF9" s="58"/>
      <c r="DG9" s="58"/>
      <c r="DH9" s="58">
        <v>180</v>
      </c>
      <c r="DI9" s="58">
        <v>540</v>
      </c>
      <c r="DJ9" s="58"/>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row>
    <row r="10" spans="1:176" x14ac:dyDescent="0.25">
      <c r="A10" s="107"/>
      <c r="B10" s="107"/>
      <c r="C10" s="107"/>
      <c r="D10" s="107"/>
      <c r="E10" s="107"/>
      <c r="F10" s="107"/>
      <c r="G10" s="147" t="str">
        <f>IF(_ibpOfflineCondition_,"000000000000563902-1", _xll.EPMOlapMemberO("[PRDID].[].[000000000000563902-1]","","000000000000563902-1","","000"))</f>
        <v>000000000000563902-1</v>
      </c>
      <c r="H10" s="147" t="str">
        <f>IF(_ibpOfflineCondition_,"FGR+ FIGAROLLPLUS 5/280+40 ANTHR BRAMAC", _xll.EPMOlapMemberO("[PRDDESCR].[].[FGR+ FIGAROLLPLUS 5/280+40 ANTHR BRAMAC]","","FGR+ FIGAROLLPLUS 5/280+40 ANTHR BRAMAC","","000"))</f>
        <v>FGR+ FIGAROLLPLUS 5/280+40 ANTHR BRAMAC</v>
      </c>
      <c r="I10" s="147" t="str">
        <f>IF(_ibpOfflineCondition_,"X0", _xll.EPMOlapMemberO("[MRPTYPE].[].[X0]","","X0","","000"))</f>
        <v>X0</v>
      </c>
      <c r="J10" s="147" t="str">
        <f>IF(_ibpOfflineCondition_,"GSCRM Actuals and Future Production", _xll.EPMOlapMemberO("[KEY_FIGURES].[].[ZGSCRMACTUALSPRODUCTION]","","GSCRM Actuals and Future Production","","000"))</f>
        <v>GSCRM Actuals and Future Production</v>
      </c>
      <c r="K10" s="58">
        <v>0</v>
      </c>
      <c r="L10" s="58">
        <v>0</v>
      </c>
      <c r="M10" s="58">
        <v>0</v>
      </c>
      <c r="N10" s="58">
        <v>0</v>
      </c>
      <c r="O10" s="58">
        <v>0</v>
      </c>
      <c r="P10" s="58">
        <v>0</v>
      </c>
      <c r="Q10" s="58">
        <v>0</v>
      </c>
      <c r="R10" s="58">
        <v>1620</v>
      </c>
      <c r="S10" s="58">
        <v>0</v>
      </c>
      <c r="T10" s="58">
        <v>0</v>
      </c>
      <c r="U10" s="58">
        <v>0</v>
      </c>
      <c r="V10" s="58">
        <v>0</v>
      </c>
      <c r="W10" s="58">
        <v>90</v>
      </c>
      <c r="X10" s="58">
        <v>990</v>
      </c>
      <c r="Y10" s="58">
        <v>900</v>
      </c>
      <c r="Z10" s="58">
        <v>180</v>
      </c>
      <c r="AA10" s="58">
        <v>1260</v>
      </c>
      <c r="AB10" s="58">
        <v>0</v>
      </c>
      <c r="AC10" s="58">
        <v>540</v>
      </c>
      <c r="AD10" s="58">
        <v>0</v>
      </c>
      <c r="AE10" s="58">
        <v>0</v>
      </c>
      <c r="AF10" s="58">
        <v>1260</v>
      </c>
      <c r="AG10" s="58">
        <v>0</v>
      </c>
      <c r="AH10" s="58">
        <v>1260</v>
      </c>
      <c r="AI10" s="58">
        <v>1260</v>
      </c>
      <c r="AJ10" s="58">
        <v>0</v>
      </c>
      <c r="AK10" s="58">
        <v>0</v>
      </c>
      <c r="AL10" s="58">
        <v>0</v>
      </c>
      <c r="AM10" s="58">
        <v>0</v>
      </c>
      <c r="AN10" s="58">
        <v>1260</v>
      </c>
      <c r="AO10" s="58">
        <v>180</v>
      </c>
      <c r="AP10" s="58">
        <v>0</v>
      </c>
      <c r="AQ10" s="58">
        <v>1620</v>
      </c>
      <c r="AR10" s="58">
        <v>0</v>
      </c>
      <c r="AS10" s="58">
        <v>0</v>
      </c>
      <c r="AT10" s="58">
        <v>0</v>
      </c>
      <c r="AU10" s="58">
        <v>1800</v>
      </c>
      <c r="AV10" s="58">
        <v>0</v>
      </c>
      <c r="AW10" s="58">
        <v>0</v>
      </c>
      <c r="AX10" s="58">
        <v>900</v>
      </c>
      <c r="AY10" s="58">
        <v>0</v>
      </c>
      <c r="AZ10" s="58"/>
      <c r="BA10" s="58">
        <v>0</v>
      </c>
      <c r="BB10" s="58">
        <v>0</v>
      </c>
      <c r="BC10" s="58">
        <v>0</v>
      </c>
      <c r="BD10" s="58"/>
      <c r="BE10" s="58"/>
      <c r="BF10" s="58"/>
      <c r="BG10" s="58"/>
      <c r="BH10" s="58">
        <v>0</v>
      </c>
      <c r="BI10" s="58">
        <v>0</v>
      </c>
      <c r="BJ10" s="58"/>
      <c r="BK10" s="58">
        <v>0</v>
      </c>
      <c r="BL10" s="58">
        <v>0</v>
      </c>
      <c r="BM10" s="58">
        <v>0</v>
      </c>
      <c r="BN10" s="58">
        <v>2340</v>
      </c>
      <c r="BO10" s="58">
        <v>0</v>
      </c>
      <c r="BP10" s="58">
        <v>1080</v>
      </c>
      <c r="BQ10" s="58">
        <v>1080</v>
      </c>
      <c r="BR10" s="58"/>
      <c r="BS10" s="58">
        <v>1080</v>
      </c>
      <c r="BT10" s="58">
        <v>2520</v>
      </c>
      <c r="BU10" s="58">
        <v>0</v>
      </c>
      <c r="BV10" s="58">
        <v>0</v>
      </c>
      <c r="BW10" s="58">
        <v>0</v>
      </c>
      <c r="BX10" s="58">
        <v>2340</v>
      </c>
      <c r="BY10" s="58">
        <v>0</v>
      </c>
      <c r="BZ10" s="58"/>
      <c r="CA10" s="58">
        <v>540</v>
      </c>
      <c r="CB10" s="58">
        <v>540</v>
      </c>
      <c r="CC10" s="58">
        <v>0</v>
      </c>
      <c r="CD10" s="58">
        <v>0</v>
      </c>
      <c r="CE10" s="58">
        <v>360</v>
      </c>
      <c r="CF10" s="58">
        <v>0</v>
      </c>
      <c r="CG10" s="58"/>
      <c r="CH10" s="58">
        <v>0</v>
      </c>
      <c r="CI10" s="58">
        <v>0</v>
      </c>
      <c r="CJ10" s="58">
        <v>0</v>
      </c>
      <c r="CK10" s="58">
        <v>630</v>
      </c>
      <c r="CL10" s="58"/>
      <c r="CM10" s="58">
        <v>0</v>
      </c>
      <c r="CN10" s="58">
        <v>0</v>
      </c>
      <c r="CO10" s="58">
        <v>1530</v>
      </c>
      <c r="CP10" s="58">
        <v>180</v>
      </c>
      <c r="CQ10" s="58"/>
      <c r="CR10" s="58">
        <v>1260</v>
      </c>
      <c r="CS10" s="58">
        <v>450</v>
      </c>
      <c r="CT10" s="58">
        <v>0</v>
      </c>
      <c r="CU10" s="58">
        <v>0</v>
      </c>
      <c r="CV10" s="58">
        <v>0</v>
      </c>
      <c r="CW10" s="58">
        <v>2610</v>
      </c>
      <c r="CX10" s="58"/>
      <c r="CY10" s="58">
        <v>0</v>
      </c>
      <c r="CZ10" s="58"/>
      <c r="DA10" s="58">
        <v>0</v>
      </c>
      <c r="DB10" s="58">
        <v>0</v>
      </c>
      <c r="DC10" s="58">
        <v>0</v>
      </c>
      <c r="DD10" s="58">
        <v>990</v>
      </c>
      <c r="DE10" s="58"/>
      <c r="DF10" s="58"/>
      <c r="DG10" s="58"/>
      <c r="DH10" s="58">
        <v>0</v>
      </c>
      <c r="DI10" s="58">
        <v>0</v>
      </c>
      <c r="DJ10" s="58"/>
      <c r="DK10" s="107"/>
      <c r="DL10" s="107"/>
      <c r="DM10" s="107"/>
      <c r="DN10" s="107"/>
      <c r="DO10" s="107"/>
      <c r="DP10" s="107"/>
      <c r="DQ10" s="107"/>
      <c r="DR10" s="107"/>
      <c r="DS10" s="107"/>
      <c r="DT10" s="107"/>
      <c r="DU10" s="107"/>
      <c r="DV10" s="107"/>
      <c r="DW10" s="107"/>
      <c r="DX10" s="107"/>
      <c r="DY10" s="107"/>
      <c r="DZ10" s="107"/>
      <c r="EA10" s="107"/>
      <c r="EB10" s="107"/>
      <c r="EC10" s="107"/>
      <c r="ED10" s="107"/>
      <c r="EE10" s="107"/>
      <c r="EF10" s="107"/>
      <c r="EG10" s="107"/>
      <c r="EH10" s="107"/>
      <c r="EI10" s="107"/>
      <c r="EJ10" s="107"/>
      <c r="EK10" s="107"/>
      <c r="EL10" s="107"/>
      <c r="EM10" s="107"/>
      <c r="EN10" s="107"/>
      <c r="EO10" s="107"/>
      <c r="EP10" s="107"/>
      <c r="EQ10" s="107"/>
      <c r="ER10" s="107"/>
      <c r="ES10" s="107"/>
      <c r="ET10" s="107"/>
      <c r="EU10" s="107"/>
      <c r="EV10" s="107"/>
      <c r="EW10" s="107"/>
      <c r="EX10" s="107"/>
      <c r="EY10" s="107"/>
      <c r="EZ10" s="107"/>
      <c r="FA10" s="107"/>
      <c r="FB10" s="107"/>
      <c r="FC10" s="107"/>
      <c r="FD10" s="107"/>
      <c r="FE10" s="107"/>
      <c r="FF10" s="107"/>
      <c r="FG10" s="107"/>
      <c r="FH10" s="107"/>
      <c r="FI10" s="107"/>
      <c r="FJ10" s="107"/>
      <c r="FK10" s="107"/>
      <c r="FL10" s="107"/>
      <c r="FM10" s="107"/>
      <c r="FN10" s="107"/>
      <c r="FO10" s="107"/>
      <c r="FP10" s="107"/>
      <c r="FQ10" s="107"/>
      <c r="FR10" s="107"/>
      <c r="FS10" s="107"/>
      <c r="FT10" s="107"/>
    </row>
    <row r="11" spans="1:176" x14ac:dyDescent="0.25">
      <c r="A11" s="107"/>
      <c r="B11" s="107"/>
      <c r="C11" s="107"/>
      <c r="D11" s="107"/>
      <c r="E11" s="107"/>
      <c r="F11" s="107"/>
      <c r="G11" s="147" t="str">
        <f>IF(_ibpOfflineCondition_,"000000000000563902-1", _xll.EPMOlapMemberO("[PRDID].[].[000000000000563902-1]","","000000000000563902-1","","000"))</f>
        <v>000000000000563902-1</v>
      </c>
      <c r="H11" s="147" t="str">
        <f>IF(_ibpOfflineCondition_,"FGR+ FIGAROLLPLUS 5/280+40 ANTHR BRAMAC", _xll.EPMOlapMemberO("[PRDDESCR].[].[FGR+ FIGAROLLPLUS 5/280+40 ANTHR BRAMAC]","","FGR+ FIGAROLLPLUS 5/280+40 ANTHR BRAMAC","","000"))</f>
        <v>FGR+ FIGAROLLPLUS 5/280+40 ANTHR BRAMAC</v>
      </c>
      <c r="I11" s="147" t="str">
        <f>IF(_ibpOfflineCondition_,"X0", _xll.EPMOlapMemberO("[MRPTYPE].[].[X0]","","X0","","000"))</f>
        <v>X0</v>
      </c>
      <c r="J11" s="147" t="str">
        <f>IF(_ibpOfflineCondition_,"GSCRM Projected Stock (Unconstrained Demand)", _xll.EPMOlapMemberO("[KEY_FIGURES].[].[ZGSCRMUNCONSINVENTORY]","","GSCRM Projected Stock (Unconstrained Demand)","","000"))</f>
        <v>GSCRM Projected Stock (Unconstrained Demand)</v>
      </c>
      <c r="K11" s="58">
        <v>2666</v>
      </c>
      <c r="L11" s="58">
        <v>2486</v>
      </c>
      <c r="M11" s="58">
        <v>1946</v>
      </c>
      <c r="N11" s="58">
        <v>1496</v>
      </c>
      <c r="O11" s="58">
        <v>1046</v>
      </c>
      <c r="P11" s="58">
        <v>56</v>
      </c>
      <c r="Q11" s="58">
        <v>56</v>
      </c>
      <c r="R11" s="58">
        <v>1676</v>
      </c>
      <c r="S11" s="58"/>
      <c r="T11" s="58">
        <v>776</v>
      </c>
      <c r="U11" s="58">
        <v>686</v>
      </c>
      <c r="V11" s="58">
        <v>416</v>
      </c>
      <c r="W11" s="58">
        <v>1136</v>
      </c>
      <c r="X11" s="58">
        <v>1136</v>
      </c>
      <c r="Y11" s="58">
        <v>1676</v>
      </c>
      <c r="Z11" s="58">
        <v>1586</v>
      </c>
      <c r="AA11" s="58">
        <v>2756</v>
      </c>
      <c r="AB11" s="58">
        <v>2126</v>
      </c>
      <c r="AC11" s="58">
        <v>1676</v>
      </c>
      <c r="AD11" s="58">
        <v>866</v>
      </c>
      <c r="AE11" s="58">
        <v>556</v>
      </c>
      <c r="AF11" s="58">
        <v>1456</v>
      </c>
      <c r="AG11" s="58">
        <v>1416</v>
      </c>
      <c r="AH11" s="58">
        <v>1686</v>
      </c>
      <c r="AI11" s="58">
        <v>2946</v>
      </c>
      <c r="AJ11" s="58">
        <v>2746</v>
      </c>
      <c r="AK11" s="58">
        <v>2386</v>
      </c>
      <c r="AL11" s="58">
        <v>1666</v>
      </c>
      <c r="AM11" s="58">
        <v>1396</v>
      </c>
      <c r="AN11" s="58">
        <v>2476</v>
      </c>
      <c r="AO11" s="58">
        <v>2566</v>
      </c>
      <c r="AP11" s="58">
        <v>2026</v>
      </c>
      <c r="AQ11" s="58">
        <v>3601</v>
      </c>
      <c r="AR11" s="58">
        <v>3421</v>
      </c>
      <c r="AS11" s="58">
        <v>2831</v>
      </c>
      <c r="AT11" s="58">
        <v>2786</v>
      </c>
      <c r="AU11" s="58">
        <v>3776</v>
      </c>
      <c r="AV11" s="58">
        <v>3146</v>
      </c>
      <c r="AW11" s="58">
        <v>2786</v>
      </c>
      <c r="AX11" s="58">
        <v>2966</v>
      </c>
      <c r="AY11" s="58">
        <v>2516</v>
      </c>
      <c r="AZ11" s="58">
        <v>2516</v>
      </c>
      <c r="BA11" s="58">
        <v>2156</v>
      </c>
      <c r="BB11" s="58">
        <v>1496</v>
      </c>
      <c r="BC11" s="58">
        <v>1316</v>
      </c>
      <c r="BD11" s="58">
        <v>1316</v>
      </c>
      <c r="BE11" s="58">
        <v>1316</v>
      </c>
      <c r="BF11" s="58">
        <v>1316</v>
      </c>
      <c r="BG11" s="58">
        <v>1316</v>
      </c>
      <c r="BH11" s="58">
        <v>826</v>
      </c>
      <c r="BI11" s="58">
        <v>646</v>
      </c>
      <c r="BJ11" s="58">
        <v>646</v>
      </c>
      <c r="BK11" s="58">
        <v>216</v>
      </c>
      <c r="BL11" s="58">
        <v>126</v>
      </c>
      <c r="BM11" s="58">
        <v>36</v>
      </c>
      <c r="BN11" s="58">
        <v>2376</v>
      </c>
      <c r="BO11" s="58">
        <v>1926</v>
      </c>
      <c r="BP11" s="58">
        <v>1806</v>
      </c>
      <c r="BQ11" s="58">
        <v>1416</v>
      </c>
      <c r="BR11" s="58">
        <v>1596</v>
      </c>
      <c r="BS11" s="58">
        <v>1236</v>
      </c>
      <c r="BT11" s="58">
        <v>3216</v>
      </c>
      <c r="BU11" s="58">
        <v>2856</v>
      </c>
      <c r="BV11" s="58">
        <v>2046</v>
      </c>
      <c r="BW11" s="58">
        <v>1506</v>
      </c>
      <c r="BX11" s="58">
        <v>3756</v>
      </c>
      <c r="BY11" s="58">
        <v>3216</v>
      </c>
      <c r="BZ11" s="58">
        <v>3216</v>
      </c>
      <c r="CA11" s="58">
        <v>3186</v>
      </c>
      <c r="CB11" s="58">
        <v>3456</v>
      </c>
      <c r="CC11" s="58">
        <v>3186</v>
      </c>
      <c r="CD11" s="58">
        <v>3096</v>
      </c>
      <c r="CE11" s="58">
        <v>2916</v>
      </c>
      <c r="CF11" s="58">
        <v>2586</v>
      </c>
      <c r="CG11" s="58">
        <v>2586</v>
      </c>
      <c r="CH11" s="58">
        <v>2046</v>
      </c>
      <c r="CI11" s="58">
        <v>1506</v>
      </c>
      <c r="CJ11" s="58">
        <v>1236</v>
      </c>
      <c r="CK11" s="58">
        <v>1146</v>
      </c>
      <c r="CL11" s="58">
        <v>1146</v>
      </c>
      <c r="CM11" s="58">
        <v>786</v>
      </c>
      <c r="CN11" s="58">
        <v>606</v>
      </c>
      <c r="CO11" s="58">
        <v>1776</v>
      </c>
      <c r="CP11" s="58">
        <v>1236</v>
      </c>
      <c r="CQ11" s="58">
        <v>1236</v>
      </c>
      <c r="CR11" s="58">
        <v>1326</v>
      </c>
      <c r="CS11" s="58">
        <v>1416</v>
      </c>
      <c r="CT11" s="58">
        <v>876</v>
      </c>
      <c r="CU11" s="58">
        <v>426</v>
      </c>
      <c r="CV11" s="58">
        <v>246</v>
      </c>
      <c r="CW11" s="58">
        <v>2676</v>
      </c>
      <c r="CX11" s="58">
        <v>2676</v>
      </c>
      <c r="CY11" s="58">
        <v>1506</v>
      </c>
      <c r="CZ11" s="58">
        <v>1506</v>
      </c>
      <c r="DA11" s="58">
        <v>966</v>
      </c>
      <c r="DB11" s="58">
        <v>786</v>
      </c>
      <c r="DC11" s="58">
        <v>426</v>
      </c>
      <c r="DD11" s="58">
        <v>1416</v>
      </c>
      <c r="DE11" s="58">
        <v>1416</v>
      </c>
      <c r="DF11" s="58">
        <v>1416</v>
      </c>
      <c r="DG11" s="58">
        <v>1416</v>
      </c>
      <c r="DH11" s="58">
        <v>1056</v>
      </c>
      <c r="DI11" s="58">
        <v>696</v>
      </c>
      <c r="DJ11" s="58">
        <v>696</v>
      </c>
      <c r="DK11" s="107"/>
      <c r="DL11" s="107"/>
      <c r="DM11" s="107"/>
      <c r="DN11" s="107"/>
      <c r="DO11" s="107"/>
      <c r="DP11" s="107"/>
      <c r="DQ11" s="107"/>
      <c r="DR11" s="107"/>
      <c r="DS11" s="107"/>
      <c r="DT11" s="107"/>
      <c r="DU11" s="107"/>
      <c r="DV11" s="107"/>
      <c r="DW11" s="107"/>
      <c r="DX11" s="107"/>
      <c r="DY11" s="107"/>
      <c r="DZ11" s="107"/>
      <c r="EA11" s="107"/>
      <c r="EB11" s="107"/>
      <c r="EC11" s="107"/>
      <c r="ED11" s="107"/>
      <c r="EE11" s="107"/>
      <c r="EF11" s="107"/>
      <c r="EG11" s="107"/>
      <c r="EH11" s="107"/>
      <c r="EI11" s="107"/>
      <c r="EJ11" s="107"/>
      <c r="EK11" s="107"/>
      <c r="EL11" s="107"/>
      <c r="EM11" s="107"/>
      <c r="EN11" s="107"/>
      <c r="EO11" s="107"/>
      <c r="EP11" s="107"/>
      <c r="EQ11" s="107"/>
      <c r="ER11" s="107"/>
      <c r="ES11" s="107"/>
      <c r="ET11" s="107"/>
      <c r="EU11" s="107"/>
      <c r="EV11" s="107"/>
      <c r="EW11" s="107"/>
      <c r="EX11" s="107"/>
      <c r="EY11" s="107"/>
      <c r="EZ11" s="107"/>
      <c r="FA11" s="107"/>
      <c r="FB11" s="107"/>
      <c r="FC11" s="107"/>
      <c r="FD11" s="107"/>
      <c r="FE11" s="107"/>
      <c r="FF11" s="107"/>
      <c r="FG11" s="107"/>
      <c r="FH11" s="107"/>
      <c r="FI11" s="107"/>
      <c r="FJ11" s="107"/>
      <c r="FK11" s="107"/>
      <c r="FL11" s="107"/>
      <c r="FM11" s="107"/>
      <c r="FN11" s="107"/>
      <c r="FO11" s="107"/>
      <c r="FP11" s="107"/>
      <c r="FQ11" s="107"/>
      <c r="FR11" s="107"/>
      <c r="FS11" s="107"/>
      <c r="FT11" s="107"/>
    </row>
    <row r="12" spans="1:176" x14ac:dyDescent="0.25">
      <c r="A12" s="107"/>
      <c r="B12" s="107"/>
      <c r="C12" s="107"/>
      <c r="D12" s="107"/>
      <c r="E12" s="107"/>
      <c r="F12" s="107"/>
      <c r="G12" s="147" t="str">
        <f>IF(_ibpOfflineCondition_,"000000000000563903-1", _xll.EPMOlapMemberO("[PRDID].[].[000000000000563903-1]","","000000000000563903-1","","000"))</f>
        <v>000000000000563903-1</v>
      </c>
      <c r="H12" s="147" t="str">
        <f>IF(_ibpOfflineCondition_,"FGR+ FIGAROLLPLUS 5/280+40 ROT BRAMAC", _xll.EPMOlapMemberO("[PRDDESCR].[].[FGR+ FIGAROLLPLUS 5/280+40 ROT BRAMAC]","","FGR+ FIGAROLLPLUS 5/280+40 ROT BRAMAC","","000"))</f>
        <v>FGR+ FIGAROLLPLUS 5/280+40 ROT BRAMAC</v>
      </c>
      <c r="I12" s="147" t="str">
        <f>IF(_ibpOfflineCondition_,"X0", _xll.EPMOlapMemberO("[MRPTYPE].[].[X0]","","X0","","000"))</f>
        <v>X0</v>
      </c>
      <c r="J12" s="147" t="str">
        <f>IF(_ibpOfflineCondition_,"GSCRM Actual Sales and Unconstrained Demand", _xll.EPMOlapMemberO("[KEY_FIGURES].[].[ZGSCRMACTUALUNCONSDEMAND]","","GSCRM Actual Sales and Unconstrained Demand","","000"))</f>
        <v>GSCRM Actual Sales and Unconstrained Demand</v>
      </c>
      <c r="K12" s="58">
        <v>180</v>
      </c>
      <c r="L12" s="58"/>
      <c r="M12" s="58">
        <v>40</v>
      </c>
      <c r="N12" s="58">
        <v>450</v>
      </c>
      <c r="O12" s="58">
        <v>90</v>
      </c>
      <c r="P12" s="58">
        <v>270</v>
      </c>
      <c r="Q12" s="58"/>
      <c r="R12" s="58"/>
      <c r="S12" s="58">
        <v>220</v>
      </c>
      <c r="T12" s="58">
        <v>180</v>
      </c>
      <c r="U12" s="58">
        <v>180</v>
      </c>
      <c r="V12" s="58">
        <v>90</v>
      </c>
      <c r="W12" s="58">
        <v>270</v>
      </c>
      <c r="X12" s="58"/>
      <c r="Y12" s="58">
        <v>360</v>
      </c>
      <c r="Z12" s="58">
        <v>450</v>
      </c>
      <c r="AA12" s="58"/>
      <c r="AB12" s="58">
        <v>180</v>
      </c>
      <c r="AC12" s="58">
        <v>90</v>
      </c>
      <c r="AD12" s="58">
        <v>90</v>
      </c>
      <c r="AE12" s="58">
        <v>90</v>
      </c>
      <c r="AF12" s="58"/>
      <c r="AG12" s="58">
        <v>220</v>
      </c>
      <c r="AH12" s="58">
        <v>540</v>
      </c>
      <c r="AI12" s="58"/>
      <c r="AJ12" s="58">
        <v>220</v>
      </c>
      <c r="AK12" s="58"/>
      <c r="AL12" s="58">
        <v>90</v>
      </c>
      <c r="AM12" s="58"/>
      <c r="AN12" s="58">
        <v>90</v>
      </c>
      <c r="AO12" s="58">
        <v>180</v>
      </c>
      <c r="AP12" s="58">
        <v>270</v>
      </c>
      <c r="AQ12" s="58">
        <v>180</v>
      </c>
      <c r="AR12" s="58">
        <v>270</v>
      </c>
      <c r="AS12" s="58">
        <v>180</v>
      </c>
      <c r="AT12" s="58">
        <v>180</v>
      </c>
      <c r="AU12" s="58">
        <v>180</v>
      </c>
      <c r="AV12" s="58">
        <v>90</v>
      </c>
      <c r="AW12" s="58">
        <v>180</v>
      </c>
      <c r="AX12" s="58">
        <v>270</v>
      </c>
      <c r="AY12" s="58"/>
      <c r="AZ12" s="58"/>
      <c r="BA12" s="58">
        <v>270</v>
      </c>
      <c r="BB12" s="58">
        <v>90</v>
      </c>
      <c r="BC12" s="58"/>
      <c r="BD12" s="58"/>
      <c r="BE12" s="58"/>
      <c r="BF12" s="58"/>
      <c r="BG12" s="58"/>
      <c r="BH12" s="58">
        <v>90</v>
      </c>
      <c r="BI12" s="58">
        <v>180</v>
      </c>
      <c r="BJ12" s="58"/>
      <c r="BK12" s="58">
        <v>200</v>
      </c>
      <c r="BL12" s="58">
        <v>270</v>
      </c>
      <c r="BM12" s="58">
        <v>190</v>
      </c>
      <c r="BN12" s="58">
        <v>90</v>
      </c>
      <c r="BO12" s="58"/>
      <c r="BP12" s="58">
        <v>180</v>
      </c>
      <c r="BQ12" s="58">
        <v>360</v>
      </c>
      <c r="BR12" s="58">
        <v>180</v>
      </c>
      <c r="BS12" s="58">
        <v>840</v>
      </c>
      <c r="BT12" s="58"/>
      <c r="BU12" s="58">
        <v>360</v>
      </c>
      <c r="BV12" s="58">
        <v>270</v>
      </c>
      <c r="BW12" s="58">
        <v>210</v>
      </c>
      <c r="BX12" s="58">
        <v>180</v>
      </c>
      <c r="BY12" s="58">
        <v>160</v>
      </c>
      <c r="BZ12" s="58">
        <v>270</v>
      </c>
      <c r="CA12" s="58">
        <v>110</v>
      </c>
      <c r="CB12" s="58"/>
      <c r="CC12" s="58">
        <v>90</v>
      </c>
      <c r="CD12" s="58">
        <v>360</v>
      </c>
      <c r="CE12" s="58">
        <v>180</v>
      </c>
      <c r="CF12" s="58">
        <v>450</v>
      </c>
      <c r="CG12" s="58">
        <v>180</v>
      </c>
      <c r="CH12" s="58">
        <v>90</v>
      </c>
      <c r="CI12" s="58">
        <v>270</v>
      </c>
      <c r="CJ12" s="58">
        <v>360</v>
      </c>
      <c r="CK12" s="58"/>
      <c r="CL12" s="58">
        <v>90</v>
      </c>
      <c r="CM12" s="58">
        <v>90</v>
      </c>
      <c r="CN12" s="58"/>
      <c r="CO12" s="58"/>
      <c r="CP12" s="58">
        <v>450</v>
      </c>
      <c r="CQ12" s="58">
        <v>180</v>
      </c>
      <c r="CR12" s="58">
        <v>270</v>
      </c>
      <c r="CS12" s="58">
        <v>90</v>
      </c>
      <c r="CT12" s="58">
        <v>180</v>
      </c>
      <c r="CU12" s="58"/>
      <c r="CV12" s="58">
        <v>360</v>
      </c>
      <c r="CW12" s="58">
        <v>270</v>
      </c>
      <c r="CX12" s="58">
        <v>90</v>
      </c>
      <c r="CY12" s="58"/>
      <c r="CZ12" s="58"/>
      <c r="DA12" s="58">
        <v>90</v>
      </c>
      <c r="DB12" s="58"/>
      <c r="DC12" s="58">
        <v>90</v>
      </c>
      <c r="DD12" s="58"/>
      <c r="DE12" s="58"/>
      <c r="DF12" s="58"/>
      <c r="DG12" s="58"/>
      <c r="DH12" s="58">
        <v>180</v>
      </c>
      <c r="DI12" s="58">
        <v>270</v>
      </c>
      <c r="DJ12" s="58"/>
      <c r="DK12" s="107"/>
      <c r="DL12" s="107"/>
      <c r="DM12" s="107"/>
      <c r="DN12" s="107"/>
      <c r="DO12" s="107"/>
      <c r="DP12" s="107"/>
      <c r="DQ12" s="107"/>
      <c r="DR12" s="107"/>
      <c r="DS12" s="107"/>
      <c r="DT12" s="107"/>
      <c r="DU12" s="107"/>
      <c r="DV12" s="107"/>
      <c r="DW12" s="107"/>
      <c r="DX12" s="107"/>
      <c r="DY12" s="107"/>
      <c r="DZ12" s="107"/>
      <c r="EA12" s="107"/>
      <c r="EB12" s="107"/>
      <c r="EC12" s="107"/>
      <c r="ED12" s="107"/>
      <c r="EE12" s="107"/>
      <c r="EF12" s="107"/>
      <c r="EG12" s="107"/>
      <c r="EH12" s="107"/>
      <c r="EI12" s="107"/>
      <c r="EJ12" s="107"/>
      <c r="EK12" s="107"/>
      <c r="EL12" s="107"/>
      <c r="EM12" s="107"/>
      <c r="EN12" s="107"/>
      <c r="EO12" s="107"/>
      <c r="EP12" s="107"/>
      <c r="EQ12" s="107"/>
      <c r="ER12" s="107"/>
      <c r="ES12" s="107"/>
      <c r="ET12" s="107"/>
      <c r="EU12" s="107"/>
      <c r="EV12" s="107"/>
      <c r="EW12" s="107"/>
      <c r="EX12" s="107"/>
      <c r="EY12" s="107"/>
      <c r="EZ12" s="107"/>
      <c r="FA12" s="107"/>
      <c r="FB12" s="107"/>
      <c r="FC12" s="107"/>
      <c r="FD12" s="107"/>
      <c r="FE12" s="107"/>
      <c r="FF12" s="107"/>
      <c r="FG12" s="107"/>
      <c r="FH12" s="107"/>
      <c r="FI12" s="107"/>
      <c r="FJ12" s="107"/>
      <c r="FK12" s="107"/>
      <c r="FL12" s="107"/>
      <c r="FM12" s="107"/>
      <c r="FN12" s="107"/>
      <c r="FO12" s="107"/>
      <c r="FP12" s="107"/>
      <c r="FQ12" s="107"/>
      <c r="FR12" s="107"/>
      <c r="FS12" s="107"/>
      <c r="FT12" s="107"/>
    </row>
    <row r="13" spans="1:176" x14ac:dyDescent="0.25">
      <c r="A13" s="107"/>
      <c r="B13" s="107"/>
      <c r="C13" s="107"/>
      <c r="D13" s="107"/>
      <c r="E13" s="107"/>
      <c r="F13" s="107"/>
      <c r="G13" s="147" t="str">
        <f>IF(_ibpOfflineCondition_,"000000000000563903-1", _xll.EPMOlapMemberO("[PRDID].[].[000000000000563903-1]","","000000000000563903-1","","000"))</f>
        <v>000000000000563903-1</v>
      </c>
      <c r="H13" s="147" t="str">
        <f>IF(_ibpOfflineCondition_,"FGR+ FIGAROLLPLUS 5/280+40 ROT BRAMAC", _xll.EPMOlapMemberO("[PRDDESCR].[].[FGR+ FIGAROLLPLUS 5/280+40 ROT BRAMAC]","","FGR+ FIGAROLLPLUS 5/280+40 ROT BRAMAC","","000"))</f>
        <v>FGR+ FIGAROLLPLUS 5/280+40 ROT BRAMAC</v>
      </c>
      <c r="I13" s="147" t="str">
        <f>IF(_ibpOfflineCondition_,"X0", _xll.EPMOlapMemberO("[MRPTYPE].[].[X0]","","X0","","000"))</f>
        <v>X0</v>
      </c>
      <c r="J13" s="147" t="str">
        <f>IF(_ibpOfflineCondition_,"GSCRM Actuals and Future Production", _xll.EPMOlapMemberO("[KEY_FIGURES].[].[ZGSCRMACTUALSPRODUCTION]","","GSCRM Actuals and Future Production","","000"))</f>
        <v>GSCRM Actuals and Future Production</v>
      </c>
      <c r="K13" s="58">
        <v>0</v>
      </c>
      <c r="L13" s="58">
        <v>0</v>
      </c>
      <c r="M13" s="58">
        <v>720</v>
      </c>
      <c r="N13" s="58">
        <v>0</v>
      </c>
      <c r="O13" s="58">
        <v>0</v>
      </c>
      <c r="P13" s="58">
        <v>0</v>
      </c>
      <c r="Q13" s="58">
        <v>0</v>
      </c>
      <c r="R13" s="58">
        <v>810</v>
      </c>
      <c r="S13" s="58">
        <v>180</v>
      </c>
      <c r="T13" s="58">
        <v>0</v>
      </c>
      <c r="U13" s="58">
        <v>0</v>
      </c>
      <c r="V13" s="58">
        <v>0</v>
      </c>
      <c r="W13" s="58">
        <v>0</v>
      </c>
      <c r="X13" s="58">
        <v>1260</v>
      </c>
      <c r="Y13" s="58">
        <v>0</v>
      </c>
      <c r="Z13" s="58">
        <v>0</v>
      </c>
      <c r="AA13" s="58">
        <v>360</v>
      </c>
      <c r="AB13" s="58">
        <v>900</v>
      </c>
      <c r="AC13" s="58">
        <v>0</v>
      </c>
      <c r="AD13" s="58">
        <v>0</v>
      </c>
      <c r="AE13" s="58">
        <v>0</v>
      </c>
      <c r="AF13" s="58"/>
      <c r="AG13" s="58">
        <v>0</v>
      </c>
      <c r="AH13" s="58">
        <v>1080</v>
      </c>
      <c r="AI13" s="58"/>
      <c r="AJ13" s="58">
        <v>0</v>
      </c>
      <c r="AK13" s="58">
        <v>720</v>
      </c>
      <c r="AL13" s="58">
        <v>0</v>
      </c>
      <c r="AM13" s="58"/>
      <c r="AN13" s="58">
        <v>0</v>
      </c>
      <c r="AO13" s="58">
        <v>0</v>
      </c>
      <c r="AP13" s="58">
        <v>0</v>
      </c>
      <c r="AQ13" s="58">
        <v>0</v>
      </c>
      <c r="AR13" s="58">
        <v>0</v>
      </c>
      <c r="AS13" s="58">
        <v>0</v>
      </c>
      <c r="AT13" s="58">
        <v>0</v>
      </c>
      <c r="AU13" s="58">
        <v>0</v>
      </c>
      <c r="AV13" s="58">
        <v>0</v>
      </c>
      <c r="AW13" s="58">
        <v>0</v>
      </c>
      <c r="AX13" s="58">
        <v>720</v>
      </c>
      <c r="AY13" s="58"/>
      <c r="AZ13" s="58"/>
      <c r="BA13" s="58">
        <v>0</v>
      </c>
      <c r="BB13" s="58">
        <v>720</v>
      </c>
      <c r="BC13" s="58"/>
      <c r="BD13" s="58"/>
      <c r="BE13" s="58"/>
      <c r="BF13" s="58"/>
      <c r="BG13" s="58"/>
      <c r="BH13" s="58">
        <v>0</v>
      </c>
      <c r="BI13" s="58">
        <v>0</v>
      </c>
      <c r="BJ13" s="58"/>
      <c r="BK13" s="58">
        <v>0</v>
      </c>
      <c r="BL13" s="58">
        <v>0</v>
      </c>
      <c r="BM13" s="58">
        <v>0</v>
      </c>
      <c r="BN13" s="58">
        <v>720</v>
      </c>
      <c r="BO13" s="58"/>
      <c r="BP13" s="58">
        <v>0</v>
      </c>
      <c r="BQ13" s="58">
        <v>720</v>
      </c>
      <c r="BR13" s="58">
        <v>0</v>
      </c>
      <c r="BS13" s="58">
        <v>0</v>
      </c>
      <c r="BT13" s="58">
        <v>1080</v>
      </c>
      <c r="BU13" s="58">
        <v>0</v>
      </c>
      <c r="BV13" s="58">
        <v>0</v>
      </c>
      <c r="BW13" s="58">
        <v>0</v>
      </c>
      <c r="BX13" s="58">
        <v>720</v>
      </c>
      <c r="BY13" s="58">
        <v>0</v>
      </c>
      <c r="BZ13" s="58">
        <v>0</v>
      </c>
      <c r="CA13" s="58">
        <v>0</v>
      </c>
      <c r="CB13" s="58">
        <v>1080</v>
      </c>
      <c r="CC13" s="58">
        <v>0</v>
      </c>
      <c r="CD13" s="58">
        <v>540</v>
      </c>
      <c r="CE13" s="58">
        <v>0</v>
      </c>
      <c r="CF13" s="58">
        <v>0</v>
      </c>
      <c r="CG13" s="58">
        <v>0</v>
      </c>
      <c r="CH13" s="58">
        <v>360</v>
      </c>
      <c r="CI13" s="58">
        <v>0</v>
      </c>
      <c r="CJ13" s="58">
        <v>0</v>
      </c>
      <c r="CK13" s="58"/>
      <c r="CL13" s="58">
        <v>0</v>
      </c>
      <c r="CM13" s="58">
        <v>0</v>
      </c>
      <c r="CN13" s="58"/>
      <c r="CO13" s="58">
        <v>1080</v>
      </c>
      <c r="CP13" s="58">
        <v>0</v>
      </c>
      <c r="CQ13" s="58">
        <v>0</v>
      </c>
      <c r="CR13" s="58">
        <v>720</v>
      </c>
      <c r="CS13" s="58">
        <v>270</v>
      </c>
      <c r="CT13" s="58">
        <v>0</v>
      </c>
      <c r="CU13" s="58"/>
      <c r="CV13" s="58">
        <v>0</v>
      </c>
      <c r="CW13" s="58">
        <v>630</v>
      </c>
      <c r="CX13" s="58">
        <v>0</v>
      </c>
      <c r="CY13" s="58"/>
      <c r="CZ13" s="58"/>
      <c r="DA13" s="58">
        <v>0</v>
      </c>
      <c r="DB13" s="58"/>
      <c r="DC13" s="58">
        <v>0</v>
      </c>
      <c r="DD13" s="58"/>
      <c r="DE13" s="58"/>
      <c r="DF13" s="58"/>
      <c r="DG13" s="58">
        <v>360</v>
      </c>
      <c r="DH13" s="58">
        <v>0</v>
      </c>
      <c r="DI13" s="58">
        <v>0</v>
      </c>
      <c r="DJ13" s="58"/>
      <c r="DK13" s="107"/>
      <c r="DL13" s="107"/>
      <c r="DM13" s="107"/>
      <c r="DN13" s="107"/>
      <c r="DO13" s="107"/>
      <c r="DP13" s="107"/>
      <c r="DQ13" s="107"/>
      <c r="DR13" s="107"/>
      <c r="DS13" s="107"/>
      <c r="DT13" s="107"/>
      <c r="DU13" s="107"/>
      <c r="DV13" s="107"/>
      <c r="DW13" s="107"/>
      <c r="DX13" s="107"/>
      <c r="DY13" s="107"/>
      <c r="DZ13" s="107"/>
      <c r="EA13" s="107"/>
      <c r="EB13" s="107"/>
      <c r="EC13" s="107"/>
      <c r="ED13" s="107"/>
      <c r="EE13" s="107"/>
      <c r="EF13" s="107"/>
      <c r="EG13" s="107"/>
      <c r="EH13" s="107"/>
      <c r="EI13" s="107"/>
      <c r="EJ13" s="107"/>
      <c r="EK13" s="107"/>
      <c r="EL13" s="107"/>
      <c r="EM13" s="107"/>
      <c r="EN13" s="107"/>
      <c r="EO13" s="107"/>
      <c r="EP13" s="107"/>
      <c r="EQ13" s="107"/>
      <c r="ER13" s="107"/>
      <c r="ES13" s="107"/>
      <c r="ET13" s="107"/>
      <c r="EU13" s="107"/>
      <c r="EV13" s="107"/>
      <c r="EW13" s="107"/>
      <c r="EX13" s="107"/>
      <c r="EY13" s="107"/>
      <c r="EZ13" s="107"/>
      <c r="FA13" s="107"/>
      <c r="FB13" s="107"/>
      <c r="FC13" s="107"/>
      <c r="FD13" s="107"/>
      <c r="FE13" s="107"/>
      <c r="FF13" s="107"/>
      <c r="FG13" s="107"/>
      <c r="FH13" s="107"/>
      <c r="FI13" s="107"/>
      <c r="FJ13" s="107"/>
      <c r="FK13" s="107"/>
      <c r="FL13" s="107"/>
      <c r="FM13" s="107"/>
      <c r="FN13" s="107"/>
      <c r="FO13" s="107"/>
      <c r="FP13" s="107"/>
      <c r="FQ13" s="107"/>
      <c r="FR13" s="107"/>
      <c r="FS13" s="107"/>
      <c r="FT13" s="107"/>
    </row>
    <row r="14" spans="1:176" x14ac:dyDescent="0.25">
      <c r="A14" s="107"/>
      <c r="B14" s="107"/>
      <c r="C14" s="107"/>
      <c r="D14" s="107"/>
      <c r="E14" s="107"/>
      <c r="F14" s="107"/>
      <c r="G14" s="147" t="str">
        <f>IF(_ibpOfflineCondition_,"000000000000563903-1", _xll.EPMOlapMemberO("[PRDID].[].[000000000000563903-1]","","000000000000563903-1","","000"))</f>
        <v>000000000000563903-1</v>
      </c>
      <c r="H14" s="147" t="str">
        <f>IF(_ibpOfflineCondition_,"FGR+ FIGAROLLPLUS 5/280+40 ROT BRAMAC", _xll.EPMOlapMemberO("[PRDDESCR].[].[FGR+ FIGAROLLPLUS 5/280+40 ROT BRAMAC]","","FGR+ FIGAROLLPLUS 5/280+40 ROT BRAMAC","","000"))</f>
        <v>FGR+ FIGAROLLPLUS 5/280+40 ROT BRAMAC</v>
      </c>
      <c r="I14" s="147" t="str">
        <f>IF(_ibpOfflineCondition_,"X0", _xll.EPMOlapMemberO("[MRPTYPE].[].[X0]","","X0","","000"))</f>
        <v>X0</v>
      </c>
      <c r="J14" s="147" t="str">
        <f>IF(_ibpOfflineCondition_,"GSCRM Projected Stock (Unconstrained Demand)", _xll.EPMOlapMemberO("[KEY_FIGURES].[].[ZGSCRMUNCONSINVENTORY]","","GSCRM Projected Stock (Unconstrained Demand)","","000"))</f>
        <v>GSCRM Projected Stock (Unconstrained Demand)</v>
      </c>
      <c r="K14" s="58">
        <v>140</v>
      </c>
      <c r="L14" s="58">
        <v>140</v>
      </c>
      <c r="M14" s="58">
        <v>820</v>
      </c>
      <c r="N14" s="58">
        <v>370</v>
      </c>
      <c r="O14" s="58">
        <v>280</v>
      </c>
      <c r="P14" s="58">
        <v>10</v>
      </c>
      <c r="Q14" s="58">
        <v>10</v>
      </c>
      <c r="R14" s="58">
        <v>820</v>
      </c>
      <c r="S14" s="58"/>
      <c r="T14" s="58">
        <v>600</v>
      </c>
      <c r="U14" s="58">
        <v>420</v>
      </c>
      <c r="V14" s="58">
        <v>150</v>
      </c>
      <c r="W14" s="58">
        <v>60</v>
      </c>
      <c r="X14" s="58">
        <v>1320</v>
      </c>
      <c r="Y14" s="58">
        <v>960</v>
      </c>
      <c r="Z14" s="58">
        <v>510</v>
      </c>
      <c r="AA14" s="58">
        <v>870</v>
      </c>
      <c r="AB14" s="58">
        <v>1590</v>
      </c>
      <c r="AC14" s="58">
        <v>1500</v>
      </c>
      <c r="AD14" s="58">
        <v>1500</v>
      </c>
      <c r="AE14" s="58">
        <v>1410</v>
      </c>
      <c r="AF14" s="58">
        <v>1410</v>
      </c>
      <c r="AG14" s="58">
        <v>1190</v>
      </c>
      <c r="AH14" s="58">
        <v>1730</v>
      </c>
      <c r="AI14" s="58">
        <v>1730</v>
      </c>
      <c r="AJ14" s="58">
        <v>1510</v>
      </c>
      <c r="AK14" s="58">
        <v>2230</v>
      </c>
      <c r="AL14" s="58">
        <v>2140</v>
      </c>
      <c r="AM14" s="58">
        <v>2140</v>
      </c>
      <c r="AN14" s="58">
        <v>2050</v>
      </c>
      <c r="AO14" s="58">
        <v>1870</v>
      </c>
      <c r="AP14" s="58">
        <v>1600</v>
      </c>
      <c r="AQ14" s="58">
        <v>1420</v>
      </c>
      <c r="AR14" s="58">
        <v>1150</v>
      </c>
      <c r="AS14" s="58">
        <v>970</v>
      </c>
      <c r="AT14" s="58">
        <v>790</v>
      </c>
      <c r="AU14" s="58">
        <v>610</v>
      </c>
      <c r="AV14" s="58">
        <v>520</v>
      </c>
      <c r="AW14" s="58">
        <v>340</v>
      </c>
      <c r="AX14" s="58">
        <v>790</v>
      </c>
      <c r="AY14" s="58">
        <v>790</v>
      </c>
      <c r="AZ14" s="58">
        <v>790</v>
      </c>
      <c r="BA14" s="58">
        <v>520</v>
      </c>
      <c r="BB14" s="58">
        <v>1150</v>
      </c>
      <c r="BC14" s="58">
        <v>1150</v>
      </c>
      <c r="BD14" s="58">
        <v>1150</v>
      </c>
      <c r="BE14" s="58">
        <v>1150</v>
      </c>
      <c r="BF14" s="58">
        <v>1150</v>
      </c>
      <c r="BG14" s="58">
        <v>1150</v>
      </c>
      <c r="BH14" s="58">
        <v>1060</v>
      </c>
      <c r="BI14" s="58">
        <v>880</v>
      </c>
      <c r="BJ14" s="58">
        <v>880</v>
      </c>
      <c r="BK14" s="58">
        <v>680</v>
      </c>
      <c r="BL14" s="58">
        <v>410</v>
      </c>
      <c r="BM14" s="58">
        <v>220</v>
      </c>
      <c r="BN14" s="58">
        <v>850</v>
      </c>
      <c r="BO14" s="58">
        <v>850</v>
      </c>
      <c r="BP14" s="58">
        <v>670</v>
      </c>
      <c r="BQ14" s="58">
        <v>1030</v>
      </c>
      <c r="BR14" s="58">
        <v>850</v>
      </c>
      <c r="BS14" s="58">
        <v>730</v>
      </c>
      <c r="BT14" s="58">
        <v>1090</v>
      </c>
      <c r="BU14" s="58">
        <v>730</v>
      </c>
      <c r="BV14" s="58">
        <v>460</v>
      </c>
      <c r="BW14" s="58">
        <v>250</v>
      </c>
      <c r="BX14" s="58">
        <v>790</v>
      </c>
      <c r="BY14" s="58">
        <v>630</v>
      </c>
      <c r="BZ14" s="58">
        <v>360</v>
      </c>
      <c r="CA14" s="58">
        <v>250</v>
      </c>
      <c r="CB14" s="58">
        <v>1330</v>
      </c>
      <c r="CC14" s="58">
        <v>1240</v>
      </c>
      <c r="CD14" s="58">
        <v>1420</v>
      </c>
      <c r="CE14" s="58">
        <v>1240</v>
      </c>
      <c r="CF14" s="58">
        <v>790</v>
      </c>
      <c r="CG14" s="58">
        <v>610</v>
      </c>
      <c r="CH14" s="58">
        <v>880</v>
      </c>
      <c r="CI14" s="58">
        <v>610</v>
      </c>
      <c r="CJ14" s="58">
        <v>250</v>
      </c>
      <c r="CK14" s="58">
        <v>250</v>
      </c>
      <c r="CL14" s="58">
        <v>160</v>
      </c>
      <c r="CM14" s="58">
        <v>70</v>
      </c>
      <c r="CN14" s="58">
        <v>70</v>
      </c>
      <c r="CO14" s="58">
        <v>1060</v>
      </c>
      <c r="CP14" s="58">
        <v>700</v>
      </c>
      <c r="CQ14" s="58">
        <v>520</v>
      </c>
      <c r="CR14" s="58">
        <v>970</v>
      </c>
      <c r="CS14" s="58">
        <v>1150</v>
      </c>
      <c r="CT14" s="58">
        <v>970</v>
      </c>
      <c r="CU14" s="58">
        <v>970</v>
      </c>
      <c r="CV14" s="58">
        <v>610</v>
      </c>
      <c r="CW14" s="58">
        <v>970</v>
      </c>
      <c r="CX14" s="58">
        <v>880</v>
      </c>
      <c r="CY14" s="58">
        <v>880</v>
      </c>
      <c r="CZ14" s="58">
        <v>880</v>
      </c>
      <c r="DA14" s="58">
        <v>790</v>
      </c>
      <c r="DB14" s="58">
        <v>790</v>
      </c>
      <c r="DC14" s="58">
        <v>700</v>
      </c>
      <c r="DD14" s="58">
        <v>700</v>
      </c>
      <c r="DE14" s="58">
        <v>700</v>
      </c>
      <c r="DF14" s="58">
        <v>700</v>
      </c>
      <c r="DG14" s="58">
        <v>1060</v>
      </c>
      <c r="DH14" s="58">
        <v>880</v>
      </c>
      <c r="DI14" s="58">
        <v>610</v>
      </c>
      <c r="DJ14" s="58">
        <v>610</v>
      </c>
      <c r="DK14" s="107"/>
      <c r="DL14" s="107"/>
      <c r="DM14" s="107"/>
      <c r="DN14" s="107"/>
      <c r="DO14" s="107"/>
      <c r="DP14" s="107"/>
      <c r="DQ14" s="107"/>
      <c r="DR14" s="107"/>
      <c r="DS14" s="107"/>
      <c r="DT14" s="107"/>
      <c r="DU14" s="107"/>
      <c r="DV14" s="107"/>
      <c r="DW14" s="107"/>
      <c r="DX14" s="107"/>
      <c r="DY14" s="107"/>
      <c r="DZ14" s="107"/>
      <c r="EA14" s="107"/>
      <c r="EB14" s="107"/>
      <c r="EC14" s="107"/>
      <c r="ED14" s="107"/>
      <c r="EE14" s="107"/>
      <c r="EF14" s="107"/>
      <c r="EG14" s="107"/>
      <c r="EH14" s="107"/>
      <c r="EI14" s="107"/>
      <c r="EJ14" s="107"/>
      <c r="EK14" s="107"/>
      <c r="EL14" s="107"/>
      <c r="EM14" s="107"/>
      <c r="EN14" s="107"/>
      <c r="EO14" s="107"/>
      <c r="EP14" s="107"/>
      <c r="EQ14" s="107"/>
      <c r="ER14" s="107"/>
      <c r="ES14" s="107"/>
      <c r="ET14" s="107"/>
      <c r="EU14" s="107"/>
      <c r="EV14" s="107"/>
      <c r="EW14" s="107"/>
      <c r="EX14" s="107"/>
      <c r="EY14" s="107"/>
      <c r="EZ14" s="107"/>
      <c r="FA14" s="107"/>
      <c r="FB14" s="107"/>
      <c r="FC14" s="107"/>
      <c r="FD14" s="107"/>
      <c r="FE14" s="107"/>
      <c r="FF14" s="107"/>
      <c r="FG14" s="107"/>
      <c r="FH14" s="107"/>
      <c r="FI14" s="107"/>
      <c r="FJ14" s="107"/>
      <c r="FK14" s="107"/>
      <c r="FL14" s="107"/>
      <c r="FM14" s="107"/>
      <c r="FN14" s="107"/>
      <c r="FO14" s="107"/>
      <c r="FP14" s="107"/>
      <c r="FQ14" s="107"/>
      <c r="FR14" s="107"/>
      <c r="FS14" s="107"/>
      <c r="FT14" s="107"/>
    </row>
    <row r="15" spans="1:176" x14ac:dyDescent="0.25">
      <c r="A15" s="107"/>
      <c r="B15" s="107"/>
      <c r="C15" s="107"/>
      <c r="D15" s="107"/>
      <c r="E15" s="107"/>
      <c r="F15" s="107"/>
      <c r="G15" s="147" t="str">
        <f>IF(_ibpOfflineCondition_,"000000000000564252-1", _xll.EPMOlapMemberO("[PRDID].[].[000000000000564252-1]","","000000000000564252-1","","000"))</f>
        <v>000000000000564252-1</v>
      </c>
      <c r="H15" s="147" t="str">
        <f>IF(_ibpOfflineCondition_,"FGR+ Fig.Plus 10/340+40 anthr Boral WB", _xll.EPMOlapMemberO("[PRDDESCR].[].[FGR+ Fig.Plus 10/340+40 anthr Boral WB]","","FGR+ Fig.Plus 10/340+40 anthr Boral WB","","000"))</f>
        <v>FGR+ Fig.Plus 10/340+40 anthr Boral WB</v>
      </c>
      <c r="I15" s="147" t="str">
        <f>IF(_ibpOfflineCondition_,"X7", _xll.EPMOlapMemberO("[MRPTYPE].[].[X7]","","X7","","000"))</f>
        <v>X7</v>
      </c>
      <c r="J15" s="147" t="str">
        <f>IF(_ibpOfflineCondition_,"GSCRM Actual Sales and Unconstrained Demand", _xll.EPMOlapMemberO("[KEY_FIGURES].[].[ZGSCRMACTUALUNCONSDEMAND]","","GSCRM Actual Sales and Unconstrained Demand","","000"))</f>
        <v>GSCRM Actual Sales and Unconstrained Demand</v>
      </c>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c r="BA15" s="58"/>
      <c r="BB15" s="58"/>
      <c r="BC15" s="58"/>
      <c r="BD15" s="58"/>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c r="CE15" s="58"/>
      <c r="CF15" s="58"/>
      <c r="CG15" s="58"/>
      <c r="CH15" s="58"/>
      <c r="CI15" s="58"/>
      <c r="CJ15" s="58"/>
      <c r="CK15" s="58"/>
      <c r="CL15" s="58"/>
      <c r="CM15" s="58"/>
      <c r="CN15" s="58"/>
      <c r="CO15" s="58"/>
      <c r="CP15" s="58"/>
      <c r="CQ15" s="58"/>
      <c r="CR15" s="58"/>
      <c r="CS15" s="58"/>
      <c r="CT15" s="58"/>
      <c r="CU15" s="58"/>
      <c r="CV15" s="58"/>
      <c r="CW15" s="58"/>
      <c r="CX15" s="58"/>
      <c r="CY15" s="58"/>
      <c r="CZ15" s="58"/>
      <c r="DA15" s="58"/>
      <c r="DB15" s="58"/>
      <c r="DC15" s="58"/>
      <c r="DD15" s="58"/>
      <c r="DE15" s="58"/>
      <c r="DF15" s="58"/>
      <c r="DG15" s="58"/>
      <c r="DH15" s="58"/>
      <c r="DI15" s="58"/>
      <c r="DJ15" s="58"/>
      <c r="DK15" s="107"/>
      <c r="DL15" s="107"/>
      <c r="DM15" s="107"/>
      <c r="DN15" s="107"/>
      <c r="DO15" s="107"/>
      <c r="DP15" s="107"/>
      <c r="DQ15" s="107"/>
      <c r="DR15" s="107"/>
      <c r="DS15" s="107"/>
      <c r="DT15" s="107"/>
      <c r="DU15" s="107"/>
      <c r="DV15" s="107"/>
      <c r="DW15" s="107"/>
      <c r="DX15" s="107"/>
      <c r="DY15" s="107"/>
      <c r="DZ15" s="107"/>
      <c r="EA15" s="107"/>
      <c r="EB15" s="107"/>
      <c r="EC15" s="107"/>
      <c r="ED15" s="107"/>
      <c r="EE15" s="107"/>
      <c r="EF15" s="107"/>
      <c r="EG15" s="107"/>
      <c r="EH15" s="107"/>
      <c r="EI15" s="107"/>
      <c r="EJ15" s="107"/>
      <c r="EK15" s="107"/>
      <c r="EL15" s="107"/>
      <c r="EM15" s="107"/>
      <c r="EN15" s="107"/>
      <c r="EO15" s="107"/>
      <c r="EP15" s="107"/>
      <c r="EQ15" s="107"/>
      <c r="ER15" s="107"/>
      <c r="ES15" s="107"/>
      <c r="ET15" s="107"/>
      <c r="EU15" s="107"/>
      <c r="EV15" s="107"/>
      <c r="EW15" s="107"/>
      <c r="EX15" s="107"/>
      <c r="EY15" s="107"/>
      <c r="EZ15" s="107"/>
      <c r="FA15" s="107"/>
      <c r="FB15" s="107"/>
      <c r="FC15" s="107"/>
      <c r="FD15" s="107"/>
      <c r="FE15" s="107"/>
      <c r="FF15" s="107"/>
      <c r="FG15" s="107"/>
      <c r="FH15" s="107"/>
      <c r="FI15" s="107"/>
      <c r="FJ15" s="107"/>
      <c r="FK15" s="107"/>
      <c r="FL15" s="107"/>
      <c r="FM15" s="107"/>
      <c r="FN15" s="107"/>
      <c r="FO15" s="107"/>
      <c r="FP15" s="107"/>
      <c r="FQ15" s="107"/>
      <c r="FR15" s="107"/>
      <c r="FS15" s="107"/>
      <c r="FT15" s="107"/>
    </row>
    <row r="16" spans="1:176" x14ac:dyDescent="0.25">
      <c r="A16" s="107"/>
      <c r="B16" s="107"/>
      <c r="C16" s="107"/>
      <c r="D16" s="107"/>
      <c r="E16" s="107"/>
      <c r="F16" s="107"/>
      <c r="G16" s="147" t="str">
        <f>IF(_ibpOfflineCondition_,"000000000000564252-1", _xll.EPMOlapMemberO("[PRDID].[].[000000000000564252-1]","","000000000000564252-1","","000"))</f>
        <v>000000000000564252-1</v>
      </c>
      <c r="H16" s="147" t="str">
        <f>IF(_ibpOfflineCondition_,"FGR+ Fig.Plus 10/340+40 anthr Boral WB", _xll.EPMOlapMemberO("[PRDDESCR].[].[FGR+ Fig.Plus 10/340+40 anthr Boral WB]","","FGR+ Fig.Plus 10/340+40 anthr Boral WB","","000"))</f>
        <v>FGR+ Fig.Plus 10/340+40 anthr Boral WB</v>
      </c>
      <c r="I16" s="147" t="str">
        <f>IF(_ibpOfflineCondition_,"X7", _xll.EPMOlapMemberO("[MRPTYPE].[].[X7]","","X7","","000"))</f>
        <v>X7</v>
      </c>
      <c r="J16" s="147" t="str">
        <f>IF(_ibpOfflineCondition_,"GSCRM Actuals and Future Production", _xll.EPMOlapMemberO("[KEY_FIGURES].[].[ZGSCRMACTUALSPRODUCTION]","","GSCRM Actuals and Future Production","","000"))</f>
        <v>GSCRM Actuals and Future Production</v>
      </c>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c r="BA16" s="58"/>
      <c r="BB16" s="58"/>
      <c r="BC16" s="58"/>
      <c r="BD16" s="58"/>
      <c r="BE16" s="58"/>
      <c r="BF16" s="58"/>
      <c r="BG16" s="58"/>
      <c r="BH16" s="58"/>
      <c r="BI16" s="58"/>
      <c r="BJ16" s="58"/>
      <c r="BK16" s="58"/>
      <c r="BL16" s="58"/>
      <c r="BM16" s="58"/>
      <c r="BN16" s="58"/>
      <c r="BO16" s="58"/>
      <c r="BP16" s="58"/>
      <c r="BQ16" s="58"/>
      <c r="BR16" s="58"/>
      <c r="BS16" s="58"/>
      <c r="BT16" s="58"/>
      <c r="BU16" s="58"/>
      <c r="BV16" s="58"/>
      <c r="BW16" s="58"/>
      <c r="BX16" s="58"/>
      <c r="BY16" s="58"/>
      <c r="BZ16" s="58"/>
      <c r="CA16" s="58"/>
      <c r="CB16" s="58"/>
      <c r="CC16" s="58"/>
      <c r="CD16" s="58"/>
      <c r="CE16" s="58"/>
      <c r="CF16" s="58"/>
      <c r="CG16" s="58"/>
      <c r="CH16" s="58"/>
      <c r="CI16" s="58"/>
      <c r="CJ16" s="58"/>
      <c r="CK16" s="58"/>
      <c r="CL16" s="58"/>
      <c r="CM16" s="58"/>
      <c r="CN16" s="58"/>
      <c r="CO16" s="58"/>
      <c r="CP16" s="58"/>
      <c r="CQ16" s="58"/>
      <c r="CR16" s="58"/>
      <c r="CS16" s="58"/>
      <c r="CT16" s="58"/>
      <c r="CU16" s="58"/>
      <c r="CV16" s="58"/>
      <c r="CW16" s="58"/>
      <c r="CX16" s="58"/>
      <c r="CY16" s="58"/>
      <c r="CZ16" s="58"/>
      <c r="DA16" s="58"/>
      <c r="DB16" s="58"/>
      <c r="DC16" s="58"/>
      <c r="DD16" s="58"/>
      <c r="DE16" s="58"/>
      <c r="DF16" s="58"/>
      <c r="DG16" s="58"/>
      <c r="DH16" s="58"/>
      <c r="DI16" s="58"/>
      <c r="DJ16" s="58"/>
      <c r="DK16" s="107"/>
      <c r="DL16" s="107"/>
      <c r="DM16" s="107"/>
      <c r="DN16" s="107"/>
      <c r="DO16" s="107"/>
      <c r="DP16" s="107"/>
      <c r="DQ16" s="107"/>
      <c r="DR16" s="107"/>
      <c r="DS16" s="107"/>
      <c r="DT16" s="107"/>
      <c r="DU16" s="107"/>
      <c r="DV16" s="107"/>
      <c r="DW16" s="107"/>
      <c r="DX16" s="107"/>
      <c r="DY16" s="107"/>
      <c r="DZ16" s="107"/>
      <c r="EA16" s="107"/>
      <c r="EB16" s="107"/>
      <c r="EC16" s="107"/>
      <c r="ED16" s="107"/>
      <c r="EE16" s="107"/>
      <c r="EF16" s="107"/>
      <c r="EG16" s="107"/>
      <c r="EH16" s="107"/>
      <c r="EI16" s="107"/>
      <c r="EJ16" s="107"/>
      <c r="EK16" s="107"/>
      <c r="EL16" s="107"/>
      <c r="EM16" s="107"/>
      <c r="EN16" s="107"/>
      <c r="EO16" s="107"/>
      <c r="EP16" s="107"/>
      <c r="EQ16" s="107"/>
      <c r="ER16" s="107"/>
      <c r="ES16" s="107"/>
      <c r="ET16" s="107"/>
      <c r="EU16" s="107"/>
      <c r="EV16" s="107"/>
      <c r="EW16" s="107"/>
      <c r="EX16" s="107"/>
      <c r="EY16" s="107"/>
      <c r="EZ16" s="107"/>
      <c r="FA16" s="107"/>
      <c r="FB16" s="107"/>
      <c r="FC16" s="107"/>
      <c r="FD16" s="107"/>
      <c r="FE16" s="107"/>
      <c r="FF16" s="107"/>
      <c r="FG16" s="107"/>
      <c r="FH16" s="107"/>
      <c r="FI16" s="107"/>
      <c r="FJ16" s="107"/>
      <c r="FK16" s="107"/>
      <c r="FL16" s="107"/>
      <c r="FM16" s="107"/>
      <c r="FN16" s="107"/>
      <c r="FO16" s="107"/>
      <c r="FP16" s="107"/>
      <c r="FQ16" s="107"/>
      <c r="FR16" s="107"/>
      <c r="FS16" s="107"/>
      <c r="FT16" s="107"/>
    </row>
    <row r="17" spans="1:176" x14ac:dyDescent="0.25">
      <c r="A17" s="107"/>
      <c r="B17" s="107"/>
      <c r="C17" s="107"/>
      <c r="D17" s="107"/>
      <c r="E17" s="107"/>
      <c r="F17" s="107"/>
      <c r="G17" s="147" t="str">
        <f>IF(_ibpOfflineCondition_,"000000000000564252-1", _xll.EPMOlapMemberO("[PRDID].[].[000000000000564252-1]","","000000000000564252-1","","000"))</f>
        <v>000000000000564252-1</v>
      </c>
      <c r="H17" s="147" t="str">
        <f>IF(_ibpOfflineCondition_,"FGR+ Fig.Plus 10/340+40 anthr Boral WB", _xll.EPMOlapMemberO("[PRDDESCR].[].[FGR+ Fig.Plus 10/340+40 anthr Boral WB]","","FGR+ Fig.Plus 10/340+40 anthr Boral WB","","000"))</f>
        <v>FGR+ Fig.Plus 10/340+40 anthr Boral WB</v>
      </c>
      <c r="I17" s="147" t="str">
        <f>IF(_ibpOfflineCondition_,"X7", _xll.EPMOlapMemberO("[MRPTYPE].[].[X7]","","X7","","000"))</f>
        <v>X7</v>
      </c>
      <c r="J17" s="147" t="str">
        <f>IF(_ibpOfflineCondition_,"GSCRM Projected Stock (Unconstrained Demand)", _xll.EPMOlapMemberO("[KEY_FIGURES].[].[ZGSCRMUNCONSINVENTORY]","","GSCRM Projected Stock (Unconstrained Demand)","","000"))</f>
        <v>GSCRM Projected Stock (Unconstrained Demand)</v>
      </c>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c r="BA17" s="58"/>
      <c r="BB17" s="58"/>
      <c r="BC17" s="58"/>
      <c r="BD17" s="58"/>
      <c r="BE17" s="58"/>
      <c r="BF17" s="58"/>
      <c r="BG17" s="58"/>
      <c r="BH17" s="58"/>
      <c r="BI17" s="58"/>
      <c r="BJ17" s="58"/>
      <c r="BK17" s="58"/>
      <c r="BL17" s="58"/>
      <c r="BM17" s="58"/>
      <c r="BN17" s="58"/>
      <c r="BO17" s="58"/>
      <c r="BP17" s="58"/>
      <c r="BQ17" s="58"/>
      <c r="BR17" s="58"/>
      <c r="BS17" s="58"/>
      <c r="BT17" s="58"/>
      <c r="BU17" s="58"/>
      <c r="BV17" s="58"/>
      <c r="BW17" s="58"/>
      <c r="BX17" s="58"/>
      <c r="BY17" s="58"/>
      <c r="BZ17" s="58"/>
      <c r="CA17" s="58"/>
      <c r="CB17" s="58"/>
      <c r="CC17" s="58"/>
      <c r="CD17" s="58"/>
      <c r="CE17" s="58"/>
      <c r="CF17" s="58"/>
      <c r="CG17" s="58"/>
      <c r="CH17" s="58"/>
      <c r="CI17" s="58"/>
      <c r="CJ17" s="58"/>
      <c r="CK17" s="58"/>
      <c r="CL17" s="58"/>
      <c r="CM17" s="58"/>
      <c r="CN17" s="58"/>
      <c r="CO17" s="58"/>
      <c r="CP17" s="58"/>
      <c r="CQ17" s="58"/>
      <c r="CR17" s="58"/>
      <c r="CS17" s="58"/>
      <c r="CT17" s="58"/>
      <c r="CU17" s="58"/>
      <c r="CV17" s="58"/>
      <c r="CW17" s="58"/>
      <c r="CX17" s="58"/>
      <c r="CY17" s="58"/>
      <c r="CZ17" s="58"/>
      <c r="DA17" s="58"/>
      <c r="DB17" s="58"/>
      <c r="DC17" s="58"/>
      <c r="DD17" s="58"/>
      <c r="DE17" s="58"/>
      <c r="DF17" s="58"/>
      <c r="DG17" s="58"/>
      <c r="DH17" s="58"/>
      <c r="DI17" s="58"/>
      <c r="DJ17" s="58"/>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c r="EH17" s="107"/>
      <c r="EI17" s="107"/>
      <c r="EJ17" s="107"/>
      <c r="EK17" s="107"/>
      <c r="EL17" s="107"/>
      <c r="EM17" s="107"/>
      <c r="EN17" s="107"/>
      <c r="EO17" s="107"/>
      <c r="EP17" s="107"/>
      <c r="EQ17" s="107"/>
      <c r="ER17" s="107"/>
      <c r="ES17" s="107"/>
      <c r="ET17" s="107"/>
      <c r="EU17" s="107"/>
      <c r="EV17" s="107"/>
      <c r="EW17" s="107"/>
      <c r="EX17" s="107"/>
      <c r="EY17" s="107"/>
      <c r="EZ17" s="107"/>
      <c r="FA17" s="107"/>
      <c r="FB17" s="107"/>
      <c r="FC17" s="107"/>
      <c r="FD17" s="107"/>
      <c r="FE17" s="107"/>
      <c r="FF17" s="107"/>
      <c r="FG17" s="107"/>
      <c r="FH17" s="107"/>
      <c r="FI17" s="107"/>
      <c r="FJ17" s="107"/>
      <c r="FK17" s="107"/>
      <c r="FL17" s="107"/>
      <c r="FM17" s="107"/>
      <c r="FN17" s="107"/>
      <c r="FO17" s="107"/>
      <c r="FP17" s="107"/>
      <c r="FQ17" s="107"/>
      <c r="FR17" s="107"/>
      <c r="FS17" s="107"/>
      <c r="FT17" s="107"/>
    </row>
    <row r="18" spans="1:176" x14ac:dyDescent="0.25">
      <c r="A18" s="107"/>
      <c r="B18" s="107"/>
      <c r="C18" s="107"/>
      <c r="D18" s="107"/>
      <c r="E18" s="107"/>
      <c r="F18" s="107"/>
      <c r="G18" s="147" t="str">
        <f>IF(_ibpOfflineCondition_,"000000000000564301-1", _xll.EPMOlapMemberO("[PRDID].[].[000000000000564301-1]","","000000000000564301-1","","000"))</f>
        <v>000000000000564301-1</v>
      </c>
      <c r="H18" s="147" t="str">
        <f>IF(_ibpOfflineCondition_,"FGR+ AIRBAND PLUS 5/340+40 BRAUN MIT", _xll.EPMOlapMemberO("[PRDDESCR].[].[FGR+ AIRBAND PLUS 5/340+40 BRAUN MIT]","","FGR+ AIRBAND PLUS 5/340+40 BRAUN MIT","","000"))</f>
        <v>FGR+ AIRBAND PLUS 5/340+40 BRAUN MIT</v>
      </c>
      <c r="I18" s="147" t="str">
        <f>IF(_ibpOfflineCondition_,"X7", _xll.EPMOlapMemberO("[MRPTYPE].[].[X7]","","X7","","000"))</f>
        <v>X7</v>
      </c>
      <c r="J18" s="147" t="str">
        <f>IF(_ibpOfflineCondition_,"GSCRM Actual Sales and Unconstrained Demand", _xll.EPMOlapMemberO("[KEY_FIGURES].[].[ZGSCRMACTUALUNCONSDEMAND]","","GSCRM Actual Sales and Unconstrained Demand","","000"))</f>
        <v>GSCRM Actual Sales and Unconstrained Demand</v>
      </c>
      <c r="K18" s="58"/>
      <c r="L18" s="58"/>
      <c r="M18" s="58"/>
      <c r="N18" s="58"/>
      <c r="O18" s="58">
        <v>90</v>
      </c>
      <c r="P18" s="58"/>
      <c r="Q18" s="58">
        <v>90</v>
      </c>
      <c r="R18" s="58"/>
      <c r="S18" s="58"/>
      <c r="T18" s="58"/>
      <c r="U18" s="58"/>
      <c r="V18" s="58"/>
      <c r="W18" s="58"/>
      <c r="X18" s="58"/>
      <c r="Y18" s="58">
        <v>90</v>
      </c>
      <c r="Z18" s="58"/>
      <c r="AA18" s="58"/>
      <c r="AB18" s="58"/>
      <c r="AC18" s="58"/>
      <c r="AD18" s="58"/>
      <c r="AE18" s="58"/>
      <c r="AF18" s="58"/>
      <c r="AG18" s="58"/>
      <c r="AH18" s="58"/>
      <c r="AI18" s="58"/>
      <c r="AJ18" s="58"/>
      <c r="AK18" s="58"/>
      <c r="AL18" s="58"/>
      <c r="AM18" s="58"/>
      <c r="AN18" s="58"/>
      <c r="AO18" s="58">
        <v>180</v>
      </c>
      <c r="AP18" s="58"/>
      <c r="AQ18" s="58"/>
      <c r="AR18" s="58"/>
      <c r="AS18" s="58">
        <v>90</v>
      </c>
      <c r="AT18" s="58"/>
      <c r="AU18" s="58"/>
      <c r="AV18" s="58"/>
      <c r="AW18" s="58"/>
      <c r="AX18" s="58"/>
      <c r="AY18" s="58"/>
      <c r="AZ18" s="58"/>
      <c r="BA18" s="58">
        <v>90</v>
      </c>
      <c r="BB18" s="58"/>
      <c r="BC18" s="58"/>
      <c r="BD18" s="58"/>
      <c r="BE18" s="58"/>
      <c r="BF18" s="58"/>
      <c r="BG18" s="58"/>
      <c r="BH18" s="58">
        <v>90</v>
      </c>
      <c r="BI18" s="58"/>
      <c r="BJ18" s="58"/>
      <c r="BK18" s="58"/>
      <c r="BL18" s="58"/>
      <c r="BM18" s="58"/>
      <c r="BN18" s="58">
        <v>90</v>
      </c>
      <c r="BO18" s="58"/>
      <c r="BP18" s="58"/>
      <c r="BQ18" s="58"/>
      <c r="BR18" s="58"/>
      <c r="BS18" s="58"/>
      <c r="BT18" s="58"/>
      <c r="BU18" s="58"/>
      <c r="BV18" s="58">
        <v>90</v>
      </c>
      <c r="BW18" s="58"/>
      <c r="BX18" s="58"/>
      <c r="BY18" s="58"/>
      <c r="BZ18" s="58"/>
      <c r="CA18" s="58">
        <v>90</v>
      </c>
      <c r="CB18" s="58"/>
      <c r="CC18" s="58"/>
      <c r="CD18" s="58"/>
      <c r="CE18" s="58">
        <v>90</v>
      </c>
      <c r="CF18" s="58"/>
      <c r="CG18" s="58"/>
      <c r="CH18" s="58"/>
      <c r="CI18" s="58"/>
      <c r="CJ18" s="58"/>
      <c r="CK18" s="58"/>
      <c r="CL18" s="58"/>
      <c r="CM18" s="58"/>
      <c r="CN18" s="58"/>
      <c r="CO18" s="58">
        <v>90</v>
      </c>
      <c r="CP18" s="58"/>
      <c r="CQ18" s="58"/>
      <c r="CR18" s="58"/>
      <c r="CS18" s="58"/>
      <c r="CT18" s="58"/>
      <c r="CU18" s="58"/>
      <c r="CV18" s="58"/>
      <c r="CW18" s="58">
        <v>90</v>
      </c>
      <c r="CX18" s="58"/>
      <c r="CY18" s="58">
        <v>90</v>
      </c>
      <c r="CZ18" s="58"/>
      <c r="DA18" s="58"/>
      <c r="DB18" s="58"/>
      <c r="DC18" s="58"/>
      <c r="DD18" s="58"/>
      <c r="DE18" s="58"/>
      <c r="DF18" s="58"/>
      <c r="DG18" s="58"/>
      <c r="DH18" s="58"/>
      <c r="DI18" s="58">
        <v>90</v>
      </c>
      <c r="DJ18" s="58"/>
      <c r="DK18" s="107"/>
      <c r="DL18" s="107"/>
      <c r="DM18" s="107"/>
      <c r="DN18" s="107"/>
      <c r="DO18" s="107"/>
      <c r="DP18" s="107"/>
      <c r="DQ18" s="107"/>
      <c r="DR18" s="107"/>
      <c r="DS18" s="107"/>
      <c r="DT18" s="107"/>
      <c r="DU18" s="107"/>
      <c r="DV18" s="107"/>
      <c r="DW18" s="107"/>
      <c r="DX18" s="107"/>
      <c r="DY18" s="107"/>
      <c r="DZ18" s="107"/>
      <c r="EA18" s="107"/>
      <c r="EB18" s="107"/>
      <c r="EC18" s="107"/>
      <c r="ED18" s="107"/>
      <c r="EE18" s="107"/>
      <c r="EF18" s="107"/>
      <c r="EG18" s="107"/>
      <c r="EH18" s="107"/>
      <c r="EI18" s="107"/>
      <c r="EJ18" s="107"/>
      <c r="EK18" s="107"/>
      <c r="EL18" s="107"/>
      <c r="EM18" s="107"/>
      <c r="EN18" s="107"/>
      <c r="EO18" s="107"/>
      <c r="EP18" s="107"/>
      <c r="EQ18" s="107"/>
      <c r="ER18" s="107"/>
      <c r="ES18" s="107"/>
      <c r="ET18" s="107"/>
      <c r="EU18" s="107"/>
      <c r="EV18" s="107"/>
      <c r="EW18" s="107"/>
      <c r="EX18" s="107"/>
      <c r="EY18" s="107"/>
      <c r="EZ18" s="107"/>
      <c r="FA18" s="107"/>
      <c r="FB18" s="107"/>
      <c r="FC18" s="107"/>
      <c r="FD18" s="107"/>
      <c r="FE18" s="107"/>
      <c r="FF18" s="107"/>
      <c r="FG18" s="107"/>
      <c r="FH18" s="107"/>
      <c r="FI18" s="107"/>
      <c r="FJ18" s="107"/>
      <c r="FK18" s="107"/>
      <c r="FL18" s="107"/>
      <c r="FM18" s="107"/>
      <c r="FN18" s="107"/>
      <c r="FO18" s="107"/>
      <c r="FP18" s="107"/>
      <c r="FQ18" s="107"/>
      <c r="FR18" s="107"/>
      <c r="FS18" s="107"/>
      <c r="FT18" s="107"/>
    </row>
    <row r="19" spans="1:176" x14ac:dyDescent="0.25">
      <c r="A19" s="107"/>
      <c r="B19" s="107"/>
      <c r="C19" s="107"/>
      <c r="D19" s="107"/>
      <c r="E19" s="107"/>
      <c r="F19" s="107"/>
      <c r="G19" s="147" t="str">
        <f>IF(_ibpOfflineCondition_,"000000000000564301-1", _xll.EPMOlapMemberO("[PRDID].[].[000000000000564301-1]","","000000000000564301-1","","000"))</f>
        <v>000000000000564301-1</v>
      </c>
      <c r="H19" s="147" t="str">
        <f>IF(_ibpOfflineCondition_,"FGR+ AIRBAND PLUS 5/340+40 BRAUN MIT", _xll.EPMOlapMemberO("[PRDDESCR].[].[FGR+ AIRBAND PLUS 5/340+40 BRAUN MIT]","","FGR+ AIRBAND PLUS 5/340+40 BRAUN MIT","","000"))</f>
        <v>FGR+ AIRBAND PLUS 5/340+40 BRAUN MIT</v>
      </c>
      <c r="I19" s="147" t="str">
        <f>IF(_ibpOfflineCondition_,"X7", _xll.EPMOlapMemberO("[MRPTYPE].[].[X7]","","X7","","000"))</f>
        <v>X7</v>
      </c>
      <c r="J19" s="147" t="str">
        <f>IF(_ibpOfflineCondition_,"GSCRM Actuals and Future Production", _xll.EPMOlapMemberO("[KEY_FIGURES].[].[ZGSCRMACTUALSPRODUCTION]","","GSCRM Actuals and Future Production","","000"))</f>
        <v>GSCRM Actuals and Future Production</v>
      </c>
      <c r="K19" s="58">
        <v>180</v>
      </c>
      <c r="L19" s="58">
        <v>0</v>
      </c>
      <c r="M19" s="58">
        <v>0</v>
      </c>
      <c r="N19" s="58">
        <v>0</v>
      </c>
      <c r="O19" s="58">
        <v>0</v>
      </c>
      <c r="P19" s="58">
        <v>0</v>
      </c>
      <c r="Q19" s="58">
        <v>0</v>
      </c>
      <c r="R19" s="58">
        <v>0</v>
      </c>
      <c r="S19" s="58"/>
      <c r="T19" s="58"/>
      <c r="U19" s="58"/>
      <c r="V19" s="58">
        <v>270</v>
      </c>
      <c r="W19" s="58"/>
      <c r="X19" s="58"/>
      <c r="Y19" s="58">
        <v>0</v>
      </c>
      <c r="Z19" s="58"/>
      <c r="AA19" s="58"/>
      <c r="AB19" s="58"/>
      <c r="AC19" s="58"/>
      <c r="AD19" s="58"/>
      <c r="AE19" s="58"/>
      <c r="AF19" s="58"/>
      <c r="AG19" s="58"/>
      <c r="AH19" s="58"/>
      <c r="AI19" s="58">
        <v>180</v>
      </c>
      <c r="AJ19" s="58"/>
      <c r="AK19" s="58"/>
      <c r="AL19" s="58"/>
      <c r="AM19" s="58"/>
      <c r="AN19" s="58"/>
      <c r="AO19" s="58">
        <v>0</v>
      </c>
      <c r="AP19" s="58"/>
      <c r="AQ19" s="58">
        <v>90</v>
      </c>
      <c r="AR19" s="58"/>
      <c r="AS19" s="58">
        <v>0</v>
      </c>
      <c r="AT19" s="58"/>
      <c r="AU19" s="58"/>
      <c r="AV19" s="58"/>
      <c r="AW19" s="58"/>
      <c r="AX19" s="58"/>
      <c r="AY19" s="58"/>
      <c r="AZ19" s="58"/>
      <c r="BA19" s="58">
        <v>0</v>
      </c>
      <c r="BB19" s="58"/>
      <c r="BC19" s="58"/>
      <c r="BD19" s="58"/>
      <c r="BE19" s="58"/>
      <c r="BF19" s="58"/>
      <c r="BG19" s="58"/>
      <c r="BH19" s="58">
        <v>0</v>
      </c>
      <c r="BI19" s="58"/>
      <c r="BJ19" s="58"/>
      <c r="BK19" s="58">
        <v>180</v>
      </c>
      <c r="BL19" s="58"/>
      <c r="BM19" s="58"/>
      <c r="BN19" s="58">
        <v>0</v>
      </c>
      <c r="BO19" s="58"/>
      <c r="BP19" s="58"/>
      <c r="BQ19" s="58"/>
      <c r="BR19" s="58"/>
      <c r="BS19" s="58"/>
      <c r="BT19" s="58">
        <v>360</v>
      </c>
      <c r="BU19" s="58"/>
      <c r="BV19" s="58">
        <v>0</v>
      </c>
      <c r="BW19" s="58"/>
      <c r="BX19" s="58"/>
      <c r="BY19" s="58"/>
      <c r="BZ19" s="58"/>
      <c r="CA19" s="58">
        <v>0</v>
      </c>
      <c r="CB19" s="58"/>
      <c r="CC19" s="58"/>
      <c r="CD19" s="58"/>
      <c r="CE19" s="58">
        <v>0</v>
      </c>
      <c r="CF19" s="58"/>
      <c r="CG19" s="58"/>
      <c r="CH19" s="58"/>
      <c r="CI19" s="58"/>
      <c r="CJ19" s="58"/>
      <c r="CK19" s="58"/>
      <c r="CL19" s="58"/>
      <c r="CM19" s="58"/>
      <c r="CN19" s="58"/>
      <c r="CO19" s="58">
        <v>0</v>
      </c>
      <c r="CP19" s="58"/>
      <c r="CQ19" s="58"/>
      <c r="CR19" s="58"/>
      <c r="CS19" s="58"/>
      <c r="CT19" s="58"/>
      <c r="CU19" s="58"/>
      <c r="CV19" s="58"/>
      <c r="CW19" s="58">
        <v>90</v>
      </c>
      <c r="CX19" s="58"/>
      <c r="CY19" s="58">
        <v>0</v>
      </c>
      <c r="CZ19" s="58"/>
      <c r="DA19" s="58">
        <v>90</v>
      </c>
      <c r="DB19" s="58"/>
      <c r="DC19" s="58"/>
      <c r="DD19" s="58"/>
      <c r="DE19" s="58"/>
      <c r="DF19" s="58"/>
      <c r="DG19" s="58"/>
      <c r="DH19" s="58"/>
      <c r="DI19" s="58">
        <v>0</v>
      </c>
      <c r="DJ19" s="58">
        <v>90</v>
      </c>
      <c r="DK19" s="107"/>
      <c r="DL19" s="107"/>
      <c r="DM19" s="107"/>
      <c r="DN19" s="107"/>
      <c r="DO19" s="107"/>
      <c r="DP19" s="107"/>
      <c r="DQ19" s="107"/>
      <c r="DR19" s="107"/>
      <c r="DS19" s="107"/>
      <c r="DT19" s="107"/>
      <c r="DU19" s="107"/>
      <c r="DV19" s="107"/>
      <c r="DW19" s="107"/>
      <c r="DX19" s="107"/>
      <c r="DY19" s="107"/>
      <c r="DZ19" s="107"/>
      <c r="EA19" s="107"/>
      <c r="EB19" s="107"/>
      <c r="EC19" s="107"/>
      <c r="ED19" s="107"/>
      <c r="EE19" s="107"/>
      <c r="EF19" s="107"/>
      <c r="EG19" s="107"/>
      <c r="EH19" s="107"/>
      <c r="EI19" s="107"/>
      <c r="EJ19" s="107"/>
      <c r="EK19" s="107"/>
      <c r="EL19" s="107"/>
      <c r="EM19" s="107"/>
      <c r="EN19" s="107"/>
      <c r="EO19" s="107"/>
      <c r="EP19" s="107"/>
      <c r="EQ19" s="107"/>
      <c r="ER19" s="107"/>
      <c r="ES19" s="107"/>
      <c r="ET19" s="107"/>
      <c r="EU19" s="107"/>
      <c r="EV19" s="107"/>
      <c r="EW19" s="107"/>
      <c r="EX19" s="107"/>
      <c r="EY19" s="107"/>
      <c r="EZ19" s="107"/>
      <c r="FA19" s="107"/>
      <c r="FB19" s="107"/>
      <c r="FC19" s="107"/>
      <c r="FD19" s="107"/>
      <c r="FE19" s="107"/>
      <c r="FF19" s="107"/>
      <c r="FG19" s="107"/>
      <c r="FH19" s="107"/>
      <c r="FI19" s="107"/>
      <c r="FJ19" s="107"/>
      <c r="FK19" s="107"/>
      <c r="FL19" s="107"/>
      <c r="FM19" s="107"/>
      <c r="FN19" s="107"/>
      <c r="FO19" s="107"/>
      <c r="FP19" s="107"/>
      <c r="FQ19" s="107"/>
      <c r="FR19" s="107"/>
      <c r="FS19" s="107"/>
      <c r="FT19" s="107"/>
    </row>
    <row r="20" spans="1:176" x14ac:dyDescent="0.25">
      <c r="A20" s="107"/>
      <c r="B20" s="107"/>
      <c r="C20" s="107"/>
      <c r="D20" s="107"/>
      <c r="E20" s="107"/>
      <c r="F20" s="107"/>
      <c r="G20" s="147" t="str">
        <f>IF(_ibpOfflineCondition_,"000000000000564301-1", _xll.EPMOlapMemberO("[PRDID].[].[000000000000564301-1]","","000000000000564301-1","","000"))</f>
        <v>000000000000564301-1</v>
      </c>
      <c r="H20" s="147" t="str">
        <f>IF(_ibpOfflineCondition_,"FGR+ AIRBAND PLUS 5/340+40 BRAUN MIT", _xll.EPMOlapMemberO("[PRDDESCR].[].[FGR+ AIRBAND PLUS 5/340+40 BRAUN MIT]","","FGR+ AIRBAND PLUS 5/340+40 BRAUN MIT","","000"))</f>
        <v>FGR+ AIRBAND PLUS 5/340+40 BRAUN MIT</v>
      </c>
      <c r="I20" s="147" t="str">
        <f>IF(_ibpOfflineCondition_,"X7", _xll.EPMOlapMemberO("[MRPTYPE].[].[X7]","","X7","","000"))</f>
        <v>X7</v>
      </c>
      <c r="J20" s="147" t="str">
        <f>IF(_ibpOfflineCondition_,"GSCRM Projected Stock (Unconstrained Demand)", _xll.EPMOlapMemberO("[KEY_FIGURES].[].[ZGSCRMUNCONSINVENTORY]","","GSCRM Projected Stock (Unconstrained Demand)","","000"))</f>
        <v>GSCRM Projected Stock (Unconstrained Demand)</v>
      </c>
      <c r="K20" s="58">
        <v>180</v>
      </c>
      <c r="L20" s="58">
        <v>180</v>
      </c>
      <c r="M20" s="58">
        <v>180</v>
      </c>
      <c r="N20" s="58">
        <v>180</v>
      </c>
      <c r="O20" s="58">
        <v>90</v>
      </c>
      <c r="P20" s="58">
        <v>90</v>
      </c>
      <c r="Q20" s="58"/>
      <c r="R20" s="58"/>
      <c r="S20" s="58"/>
      <c r="T20" s="58"/>
      <c r="U20" s="58"/>
      <c r="V20" s="58">
        <v>270</v>
      </c>
      <c r="W20" s="58">
        <v>270</v>
      </c>
      <c r="X20" s="58">
        <v>270</v>
      </c>
      <c r="Y20" s="58">
        <v>180</v>
      </c>
      <c r="Z20" s="58">
        <v>180</v>
      </c>
      <c r="AA20" s="58">
        <v>180</v>
      </c>
      <c r="AB20" s="58">
        <v>180</v>
      </c>
      <c r="AC20" s="58">
        <v>180</v>
      </c>
      <c r="AD20" s="58">
        <v>180</v>
      </c>
      <c r="AE20" s="58">
        <v>180</v>
      </c>
      <c r="AF20" s="58">
        <v>180</v>
      </c>
      <c r="AG20" s="58">
        <v>180</v>
      </c>
      <c r="AH20" s="58">
        <v>180</v>
      </c>
      <c r="AI20" s="58">
        <v>360</v>
      </c>
      <c r="AJ20" s="58">
        <v>360</v>
      </c>
      <c r="AK20" s="58">
        <v>360</v>
      </c>
      <c r="AL20" s="58">
        <v>360</v>
      </c>
      <c r="AM20" s="58">
        <v>360</v>
      </c>
      <c r="AN20" s="58">
        <v>360</v>
      </c>
      <c r="AO20" s="58">
        <v>180</v>
      </c>
      <c r="AP20" s="58">
        <v>180</v>
      </c>
      <c r="AQ20" s="58">
        <v>270</v>
      </c>
      <c r="AR20" s="58">
        <v>270</v>
      </c>
      <c r="AS20" s="58">
        <v>180</v>
      </c>
      <c r="AT20" s="58">
        <v>180</v>
      </c>
      <c r="AU20" s="58">
        <v>180</v>
      </c>
      <c r="AV20" s="58">
        <v>180</v>
      </c>
      <c r="AW20" s="58">
        <v>180</v>
      </c>
      <c r="AX20" s="58">
        <v>180</v>
      </c>
      <c r="AY20" s="58">
        <v>180</v>
      </c>
      <c r="AZ20" s="58">
        <v>180</v>
      </c>
      <c r="BA20" s="58">
        <v>90</v>
      </c>
      <c r="BB20" s="58">
        <v>90</v>
      </c>
      <c r="BC20" s="58">
        <v>90</v>
      </c>
      <c r="BD20" s="58">
        <v>90</v>
      </c>
      <c r="BE20" s="58">
        <v>90</v>
      </c>
      <c r="BF20" s="58">
        <v>90</v>
      </c>
      <c r="BG20" s="58">
        <v>90</v>
      </c>
      <c r="BH20" s="58"/>
      <c r="BI20" s="58"/>
      <c r="BJ20" s="58"/>
      <c r="BK20" s="58">
        <v>180</v>
      </c>
      <c r="BL20" s="58">
        <v>180</v>
      </c>
      <c r="BM20" s="58">
        <v>180</v>
      </c>
      <c r="BN20" s="58">
        <v>90</v>
      </c>
      <c r="BO20" s="58">
        <v>90</v>
      </c>
      <c r="BP20" s="58">
        <v>90</v>
      </c>
      <c r="BQ20" s="58">
        <v>90</v>
      </c>
      <c r="BR20" s="58">
        <v>90</v>
      </c>
      <c r="BS20" s="58">
        <v>90</v>
      </c>
      <c r="BT20" s="58">
        <v>450</v>
      </c>
      <c r="BU20" s="58">
        <v>450</v>
      </c>
      <c r="BV20" s="58">
        <v>360</v>
      </c>
      <c r="BW20" s="58">
        <v>360</v>
      </c>
      <c r="BX20" s="58">
        <v>360</v>
      </c>
      <c r="BY20" s="58">
        <v>360</v>
      </c>
      <c r="BZ20" s="58">
        <v>360</v>
      </c>
      <c r="CA20" s="58">
        <v>270</v>
      </c>
      <c r="CB20" s="58">
        <v>270</v>
      </c>
      <c r="CC20" s="58">
        <v>270</v>
      </c>
      <c r="CD20" s="58">
        <v>270</v>
      </c>
      <c r="CE20" s="58">
        <v>180</v>
      </c>
      <c r="CF20" s="58">
        <v>180</v>
      </c>
      <c r="CG20" s="58">
        <v>180</v>
      </c>
      <c r="CH20" s="58">
        <v>180</v>
      </c>
      <c r="CI20" s="58">
        <v>180</v>
      </c>
      <c r="CJ20" s="58">
        <v>180</v>
      </c>
      <c r="CK20" s="58">
        <v>180</v>
      </c>
      <c r="CL20" s="58">
        <v>180</v>
      </c>
      <c r="CM20" s="58">
        <v>180</v>
      </c>
      <c r="CN20" s="58">
        <v>180</v>
      </c>
      <c r="CO20" s="58">
        <v>90</v>
      </c>
      <c r="CP20" s="58">
        <v>90</v>
      </c>
      <c r="CQ20" s="58">
        <v>90</v>
      </c>
      <c r="CR20" s="58">
        <v>90</v>
      </c>
      <c r="CS20" s="58">
        <v>90</v>
      </c>
      <c r="CT20" s="58">
        <v>90</v>
      </c>
      <c r="CU20" s="58">
        <v>90</v>
      </c>
      <c r="CV20" s="58">
        <v>90</v>
      </c>
      <c r="CW20" s="58">
        <v>90</v>
      </c>
      <c r="CX20" s="58">
        <v>90</v>
      </c>
      <c r="CY20" s="58"/>
      <c r="CZ20" s="58"/>
      <c r="DA20" s="58">
        <v>90</v>
      </c>
      <c r="DB20" s="58">
        <v>90</v>
      </c>
      <c r="DC20" s="58">
        <v>90</v>
      </c>
      <c r="DD20" s="58">
        <v>90</v>
      </c>
      <c r="DE20" s="58">
        <v>90</v>
      </c>
      <c r="DF20" s="58">
        <v>90</v>
      </c>
      <c r="DG20" s="58">
        <v>90</v>
      </c>
      <c r="DH20" s="58">
        <v>90</v>
      </c>
      <c r="DI20" s="58"/>
      <c r="DJ20" s="58">
        <v>90</v>
      </c>
      <c r="DK20" s="107"/>
      <c r="DL20" s="107"/>
      <c r="DM20" s="107"/>
      <c r="DN20" s="107"/>
      <c r="DO20" s="107"/>
      <c r="DP20" s="107"/>
      <c r="DQ20" s="107"/>
      <c r="DR20" s="107"/>
      <c r="DS20" s="107"/>
      <c r="DT20" s="107"/>
      <c r="DU20" s="107"/>
      <c r="DV20" s="107"/>
      <c r="DW20" s="107"/>
      <c r="DX20" s="107"/>
      <c r="DY20" s="107"/>
      <c r="DZ20" s="107"/>
      <c r="EA20" s="107"/>
      <c r="EB20" s="107"/>
      <c r="EC20" s="107"/>
      <c r="ED20" s="107"/>
      <c r="EE20" s="107"/>
      <c r="EF20" s="107"/>
      <c r="EG20" s="107"/>
      <c r="EH20" s="107"/>
      <c r="EI20" s="107"/>
      <c r="EJ20" s="107"/>
      <c r="EK20" s="107"/>
      <c r="EL20" s="107"/>
      <c r="EM20" s="107"/>
      <c r="EN20" s="107"/>
      <c r="EO20" s="107"/>
      <c r="EP20" s="107"/>
      <c r="EQ20" s="107"/>
      <c r="ER20" s="107"/>
      <c r="ES20" s="107"/>
      <c r="ET20" s="107"/>
      <c r="EU20" s="107"/>
      <c r="EV20" s="107"/>
      <c r="EW20" s="107"/>
      <c r="EX20" s="107"/>
      <c r="EY20" s="107"/>
      <c r="EZ20" s="107"/>
      <c r="FA20" s="107"/>
      <c r="FB20" s="107"/>
      <c r="FC20" s="107"/>
      <c r="FD20" s="107"/>
      <c r="FE20" s="107"/>
      <c r="FF20" s="107"/>
      <c r="FG20" s="107"/>
      <c r="FH20" s="107"/>
      <c r="FI20" s="107"/>
      <c r="FJ20" s="107"/>
      <c r="FK20" s="107"/>
      <c r="FL20" s="107"/>
      <c r="FM20" s="107"/>
      <c r="FN20" s="107"/>
      <c r="FO20" s="107"/>
      <c r="FP20" s="107"/>
      <c r="FQ20" s="107"/>
      <c r="FR20" s="107"/>
      <c r="FS20" s="107"/>
      <c r="FT20" s="107"/>
    </row>
    <row r="21" spans="1:176" x14ac:dyDescent="0.25">
      <c r="A21" s="107"/>
      <c r="B21" s="107"/>
      <c r="C21" s="107"/>
      <c r="D21" s="107"/>
      <c r="E21" s="107"/>
      <c r="F21" s="107"/>
      <c r="G21" s="147" t="str">
        <f>IF(_ibpOfflineCondition_,"000000000000564303-1", _xll.EPMOlapMemberO("[PRDID].[].[000000000000564303-1]","","000000000000564303-1","","000"))</f>
        <v>000000000000564303-1</v>
      </c>
      <c r="H21" s="147" t="str">
        <f>IF(_ibpOfflineCondition_,"FGR+ AIRBAND PLUS 5/340+40 ROT MIT", _xll.EPMOlapMemberO("[PRDDESCR].[].[FGR+ AIRBAND PLUS 5/340+40 ROT MIT]","","FGR+ AIRBAND PLUS 5/340+40 ROT MIT","","000"))</f>
        <v>FGR+ AIRBAND PLUS 5/340+40 ROT MIT</v>
      </c>
      <c r="I21" s="147" t="str">
        <f>IF(_ibpOfflineCondition_,"X7", _xll.EPMOlapMemberO("[MRPTYPE].[].[X7]","","X7","","000"))</f>
        <v>X7</v>
      </c>
      <c r="J21" s="147" t="str">
        <f>IF(_ibpOfflineCondition_,"GSCRM Actual Sales and Unconstrained Demand", _xll.EPMOlapMemberO("[KEY_FIGURES].[].[ZGSCRMACTUALUNCONSDEMAND]","","GSCRM Actual Sales and Unconstrained Demand","","000"))</f>
        <v>GSCRM Actual Sales and Unconstrained Demand</v>
      </c>
      <c r="K21" s="58"/>
      <c r="L21" s="58"/>
      <c r="M21" s="58"/>
      <c r="N21" s="58"/>
      <c r="O21" s="58">
        <v>180</v>
      </c>
      <c r="P21" s="58"/>
      <c r="Q21" s="58"/>
      <c r="R21" s="58"/>
      <c r="S21" s="58"/>
      <c r="T21" s="58"/>
      <c r="U21" s="58"/>
      <c r="V21" s="58"/>
      <c r="W21" s="58"/>
      <c r="X21" s="58"/>
      <c r="Y21" s="58">
        <v>270</v>
      </c>
      <c r="Z21" s="58"/>
      <c r="AA21" s="58"/>
      <c r="AB21" s="58"/>
      <c r="AC21" s="58"/>
      <c r="AD21" s="58"/>
      <c r="AE21" s="58"/>
      <c r="AF21" s="58">
        <v>360</v>
      </c>
      <c r="AG21" s="58"/>
      <c r="AH21" s="58"/>
      <c r="AI21" s="58">
        <v>90</v>
      </c>
      <c r="AJ21" s="58"/>
      <c r="AK21" s="58"/>
      <c r="AL21" s="58"/>
      <c r="AM21" s="58"/>
      <c r="AN21" s="58"/>
      <c r="AO21" s="58">
        <v>270</v>
      </c>
      <c r="AP21" s="58"/>
      <c r="AQ21" s="58"/>
      <c r="AR21" s="58"/>
      <c r="AS21" s="58">
        <v>180</v>
      </c>
      <c r="AT21" s="58"/>
      <c r="AU21" s="58">
        <v>90</v>
      </c>
      <c r="AV21" s="58"/>
      <c r="AW21" s="58"/>
      <c r="AX21" s="58"/>
      <c r="AY21" s="58"/>
      <c r="AZ21" s="58"/>
      <c r="BA21" s="58">
        <v>90</v>
      </c>
      <c r="BB21" s="58"/>
      <c r="BC21" s="58"/>
      <c r="BD21" s="58"/>
      <c r="BE21" s="58"/>
      <c r="BF21" s="58"/>
      <c r="BG21" s="58"/>
      <c r="BH21" s="58">
        <v>180</v>
      </c>
      <c r="BI21" s="58"/>
      <c r="BJ21" s="58"/>
      <c r="BK21" s="58"/>
      <c r="BL21" s="58"/>
      <c r="BM21" s="58"/>
      <c r="BN21" s="58">
        <v>360</v>
      </c>
      <c r="BO21" s="58"/>
      <c r="BP21" s="58"/>
      <c r="BQ21" s="58"/>
      <c r="BR21" s="58">
        <v>90</v>
      </c>
      <c r="BS21" s="58"/>
      <c r="BT21" s="58"/>
      <c r="BU21" s="58"/>
      <c r="BV21" s="58">
        <v>90</v>
      </c>
      <c r="BW21" s="58">
        <v>90</v>
      </c>
      <c r="BX21" s="58"/>
      <c r="BY21" s="58"/>
      <c r="BZ21" s="58"/>
      <c r="CA21" s="58">
        <v>270</v>
      </c>
      <c r="CB21" s="58"/>
      <c r="CC21" s="58"/>
      <c r="CD21" s="58"/>
      <c r="CE21" s="58">
        <v>360</v>
      </c>
      <c r="CF21" s="58"/>
      <c r="CG21" s="58"/>
      <c r="CH21" s="58"/>
      <c r="CI21" s="58">
        <v>90</v>
      </c>
      <c r="CJ21" s="58"/>
      <c r="CK21" s="58"/>
      <c r="CL21" s="58"/>
      <c r="CM21" s="58"/>
      <c r="CN21" s="58"/>
      <c r="CO21" s="58">
        <v>90</v>
      </c>
      <c r="CP21" s="58"/>
      <c r="CQ21" s="58"/>
      <c r="CR21" s="58"/>
      <c r="CS21" s="58">
        <v>360</v>
      </c>
      <c r="CT21" s="58"/>
      <c r="CU21" s="58"/>
      <c r="CV21" s="58"/>
      <c r="CW21" s="58">
        <v>90</v>
      </c>
      <c r="CX21" s="58"/>
      <c r="CY21" s="58">
        <v>270</v>
      </c>
      <c r="CZ21" s="58"/>
      <c r="DA21" s="58"/>
      <c r="DB21" s="58"/>
      <c r="DC21" s="58"/>
      <c r="DD21" s="58"/>
      <c r="DE21" s="58"/>
      <c r="DF21" s="58"/>
      <c r="DG21" s="58"/>
      <c r="DH21" s="58">
        <v>90</v>
      </c>
      <c r="DI21" s="58">
        <v>90</v>
      </c>
      <c r="DJ21" s="58"/>
      <c r="DK21" s="107"/>
      <c r="DL21" s="107"/>
      <c r="DM21" s="107"/>
      <c r="DN21" s="107"/>
      <c r="DO21" s="107"/>
      <c r="DP21" s="107"/>
      <c r="DQ21" s="107"/>
      <c r="DR21" s="107"/>
      <c r="DS21" s="107"/>
      <c r="DT21" s="107"/>
      <c r="DU21" s="107"/>
      <c r="DV21" s="107"/>
      <c r="DW21" s="107"/>
      <c r="DX21" s="107"/>
      <c r="DY21" s="107"/>
      <c r="DZ21" s="107"/>
      <c r="EA21" s="107"/>
      <c r="EB21" s="107"/>
      <c r="EC21" s="107"/>
      <c r="ED21" s="107"/>
      <c r="EE21" s="107"/>
      <c r="EF21" s="107"/>
      <c r="EG21" s="107"/>
      <c r="EH21" s="107"/>
      <c r="EI21" s="107"/>
      <c r="EJ21" s="107"/>
      <c r="EK21" s="107"/>
      <c r="EL21" s="107"/>
      <c r="EM21" s="107"/>
      <c r="EN21" s="107"/>
      <c r="EO21" s="107"/>
      <c r="EP21" s="107"/>
      <c r="EQ21" s="107"/>
      <c r="ER21" s="107"/>
      <c r="ES21" s="107"/>
      <c r="ET21" s="107"/>
      <c r="EU21" s="107"/>
      <c r="EV21" s="107"/>
      <c r="EW21" s="107"/>
      <c r="EX21" s="107"/>
      <c r="EY21" s="107"/>
      <c r="EZ21" s="107"/>
      <c r="FA21" s="107"/>
      <c r="FB21" s="107"/>
      <c r="FC21" s="107"/>
      <c r="FD21" s="107"/>
      <c r="FE21" s="107"/>
      <c r="FF21" s="107"/>
      <c r="FG21" s="107"/>
      <c r="FH21" s="107"/>
      <c r="FI21" s="107"/>
      <c r="FJ21" s="107"/>
      <c r="FK21" s="107"/>
      <c r="FL21" s="107"/>
      <c r="FM21" s="107"/>
      <c r="FN21" s="107"/>
      <c r="FO21" s="107"/>
      <c r="FP21" s="107"/>
      <c r="FQ21" s="107"/>
      <c r="FR21" s="107"/>
      <c r="FS21" s="107"/>
      <c r="FT21" s="107"/>
    </row>
    <row r="22" spans="1:176" x14ac:dyDescent="0.25">
      <c r="A22" s="107"/>
      <c r="B22" s="107"/>
      <c r="C22" s="107"/>
      <c r="D22" s="107"/>
      <c r="E22" s="107"/>
      <c r="F22" s="107"/>
      <c r="G22" s="147" t="str">
        <f>IF(_ibpOfflineCondition_,"000000000000564303-1", _xll.EPMOlapMemberO("[PRDID].[].[000000000000564303-1]","","000000000000564303-1","","000"))</f>
        <v>000000000000564303-1</v>
      </c>
      <c r="H22" s="147" t="str">
        <f>IF(_ibpOfflineCondition_,"FGR+ AIRBAND PLUS 5/340+40 ROT MIT", _xll.EPMOlapMemberO("[PRDDESCR].[].[FGR+ AIRBAND PLUS 5/340+40 ROT MIT]","","FGR+ AIRBAND PLUS 5/340+40 ROT MIT","","000"))</f>
        <v>FGR+ AIRBAND PLUS 5/340+40 ROT MIT</v>
      </c>
      <c r="I22" s="147" t="str">
        <f>IF(_ibpOfflineCondition_,"X7", _xll.EPMOlapMemberO("[MRPTYPE].[].[X7]","","X7","","000"))</f>
        <v>X7</v>
      </c>
      <c r="J22" s="147" t="str">
        <f>IF(_ibpOfflineCondition_,"GSCRM Actuals and Future Production", _xll.EPMOlapMemberO("[KEY_FIGURES].[].[ZGSCRMACTUALSPRODUCTION]","","GSCRM Actuals and Future Production","","000"))</f>
        <v>GSCRM Actuals and Future Production</v>
      </c>
      <c r="K22" s="58">
        <v>180</v>
      </c>
      <c r="L22" s="58">
        <v>0</v>
      </c>
      <c r="M22" s="58">
        <v>0</v>
      </c>
      <c r="N22" s="58">
        <v>0</v>
      </c>
      <c r="O22" s="58">
        <v>0</v>
      </c>
      <c r="P22" s="58">
        <v>0</v>
      </c>
      <c r="Q22" s="58">
        <v>0</v>
      </c>
      <c r="R22" s="58">
        <v>0</v>
      </c>
      <c r="S22" s="58"/>
      <c r="T22" s="58"/>
      <c r="U22" s="58"/>
      <c r="V22" s="58">
        <v>270</v>
      </c>
      <c r="W22" s="58"/>
      <c r="X22" s="58"/>
      <c r="Y22" s="58">
        <v>0</v>
      </c>
      <c r="Z22" s="58"/>
      <c r="AA22" s="58"/>
      <c r="AB22" s="58"/>
      <c r="AC22" s="58"/>
      <c r="AD22" s="58">
        <v>540</v>
      </c>
      <c r="AE22" s="58"/>
      <c r="AF22" s="58">
        <v>0</v>
      </c>
      <c r="AG22" s="58"/>
      <c r="AH22" s="58"/>
      <c r="AI22" s="58">
        <v>180</v>
      </c>
      <c r="AJ22" s="58"/>
      <c r="AK22" s="58">
        <v>180</v>
      </c>
      <c r="AL22" s="58"/>
      <c r="AM22" s="58"/>
      <c r="AN22" s="58"/>
      <c r="AO22" s="58">
        <v>0</v>
      </c>
      <c r="AP22" s="58">
        <v>180</v>
      </c>
      <c r="AQ22" s="58"/>
      <c r="AR22" s="58"/>
      <c r="AS22" s="58">
        <v>0</v>
      </c>
      <c r="AT22" s="58"/>
      <c r="AU22" s="58">
        <v>0</v>
      </c>
      <c r="AV22" s="58"/>
      <c r="AW22" s="58"/>
      <c r="AX22" s="58"/>
      <c r="AY22" s="58">
        <v>180</v>
      </c>
      <c r="AZ22" s="58"/>
      <c r="BA22" s="58">
        <v>0</v>
      </c>
      <c r="BB22" s="58"/>
      <c r="BC22" s="58"/>
      <c r="BD22" s="58"/>
      <c r="BE22" s="58"/>
      <c r="BF22" s="58"/>
      <c r="BG22" s="58"/>
      <c r="BH22" s="58">
        <v>0</v>
      </c>
      <c r="BI22" s="58"/>
      <c r="BJ22" s="58"/>
      <c r="BK22" s="58">
        <v>540</v>
      </c>
      <c r="BL22" s="58"/>
      <c r="BM22" s="58"/>
      <c r="BN22" s="58">
        <v>0</v>
      </c>
      <c r="BO22" s="58"/>
      <c r="BP22" s="58"/>
      <c r="BQ22" s="58"/>
      <c r="BR22" s="58">
        <v>180</v>
      </c>
      <c r="BS22" s="58"/>
      <c r="BT22" s="58">
        <v>360</v>
      </c>
      <c r="BU22" s="58"/>
      <c r="BV22" s="58">
        <v>0</v>
      </c>
      <c r="BW22" s="58">
        <v>0</v>
      </c>
      <c r="BX22" s="58">
        <v>180</v>
      </c>
      <c r="BY22" s="58"/>
      <c r="BZ22" s="58"/>
      <c r="CA22" s="58">
        <v>0</v>
      </c>
      <c r="CB22" s="58"/>
      <c r="CC22" s="58"/>
      <c r="CD22" s="58"/>
      <c r="CE22" s="58">
        <v>0</v>
      </c>
      <c r="CF22" s="58"/>
      <c r="CG22" s="58"/>
      <c r="CH22" s="58">
        <v>180</v>
      </c>
      <c r="CI22" s="58">
        <v>0</v>
      </c>
      <c r="CJ22" s="58"/>
      <c r="CK22" s="58"/>
      <c r="CL22" s="58"/>
      <c r="CM22" s="58"/>
      <c r="CN22" s="58"/>
      <c r="CO22" s="58">
        <v>0</v>
      </c>
      <c r="CP22" s="58"/>
      <c r="CQ22" s="58">
        <v>360</v>
      </c>
      <c r="CR22" s="58">
        <v>90</v>
      </c>
      <c r="CS22" s="58">
        <v>0</v>
      </c>
      <c r="CT22" s="58"/>
      <c r="CU22" s="58"/>
      <c r="CV22" s="58"/>
      <c r="CW22" s="58">
        <v>270</v>
      </c>
      <c r="CX22" s="58"/>
      <c r="CY22" s="58">
        <v>0</v>
      </c>
      <c r="CZ22" s="58"/>
      <c r="DA22" s="58">
        <v>180</v>
      </c>
      <c r="DB22" s="58"/>
      <c r="DC22" s="58"/>
      <c r="DD22" s="58"/>
      <c r="DE22" s="58"/>
      <c r="DF22" s="58"/>
      <c r="DG22" s="58"/>
      <c r="DH22" s="58">
        <v>0</v>
      </c>
      <c r="DI22" s="58">
        <v>0</v>
      </c>
      <c r="DJ22" s="58">
        <v>180</v>
      </c>
      <c r="DK22" s="107"/>
      <c r="DL22" s="107"/>
      <c r="DM22" s="107"/>
      <c r="DN22" s="107"/>
      <c r="DO22" s="107"/>
      <c r="DP22" s="107"/>
      <c r="DQ22" s="107"/>
      <c r="DR22" s="107"/>
      <c r="DS22" s="107"/>
      <c r="DT22" s="107"/>
      <c r="DU22" s="107"/>
      <c r="DV22" s="107"/>
      <c r="DW22" s="107"/>
      <c r="DX22" s="107"/>
      <c r="DY22" s="107"/>
      <c r="DZ22" s="107"/>
      <c r="EA22" s="107"/>
      <c r="EB22" s="107"/>
      <c r="EC22" s="107"/>
      <c r="ED22" s="107"/>
      <c r="EE22" s="107"/>
      <c r="EF22" s="107"/>
      <c r="EG22" s="107"/>
      <c r="EH22" s="107"/>
      <c r="EI22" s="107"/>
      <c r="EJ22" s="107"/>
      <c r="EK22" s="107"/>
      <c r="EL22" s="107"/>
      <c r="EM22" s="107"/>
      <c r="EN22" s="107"/>
      <c r="EO22" s="107"/>
      <c r="EP22" s="107"/>
      <c r="EQ22" s="107"/>
      <c r="ER22" s="107"/>
      <c r="ES22" s="107"/>
      <c r="ET22" s="107"/>
      <c r="EU22" s="107"/>
      <c r="EV22" s="107"/>
      <c r="EW22" s="107"/>
      <c r="EX22" s="107"/>
      <c r="EY22" s="107"/>
      <c r="EZ22" s="107"/>
      <c r="FA22" s="107"/>
      <c r="FB22" s="107"/>
      <c r="FC22" s="107"/>
      <c r="FD22" s="107"/>
      <c r="FE22" s="107"/>
      <c r="FF22" s="107"/>
      <c r="FG22" s="107"/>
      <c r="FH22" s="107"/>
      <c r="FI22" s="107"/>
      <c r="FJ22" s="107"/>
      <c r="FK22" s="107"/>
      <c r="FL22" s="107"/>
      <c r="FM22" s="107"/>
      <c r="FN22" s="107"/>
      <c r="FO22" s="107"/>
      <c r="FP22" s="107"/>
      <c r="FQ22" s="107"/>
      <c r="FR22" s="107"/>
      <c r="FS22" s="107"/>
      <c r="FT22" s="107"/>
    </row>
    <row r="23" spans="1:176" x14ac:dyDescent="0.25">
      <c r="A23" s="107"/>
      <c r="B23" s="107"/>
      <c r="C23" s="107"/>
      <c r="D23" s="107"/>
      <c r="E23" s="107"/>
      <c r="F23" s="107"/>
      <c r="G23" s="147" t="str">
        <f>IF(_ibpOfflineCondition_,"000000000000564303-1", _xll.EPMOlapMemberO("[PRDID].[].[000000000000564303-1]","","000000000000564303-1","","000"))</f>
        <v>000000000000564303-1</v>
      </c>
      <c r="H23" s="147" t="str">
        <f>IF(_ibpOfflineCondition_,"FGR+ AIRBAND PLUS 5/340+40 ROT MIT", _xll.EPMOlapMemberO("[PRDDESCR].[].[FGR+ AIRBAND PLUS 5/340+40 ROT MIT]","","FGR+ AIRBAND PLUS 5/340+40 ROT MIT","","000"))</f>
        <v>FGR+ AIRBAND PLUS 5/340+40 ROT MIT</v>
      </c>
      <c r="I23" s="147" t="str">
        <f>IF(_ibpOfflineCondition_,"X7", _xll.EPMOlapMemberO("[MRPTYPE].[].[X7]","","X7","","000"))</f>
        <v>X7</v>
      </c>
      <c r="J23" s="147" t="str">
        <f>IF(_ibpOfflineCondition_,"GSCRM Projected Stock (Unconstrained Demand)", _xll.EPMOlapMemberO("[KEY_FIGURES].[].[ZGSCRMUNCONSINVENTORY]","","GSCRM Projected Stock (Unconstrained Demand)","","000"))</f>
        <v>GSCRM Projected Stock (Unconstrained Demand)</v>
      </c>
      <c r="K23" s="58">
        <v>180</v>
      </c>
      <c r="L23" s="58">
        <v>180</v>
      </c>
      <c r="M23" s="58">
        <v>180</v>
      </c>
      <c r="N23" s="58">
        <v>180</v>
      </c>
      <c r="O23" s="58"/>
      <c r="P23" s="58"/>
      <c r="Q23" s="58"/>
      <c r="R23" s="58"/>
      <c r="S23" s="58"/>
      <c r="T23" s="58"/>
      <c r="U23" s="58"/>
      <c r="V23" s="58">
        <v>270</v>
      </c>
      <c r="W23" s="58">
        <v>270</v>
      </c>
      <c r="X23" s="58">
        <v>270</v>
      </c>
      <c r="Y23" s="58"/>
      <c r="Z23" s="58"/>
      <c r="AA23" s="58"/>
      <c r="AB23" s="58"/>
      <c r="AC23" s="58">
        <v>270</v>
      </c>
      <c r="AD23" s="58">
        <v>540</v>
      </c>
      <c r="AE23" s="58">
        <v>540</v>
      </c>
      <c r="AF23" s="58">
        <v>180</v>
      </c>
      <c r="AG23" s="58">
        <v>180</v>
      </c>
      <c r="AH23" s="58">
        <v>180</v>
      </c>
      <c r="AI23" s="58">
        <v>270</v>
      </c>
      <c r="AJ23" s="58">
        <v>270</v>
      </c>
      <c r="AK23" s="58">
        <v>450</v>
      </c>
      <c r="AL23" s="58">
        <v>450</v>
      </c>
      <c r="AM23" s="58">
        <v>450</v>
      </c>
      <c r="AN23" s="58">
        <v>450</v>
      </c>
      <c r="AO23" s="58">
        <v>180</v>
      </c>
      <c r="AP23" s="58">
        <v>360</v>
      </c>
      <c r="AQ23" s="58">
        <v>360</v>
      </c>
      <c r="AR23" s="58">
        <v>360</v>
      </c>
      <c r="AS23" s="58">
        <v>180</v>
      </c>
      <c r="AT23" s="58">
        <v>180</v>
      </c>
      <c r="AU23" s="58">
        <v>90</v>
      </c>
      <c r="AV23" s="58">
        <v>90</v>
      </c>
      <c r="AW23" s="58">
        <v>90</v>
      </c>
      <c r="AX23" s="58">
        <v>90</v>
      </c>
      <c r="AY23" s="58">
        <v>270</v>
      </c>
      <c r="AZ23" s="58">
        <v>270</v>
      </c>
      <c r="BA23" s="58">
        <v>180</v>
      </c>
      <c r="BB23" s="58">
        <v>180</v>
      </c>
      <c r="BC23" s="58">
        <v>180</v>
      </c>
      <c r="BD23" s="58">
        <v>180</v>
      </c>
      <c r="BE23" s="58">
        <v>180</v>
      </c>
      <c r="BF23" s="58">
        <v>180</v>
      </c>
      <c r="BG23" s="58">
        <v>180</v>
      </c>
      <c r="BH23" s="58"/>
      <c r="BI23" s="58"/>
      <c r="BJ23" s="58"/>
      <c r="BK23" s="58">
        <v>540</v>
      </c>
      <c r="BL23" s="58">
        <v>540</v>
      </c>
      <c r="BM23" s="58">
        <v>540</v>
      </c>
      <c r="BN23" s="58">
        <v>180</v>
      </c>
      <c r="BO23" s="58">
        <v>180</v>
      </c>
      <c r="BP23" s="58">
        <v>180</v>
      </c>
      <c r="BQ23" s="58">
        <v>90</v>
      </c>
      <c r="BR23" s="58">
        <v>270</v>
      </c>
      <c r="BS23" s="58">
        <v>270</v>
      </c>
      <c r="BT23" s="58">
        <v>630</v>
      </c>
      <c r="BU23" s="58">
        <v>630</v>
      </c>
      <c r="BV23" s="58">
        <v>540</v>
      </c>
      <c r="BW23" s="58">
        <v>630</v>
      </c>
      <c r="BX23" s="58">
        <v>630</v>
      </c>
      <c r="BY23" s="58">
        <v>630</v>
      </c>
      <c r="BZ23" s="58">
        <v>630</v>
      </c>
      <c r="CA23" s="58">
        <v>360</v>
      </c>
      <c r="CB23" s="58">
        <v>360</v>
      </c>
      <c r="CC23" s="58">
        <v>360</v>
      </c>
      <c r="CD23" s="58">
        <v>360</v>
      </c>
      <c r="CE23" s="58"/>
      <c r="CF23" s="58"/>
      <c r="CG23" s="58">
        <v>180</v>
      </c>
      <c r="CH23" s="58">
        <v>180</v>
      </c>
      <c r="CI23" s="58">
        <v>90</v>
      </c>
      <c r="CJ23" s="58">
        <v>90</v>
      </c>
      <c r="CK23" s="58">
        <v>90</v>
      </c>
      <c r="CL23" s="58">
        <v>90</v>
      </c>
      <c r="CM23" s="58">
        <v>90</v>
      </c>
      <c r="CN23" s="58">
        <v>90</v>
      </c>
      <c r="CO23" s="58"/>
      <c r="CP23" s="58">
        <v>360</v>
      </c>
      <c r="CQ23" s="58">
        <v>360</v>
      </c>
      <c r="CR23" s="58">
        <v>90</v>
      </c>
      <c r="CS23" s="58">
        <v>90</v>
      </c>
      <c r="CT23" s="58">
        <v>90</v>
      </c>
      <c r="CU23" s="58">
        <v>90</v>
      </c>
      <c r="CV23" s="58">
        <v>90</v>
      </c>
      <c r="CW23" s="58">
        <v>270</v>
      </c>
      <c r="CX23" s="58">
        <v>270</v>
      </c>
      <c r="CY23" s="58"/>
      <c r="CZ23" s="58"/>
      <c r="DA23" s="58">
        <v>180</v>
      </c>
      <c r="DB23" s="58">
        <v>180</v>
      </c>
      <c r="DC23" s="58">
        <v>180</v>
      </c>
      <c r="DD23" s="58">
        <v>180</v>
      </c>
      <c r="DE23" s="58">
        <v>180</v>
      </c>
      <c r="DF23" s="58">
        <v>180</v>
      </c>
      <c r="DG23" s="58">
        <v>180</v>
      </c>
      <c r="DH23" s="58">
        <v>90</v>
      </c>
      <c r="DI23" s="58"/>
      <c r="DJ23" s="58">
        <v>180</v>
      </c>
      <c r="DK23" s="107"/>
      <c r="DL23" s="107"/>
      <c r="DM23" s="107"/>
      <c r="DN23" s="107"/>
      <c r="DO23" s="107"/>
      <c r="DP23" s="107"/>
      <c r="DQ23" s="107"/>
      <c r="DR23" s="107"/>
      <c r="DS23" s="107"/>
      <c r="DT23" s="107"/>
      <c r="DU23" s="107"/>
      <c r="DV23" s="107"/>
      <c r="DW23" s="107"/>
      <c r="DX23" s="107"/>
      <c r="DY23" s="107"/>
      <c r="DZ23" s="107"/>
      <c r="EA23" s="107"/>
      <c r="EB23" s="107"/>
      <c r="EC23" s="107"/>
      <c r="ED23" s="107"/>
      <c r="EE23" s="107"/>
      <c r="EF23" s="107"/>
      <c r="EG23" s="107"/>
      <c r="EH23" s="107"/>
      <c r="EI23" s="107"/>
      <c r="EJ23" s="107"/>
      <c r="EK23" s="107"/>
      <c r="EL23" s="107"/>
      <c r="EM23" s="107"/>
      <c r="EN23" s="107"/>
      <c r="EO23" s="107"/>
      <c r="EP23" s="107"/>
      <c r="EQ23" s="107"/>
      <c r="ER23" s="107"/>
      <c r="ES23" s="107"/>
      <c r="ET23" s="107"/>
      <c r="EU23" s="107"/>
      <c r="EV23" s="107"/>
      <c r="EW23" s="107"/>
      <c r="EX23" s="107"/>
      <c r="EY23" s="107"/>
      <c r="EZ23" s="107"/>
      <c r="FA23" s="107"/>
      <c r="FB23" s="107"/>
      <c r="FC23" s="107"/>
      <c r="FD23" s="107"/>
      <c r="FE23" s="107"/>
      <c r="FF23" s="107"/>
      <c r="FG23" s="107"/>
      <c r="FH23" s="107"/>
      <c r="FI23" s="107"/>
      <c r="FJ23" s="107"/>
      <c r="FK23" s="107"/>
      <c r="FL23" s="107"/>
      <c r="FM23" s="107"/>
      <c r="FN23" s="107"/>
      <c r="FO23" s="107"/>
      <c r="FP23" s="107"/>
      <c r="FQ23" s="107"/>
      <c r="FR23" s="107"/>
      <c r="FS23" s="107"/>
      <c r="FT23" s="107"/>
    </row>
    <row r="24" spans="1:176" x14ac:dyDescent="0.25">
      <c r="A24" s="107"/>
      <c r="B24" s="107"/>
      <c r="C24" s="107"/>
      <c r="D24" s="107"/>
      <c r="E24" s="107"/>
      <c r="F24" s="107"/>
      <c r="G24" s="147" t="str">
        <f>IF(_ibpOfflineCondition_,"000000000000564351-1", _xll.EPMOlapMemberO("[PRDID].[].[000000000000564351-1]","","000000000000564351-1","","000"))</f>
        <v>000000000000564351-1</v>
      </c>
      <c r="H24" s="147" t="str">
        <f>IF(_ibpOfflineCondition_,"FGR+ AIRBAND PLUS 5/280+40 BRAUN MIT", _xll.EPMOlapMemberO("[PRDDESCR].[].[FGR+ AIRBAND PLUS 5/280+40 BRAUN MIT]","","FGR+ AIRBAND PLUS 5/280+40 BRAUN MIT","","000"))</f>
        <v>FGR+ AIRBAND PLUS 5/280+40 BRAUN MIT</v>
      </c>
      <c r="I24" s="147" t="str">
        <f>IF(_ibpOfflineCondition_,"X7", _xll.EPMOlapMemberO("[MRPTYPE].[].[X7]","","X7","","000"))</f>
        <v>X7</v>
      </c>
      <c r="J24" s="147" t="str">
        <f>IF(_ibpOfflineCondition_,"GSCRM Actual Sales and Unconstrained Demand", _xll.EPMOlapMemberO("[KEY_FIGURES].[].[ZGSCRMACTUALUNCONSDEMAND]","","GSCRM Actual Sales and Unconstrained Demand","","000"))</f>
        <v>GSCRM Actual Sales and Unconstrained Demand</v>
      </c>
      <c r="K24" s="58"/>
      <c r="L24" s="58"/>
      <c r="M24" s="58">
        <v>90</v>
      </c>
      <c r="N24" s="58"/>
      <c r="O24" s="58"/>
      <c r="P24" s="58"/>
      <c r="Q24" s="58"/>
      <c r="R24" s="58"/>
      <c r="S24" s="58"/>
      <c r="T24" s="58"/>
      <c r="U24" s="58"/>
      <c r="V24" s="58"/>
      <c r="W24" s="58"/>
      <c r="X24" s="58"/>
      <c r="Y24" s="58"/>
      <c r="Z24" s="58"/>
      <c r="AA24" s="58">
        <v>90</v>
      </c>
      <c r="AB24" s="58"/>
      <c r="AC24" s="58"/>
      <c r="AD24" s="58"/>
      <c r="AE24" s="58">
        <v>90</v>
      </c>
      <c r="AF24" s="58"/>
      <c r="AG24" s="58"/>
      <c r="AH24" s="58"/>
      <c r="AI24" s="58"/>
      <c r="AJ24" s="58"/>
      <c r="AK24" s="58"/>
      <c r="AL24" s="58"/>
      <c r="AM24" s="58"/>
      <c r="AN24" s="58"/>
      <c r="AO24" s="58">
        <v>90</v>
      </c>
      <c r="AP24" s="58"/>
      <c r="AQ24" s="58"/>
      <c r="AR24" s="58"/>
      <c r="AS24" s="58"/>
      <c r="AT24" s="58"/>
      <c r="AU24" s="58"/>
      <c r="AV24" s="58"/>
      <c r="AW24" s="58"/>
      <c r="AX24" s="58"/>
      <c r="AY24" s="58"/>
      <c r="AZ24" s="58"/>
      <c r="BA24" s="58"/>
      <c r="BB24" s="58"/>
      <c r="BC24" s="58"/>
      <c r="BD24" s="58"/>
      <c r="BE24" s="58"/>
      <c r="BF24" s="58"/>
      <c r="BG24" s="58"/>
      <c r="BH24" s="58"/>
      <c r="BI24" s="58">
        <v>90</v>
      </c>
      <c r="BJ24" s="58"/>
      <c r="BK24" s="58"/>
      <c r="BL24" s="58"/>
      <c r="BM24" s="58"/>
      <c r="BN24" s="58"/>
      <c r="BO24" s="58"/>
      <c r="BP24" s="58"/>
      <c r="BQ24" s="58"/>
      <c r="BR24" s="58">
        <v>90</v>
      </c>
      <c r="BS24" s="58"/>
      <c r="BT24" s="58"/>
      <c r="BU24" s="58"/>
      <c r="BV24" s="58">
        <v>90</v>
      </c>
      <c r="BW24" s="58"/>
      <c r="BX24" s="58"/>
      <c r="BY24" s="58"/>
      <c r="BZ24" s="58"/>
      <c r="CA24" s="58"/>
      <c r="CB24" s="58"/>
      <c r="CC24" s="58"/>
      <c r="CD24" s="58"/>
      <c r="CE24" s="58"/>
      <c r="CF24" s="58"/>
      <c r="CG24" s="58"/>
      <c r="CH24" s="58"/>
      <c r="CI24" s="58"/>
      <c r="CJ24" s="58"/>
      <c r="CK24" s="58"/>
      <c r="CL24" s="58"/>
      <c r="CM24" s="58"/>
      <c r="CN24" s="58"/>
      <c r="CO24" s="58">
        <v>90</v>
      </c>
      <c r="CP24" s="58"/>
      <c r="CQ24" s="58"/>
      <c r="CR24" s="58"/>
      <c r="CS24" s="58"/>
      <c r="CT24" s="58"/>
      <c r="CU24" s="58"/>
      <c r="CV24" s="58"/>
      <c r="CW24" s="58"/>
      <c r="CX24" s="58"/>
      <c r="CY24" s="58"/>
      <c r="CZ24" s="58"/>
      <c r="DA24" s="58">
        <v>90</v>
      </c>
      <c r="DB24" s="58"/>
      <c r="DC24" s="58"/>
      <c r="DD24" s="58"/>
      <c r="DE24" s="58"/>
      <c r="DF24" s="58"/>
      <c r="DG24" s="58"/>
      <c r="DH24" s="58"/>
      <c r="DI24" s="58">
        <v>90</v>
      </c>
      <c r="DJ24" s="58"/>
      <c r="DK24" s="107"/>
      <c r="DL24" s="107"/>
      <c r="DM24" s="107"/>
      <c r="DN24" s="107"/>
      <c r="DO24" s="107"/>
      <c r="DP24" s="107"/>
      <c r="DQ24" s="107"/>
      <c r="DR24" s="107"/>
      <c r="DS24" s="107"/>
      <c r="DT24" s="107"/>
      <c r="DU24" s="107"/>
      <c r="DV24" s="107"/>
      <c r="DW24" s="107"/>
      <c r="DX24" s="107"/>
      <c r="DY24" s="107"/>
      <c r="DZ24" s="107"/>
      <c r="EA24" s="107"/>
      <c r="EB24" s="107"/>
      <c r="EC24" s="107"/>
      <c r="ED24" s="107"/>
      <c r="EE24" s="107"/>
      <c r="EF24" s="107"/>
      <c r="EG24" s="107"/>
      <c r="EH24" s="107"/>
      <c r="EI24" s="107"/>
      <c r="EJ24" s="107"/>
      <c r="EK24" s="107"/>
      <c r="EL24" s="107"/>
      <c r="EM24" s="107"/>
      <c r="EN24" s="107"/>
      <c r="EO24" s="107"/>
      <c r="EP24" s="107"/>
      <c r="EQ24" s="107"/>
      <c r="ER24" s="107"/>
      <c r="ES24" s="107"/>
      <c r="ET24" s="107"/>
      <c r="EU24" s="107"/>
      <c r="EV24" s="107"/>
      <c r="EW24" s="107"/>
      <c r="EX24" s="107"/>
      <c r="EY24" s="107"/>
      <c r="EZ24" s="107"/>
      <c r="FA24" s="107"/>
      <c r="FB24" s="107"/>
      <c r="FC24" s="107"/>
      <c r="FD24" s="107"/>
      <c r="FE24" s="107"/>
      <c r="FF24" s="107"/>
      <c r="FG24" s="107"/>
      <c r="FH24" s="107"/>
      <c r="FI24" s="107"/>
      <c r="FJ24" s="107"/>
      <c r="FK24" s="107"/>
      <c r="FL24" s="107"/>
      <c r="FM24" s="107"/>
      <c r="FN24" s="107"/>
      <c r="FO24" s="107"/>
      <c r="FP24" s="107"/>
      <c r="FQ24" s="107"/>
      <c r="FR24" s="107"/>
      <c r="FS24" s="107"/>
      <c r="FT24" s="107"/>
    </row>
    <row r="25" spans="1:176" x14ac:dyDescent="0.25">
      <c r="A25" s="107"/>
      <c r="B25" s="107"/>
      <c r="C25" s="107"/>
      <c r="D25" s="107"/>
      <c r="E25" s="107"/>
      <c r="F25" s="107"/>
      <c r="G25" s="147" t="str">
        <f>IF(_ibpOfflineCondition_,"000000000000564351-1", _xll.EPMOlapMemberO("[PRDID].[].[000000000000564351-1]","","000000000000564351-1","","000"))</f>
        <v>000000000000564351-1</v>
      </c>
      <c r="H25" s="147" t="str">
        <f>IF(_ibpOfflineCondition_,"FGR+ AIRBAND PLUS 5/280+40 BRAUN MIT", _xll.EPMOlapMemberO("[PRDDESCR].[].[FGR+ AIRBAND PLUS 5/280+40 BRAUN MIT]","","FGR+ AIRBAND PLUS 5/280+40 BRAUN MIT","","000"))</f>
        <v>FGR+ AIRBAND PLUS 5/280+40 BRAUN MIT</v>
      </c>
      <c r="I25" s="147" t="str">
        <f>IF(_ibpOfflineCondition_,"X7", _xll.EPMOlapMemberO("[MRPTYPE].[].[X7]","","X7","","000"))</f>
        <v>X7</v>
      </c>
      <c r="J25" s="147" t="str">
        <f>IF(_ibpOfflineCondition_,"GSCRM Actuals and Future Production", _xll.EPMOlapMemberO("[KEY_FIGURES].[].[ZGSCRMACTUALSPRODUCTION]","","GSCRM Actuals and Future Production","","000"))</f>
        <v>GSCRM Actuals and Future Production</v>
      </c>
      <c r="K25" s="58">
        <v>0</v>
      </c>
      <c r="L25" s="58">
        <v>0</v>
      </c>
      <c r="M25" s="58">
        <v>0</v>
      </c>
      <c r="N25" s="58">
        <v>0</v>
      </c>
      <c r="O25" s="58"/>
      <c r="P25" s="58"/>
      <c r="Q25" s="58"/>
      <c r="R25" s="58"/>
      <c r="S25" s="58"/>
      <c r="T25" s="58"/>
      <c r="U25" s="58"/>
      <c r="V25" s="58"/>
      <c r="W25" s="58"/>
      <c r="X25" s="58">
        <v>180</v>
      </c>
      <c r="Y25" s="58"/>
      <c r="Z25" s="58"/>
      <c r="AA25" s="58">
        <v>0</v>
      </c>
      <c r="AB25" s="58"/>
      <c r="AC25" s="58"/>
      <c r="AD25" s="58"/>
      <c r="AE25" s="58">
        <v>0</v>
      </c>
      <c r="AF25" s="58"/>
      <c r="AG25" s="58"/>
      <c r="AH25" s="58">
        <v>90</v>
      </c>
      <c r="AI25" s="58"/>
      <c r="AJ25" s="58"/>
      <c r="AK25" s="58"/>
      <c r="AL25" s="58"/>
      <c r="AM25" s="58"/>
      <c r="AN25" s="58"/>
      <c r="AO25" s="58">
        <v>0</v>
      </c>
      <c r="AP25" s="58"/>
      <c r="AQ25" s="58"/>
      <c r="AR25" s="58"/>
      <c r="AS25" s="58"/>
      <c r="AT25" s="58"/>
      <c r="AU25" s="58"/>
      <c r="AV25" s="58"/>
      <c r="AW25" s="58"/>
      <c r="AX25" s="58"/>
      <c r="AY25" s="58"/>
      <c r="AZ25" s="58">
        <v>90</v>
      </c>
      <c r="BA25" s="58"/>
      <c r="BB25" s="58"/>
      <c r="BC25" s="58"/>
      <c r="BD25" s="58"/>
      <c r="BE25" s="58"/>
      <c r="BF25" s="58"/>
      <c r="BG25" s="58"/>
      <c r="BH25" s="58"/>
      <c r="BI25" s="58">
        <v>0</v>
      </c>
      <c r="BJ25" s="58"/>
      <c r="BK25" s="58"/>
      <c r="BL25" s="58"/>
      <c r="BM25" s="58"/>
      <c r="BN25" s="58"/>
      <c r="BO25" s="58"/>
      <c r="BP25" s="58"/>
      <c r="BQ25" s="58">
        <v>180</v>
      </c>
      <c r="BR25" s="58">
        <v>0</v>
      </c>
      <c r="BS25" s="58"/>
      <c r="BT25" s="58"/>
      <c r="BU25" s="58"/>
      <c r="BV25" s="58">
        <v>0</v>
      </c>
      <c r="BW25" s="58"/>
      <c r="BX25" s="58">
        <v>180</v>
      </c>
      <c r="BY25" s="58"/>
      <c r="BZ25" s="58"/>
      <c r="CA25" s="58"/>
      <c r="CB25" s="58"/>
      <c r="CC25" s="58"/>
      <c r="CD25" s="58"/>
      <c r="CE25" s="58"/>
      <c r="CF25" s="58"/>
      <c r="CG25" s="58"/>
      <c r="CH25" s="58"/>
      <c r="CI25" s="58"/>
      <c r="CJ25" s="58"/>
      <c r="CK25" s="58"/>
      <c r="CL25" s="58"/>
      <c r="CM25" s="58"/>
      <c r="CN25" s="58"/>
      <c r="CO25" s="58">
        <v>0</v>
      </c>
      <c r="CP25" s="58"/>
      <c r="CQ25" s="58"/>
      <c r="CR25" s="58"/>
      <c r="CS25" s="58"/>
      <c r="CT25" s="58"/>
      <c r="CU25" s="58"/>
      <c r="CV25" s="58"/>
      <c r="CW25" s="58"/>
      <c r="CX25" s="58"/>
      <c r="CY25" s="58"/>
      <c r="CZ25" s="58"/>
      <c r="DA25" s="58">
        <v>0</v>
      </c>
      <c r="DB25" s="58">
        <v>90</v>
      </c>
      <c r="DC25" s="58"/>
      <c r="DD25" s="58"/>
      <c r="DE25" s="58"/>
      <c r="DF25" s="58"/>
      <c r="DG25" s="58"/>
      <c r="DH25" s="58"/>
      <c r="DI25" s="58">
        <v>0</v>
      </c>
      <c r="DJ25" s="58"/>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c r="EH25" s="107"/>
      <c r="EI25" s="107"/>
      <c r="EJ25" s="107"/>
      <c r="EK25" s="107"/>
      <c r="EL25" s="107"/>
      <c r="EM25" s="107"/>
      <c r="EN25" s="107"/>
      <c r="EO25" s="107"/>
      <c r="EP25" s="107"/>
      <c r="EQ25" s="107"/>
      <c r="ER25" s="107"/>
      <c r="ES25" s="107"/>
      <c r="ET25" s="107"/>
      <c r="EU25" s="107"/>
      <c r="EV25" s="107"/>
      <c r="EW25" s="107"/>
      <c r="EX25" s="107"/>
      <c r="EY25" s="107"/>
      <c r="EZ25" s="107"/>
      <c r="FA25" s="107"/>
      <c r="FB25" s="107"/>
      <c r="FC25" s="107"/>
      <c r="FD25" s="107"/>
      <c r="FE25" s="107"/>
      <c r="FF25" s="107"/>
      <c r="FG25" s="107"/>
      <c r="FH25" s="107"/>
      <c r="FI25" s="107"/>
      <c r="FJ25" s="107"/>
      <c r="FK25" s="107"/>
      <c r="FL25" s="107"/>
      <c r="FM25" s="107"/>
      <c r="FN25" s="107"/>
      <c r="FO25" s="107"/>
      <c r="FP25" s="107"/>
      <c r="FQ25" s="107"/>
      <c r="FR25" s="107"/>
      <c r="FS25" s="107"/>
      <c r="FT25" s="107"/>
    </row>
    <row r="26" spans="1:176" x14ac:dyDescent="0.25">
      <c r="A26" s="107"/>
      <c r="B26" s="107"/>
      <c r="C26" s="107"/>
      <c r="D26" s="107"/>
      <c r="E26" s="107"/>
      <c r="F26" s="107"/>
      <c r="G26" s="147" t="str">
        <f>IF(_ibpOfflineCondition_,"000000000000564351-1", _xll.EPMOlapMemberO("[PRDID].[].[000000000000564351-1]","","000000000000564351-1","","000"))</f>
        <v>000000000000564351-1</v>
      </c>
      <c r="H26" s="147" t="str">
        <f>IF(_ibpOfflineCondition_,"FGR+ AIRBAND PLUS 5/280+40 BRAUN MIT", _xll.EPMOlapMemberO("[PRDDESCR].[].[FGR+ AIRBAND PLUS 5/280+40 BRAUN MIT]","","FGR+ AIRBAND PLUS 5/280+40 BRAUN MIT","","000"))</f>
        <v>FGR+ AIRBAND PLUS 5/280+40 BRAUN MIT</v>
      </c>
      <c r="I26" s="147" t="str">
        <f>IF(_ibpOfflineCondition_,"X7", _xll.EPMOlapMemberO("[MRPTYPE].[].[X7]","","X7","","000"))</f>
        <v>X7</v>
      </c>
      <c r="J26" s="147" t="str">
        <f>IF(_ibpOfflineCondition_,"GSCRM Projected Stock (Unconstrained Demand)", _xll.EPMOlapMemberO("[KEY_FIGURES].[].[ZGSCRMUNCONSINVENTORY]","","GSCRM Projected Stock (Unconstrained Demand)","","000"))</f>
        <v>GSCRM Projected Stock (Unconstrained Demand)</v>
      </c>
      <c r="K26" s="58">
        <v>90</v>
      </c>
      <c r="L26" s="58">
        <v>90</v>
      </c>
      <c r="M26" s="58"/>
      <c r="N26" s="58"/>
      <c r="O26" s="58"/>
      <c r="P26" s="58"/>
      <c r="Q26" s="58"/>
      <c r="R26" s="58"/>
      <c r="S26" s="58"/>
      <c r="T26" s="58"/>
      <c r="U26" s="58"/>
      <c r="V26" s="58"/>
      <c r="W26" s="58"/>
      <c r="X26" s="58">
        <v>180</v>
      </c>
      <c r="Y26" s="58">
        <v>180</v>
      </c>
      <c r="Z26" s="58">
        <v>180</v>
      </c>
      <c r="AA26" s="58">
        <v>90</v>
      </c>
      <c r="AB26" s="58">
        <v>90</v>
      </c>
      <c r="AC26" s="58">
        <v>90</v>
      </c>
      <c r="AD26" s="58">
        <v>90</v>
      </c>
      <c r="AE26" s="58"/>
      <c r="AF26" s="58"/>
      <c r="AG26" s="58"/>
      <c r="AH26" s="58">
        <v>90</v>
      </c>
      <c r="AI26" s="58">
        <v>90</v>
      </c>
      <c r="AJ26" s="58">
        <v>90</v>
      </c>
      <c r="AK26" s="58">
        <v>90</v>
      </c>
      <c r="AL26" s="58">
        <v>90</v>
      </c>
      <c r="AM26" s="58">
        <v>90</v>
      </c>
      <c r="AN26" s="58">
        <v>90</v>
      </c>
      <c r="AO26" s="58"/>
      <c r="AP26" s="58"/>
      <c r="AQ26" s="58"/>
      <c r="AR26" s="58"/>
      <c r="AS26" s="58"/>
      <c r="AT26" s="58"/>
      <c r="AU26" s="58"/>
      <c r="AV26" s="58"/>
      <c r="AW26" s="58"/>
      <c r="AX26" s="58"/>
      <c r="AY26" s="58"/>
      <c r="AZ26" s="58">
        <v>90</v>
      </c>
      <c r="BA26" s="58">
        <v>90</v>
      </c>
      <c r="BB26" s="58">
        <v>90</v>
      </c>
      <c r="BC26" s="58">
        <v>90</v>
      </c>
      <c r="BD26" s="58">
        <v>90</v>
      </c>
      <c r="BE26" s="58">
        <v>90</v>
      </c>
      <c r="BF26" s="58">
        <v>90</v>
      </c>
      <c r="BG26" s="58">
        <v>90</v>
      </c>
      <c r="BH26" s="58">
        <v>90</v>
      </c>
      <c r="BI26" s="58"/>
      <c r="BJ26" s="58"/>
      <c r="BK26" s="58"/>
      <c r="BL26" s="58"/>
      <c r="BM26" s="58"/>
      <c r="BN26" s="58"/>
      <c r="BO26" s="58"/>
      <c r="BP26" s="58"/>
      <c r="BQ26" s="58">
        <v>90</v>
      </c>
      <c r="BR26" s="58">
        <v>90</v>
      </c>
      <c r="BS26" s="58">
        <v>90</v>
      </c>
      <c r="BT26" s="58">
        <v>90</v>
      </c>
      <c r="BU26" s="58">
        <v>90</v>
      </c>
      <c r="BV26" s="58"/>
      <c r="BW26" s="58"/>
      <c r="BX26" s="58">
        <v>180</v>
      </c>
      <c r="BY26" s="58">
        <v>180</v>
      </c>
      <c r="BZ26" s="58">
        <v>180</v>
      </c>
      <c r="CA26" s="58">
        <v>180</v>
      </c>
      <c r="CB26" s="58">
        <v>180</v>
      </c>
      <c r="CC26" s="58">
        <v>180</v>
      </c>
      <c r="CD26" s="58">
        <v>180</v>
      </c>
      <c r="CE26" s="58">
        <v>180</v>
      </c>
      <c r="CF26" s="58">
        <v>180</v>
      </c>
      <c r="CG26" s="58">
        <v>180</v>
      </c>
      <c r="CH26" s="58">
        <v>180</v>
      </c>
      <c r="CI26" s="58">
        <v>180</v>
      </c>
      <c r="CJ26" s="58">
        <v>180</v>
      </c>
      <c r="CK26" s="58">
        <v>180</v>
      </c>
      <c r="CL26" s="58">
        <v>180</v>
      </c>
      <c r="CM26" s="58">
        <v>180</v>
      </c>
      <c r="CN26" s="58">
        <v>180</v>
      </c>
      <c r="CO26" s="58">
        <v>90</v>
      </c>
      <c r="CP26" s="58">
        <v>90</v>
      </c>
      <c r="CQ26" s="58">
        <v>90</v>
      </c>
      <c r="CR26" s="58">
        <v>90</v>
      </c>
      <c r="CS26" s="58">
        <v>90</v>
      </c>
      <c r="CT26" s="58">
        <v>90</v>
      </c>
      <c r="CU26" s="58">
        <v>90</v>
      </c>
      <c r="CV26" s="58">
        <v>90</v>
      </c>
      <c r="CW26" s="58">
        <v>90</v>
      </c>
      <c r="CX26" s="58">
        <v>90</v>
      </c>
      <c r="CY26" s="58">
        <v>90</v>
      </c>
      <c r="CZ26" s="58">
        <v>90</v>
      </c>
      <c r="DA26" s="58"/>
      <c r="DB26" s="58">
        <v>90</v>
      </c>
      <c r="DC26" s="58">
        <v>90</v>
      </c>
      <c r="DD26" s="58">
        <v>90</v>
      </c>
      <c r="DE26" s="58">
        <v>90</v>
      </c>
      <c r="DF26" s="58">
        <v>90</v>
      </c>
      <c r="DG26" s="58">
        <v>90</v>
      </c>
      <c r="DH26" s="58">
        <v>90</v>
      </c>
      <c r="DI26" s="58"/>
      <c r="DJ26" s="58"/>
      <c r="DK26" s="107"/>
      <c r="DL26" s="107"/>
      <c r="DM26" s="107"/>
      <c r="DN26" s="107"/>
      <c r="DO26" s="107"/>
      <c r="DP26" s="107"/>
      <c r="DQ26" s="107"/>
      <c r="DR26" s="107"/>
      <c r="DS26" s="107"/>
      <c r="DT26" s="107"/>
      <c r="DU26" s="107"/>
      <c r="DV26" s="107"/>
      <c r="DW26" s="107"/>
      <c r="DX26" s="107"/>
      <c r="DY26" s="107"/>
      <c r="DZ26" s="107"/>
      <c r="EA26" s="107"/>
      <c r="EB26" s="107"/>
      <c r="EC26" s="107"/>
      <c r="ED26" s="107"/>
      <c r="EE26" s="107"/>
      <c r="EF26" s="107"/>
      <c r="EG26" s="107"/>
      <c r="EH26" s="107"/>
      <c r="EI26" s="107"/>
      <c r="EJ26" s="107"/>
      <c r="EK26" s="107"/>
      <c r="EL26" s="107"/>
      <c r="EM26" s="107"/>
      <c r="EN26" s="107"/>
      <c r="EO26" s="107"/>
      <c r="EP26" s="107"/>
      <c r="EQ26" s="107"/>
      <c r="ER26" s="107"/>
      <c r="ES26" s="107"/>
      <c r="ET26" s="107"/>
      <c r="EU26" s="107"/>
      <c r="EV26" s="107"/>
      <c r="EW26" s="107"/>
      <c r="EX26" s="107"/>
      <c r="EY26" s="107"/>
      <c r="EZ26" s="107"/>
      <c r="FA26" s="107"/>
      <c r="FB26" s="107"/>
      <c r="FC26" s="107"/>
      <c r="FD26" s="107"/>
      <c r="FE26" s="107"/>
      <c r="FF26" s="107"/>
      <c r="FG26" s="107"/>
      <c r="FH26" s="107"/>
      <c r="FI26" s="107"/>
      <c r="FJ26" s="107"/>
      <c r="FK26" s="107"/>
      <c r="FL26" s="107"/>
      <c r="FM26" s="107"/>
      <c r="FN26" s="107"/>
      <c r="FO26" s="107"/>
      <c r="FP26" s="107"/>
      <c r="FQ26" s="107"/>
      <c r="FR26" s="107"/>
      <c r="FS26" s="107"/>
      <c r="FT26" s="107"/>
    </row>
    <row r="27" spans="1:176" x14ac:dyDescent="0.25">
      <c r="A27" s="107"/>
      <c r="B27" s="107"/>
      <c r="C27" s="107"/>
      <c r="D27" s="107"/>
      <c r="E27" s="107"/>
      <c r="F27" s="107"/>
      <c r="G27" s="147" t="str">
        <f>IF(_ibpOfflineCondition_,"000000000000564353-1", _xll.EPMOlapMemberO("[PRDID].[].[000000000000564353-1]","","000000000000564353-1","","000"))</f>
        <v>000000000000564353-1</v>
      </c>
      <c r="H27" s="147" t="str">
        <f>IF(_ibpOfflineCondition_,"FGR+ AIRBAND PLUS 5/280+40 ROT MIT", _xll.EPMOlapMemberO("[PRDDESCR].[].[FGR+ AIRBAND PLUS 5/280+40 ROT MIT]","","FGR+ AIRBAND PLUS 5/280+40 ROT MIT","","000"))</f>
        <v>FGR+ AIRBAND PLUS 5/280+40 ROT MIT</v>
      </c>
      <c r="I27" s="147" t="str">
        <f>IF(_ibpOfflineCondition_,"X7", _xll.EPMOlapMemberO("[MRPTYPE].[].[X7]","","X7","","000"))</f>
        <v>X7</v>
      </c>
      <c r="J27" s="147" t="str">
        <f>IF(_ibpOfflineCondition_,"GSCRM Actual Sales and Unconstrained Demand", _xll.EPMOlapMemberO("[KEY_FIGURES].[].[ZGSCRMACTUALUNCONSDEMAND]","","GSCRM Actual Sales and Unconstrained Demand","","000"))</f>
        <v>GSCRM Actual Sales and Unconstrained Demand</v>
      </c>
      <c r="K27" s="58"/>
      <c r="L27" s="58"/>
      <c r="M27" s="58"/>
      <c r="N27" s="58"/>
      <c r="O27" s="58"/>
      <c r="P27" s="58"/>
      <c r="Q27" s="58">
        <v>90</v>
      </c>
      <c r="R27" s="58"/>
      <c r="S27" s="58"/>
      <c r="T27" s="58"/>
      <c r="U27" s="58"/>
      <c r="V27" s="58"/>
      <c r="W27" s="58"/>
      <c r="X27" s="58"/>
      <c r="Y27" s="58">
        <v>90</v>
      </c>
      <c r="Z27" s="58"/>
      <c r="AA27" s="58"/>
      <c r="AB27" s="58"/>
      <c r="AC27" s="58"/>
      <c r="AD27" s="58"/>
      <c r="AE27" s="58">
        <v>90</v>
      </c>
      <c r="AF27" s="58"/>
      <c r="AG27" s="58"/>
      <c r="AH27" s="58"/>
      <c r="AI27" s="58">
        <v>90</v>
      </c>
      <c r="AJ27" s="58"/>
      <c r="AK27" s="58"/>
      <c r="AL27" s="58"/>
      <c r="AM27" s="58"/>
      <c r="AN27" s="58"/>
      <c r="AO27" s="58">
        <v>90</v>
      </c>
      <c r="AP27" s="58"/>
      <c r="AQ27" s="58"/>
      <c r="AR27" s="58"/>
      <c r="AS27" s="58">
        <v>90</v>
      </c>
      <c r="AT27" s="58"/>
      <c r="AU27" s="58">
        <v>90</v>
      </c>
      <c r="AV27" s="58"/>
      <c r="AW27" s="58"/>
      <c r="AX27" s="58"/>
      <c r="AY27" s="58"/>
      <c r="AZ27" s="58"/>
      <c r="BA27" s="58">
        <v>90</v>
      </c>
      <c r="BB27" s="58"/>
      <c r="BC27" s="58"/>
      <c r="BD27" s="58"/>
      <c r="BE27" s="58"/>
      <c r="BF27" s="58"/>
      <c r="BG27" s="58"/>
      <c r="BH27" s="58">
        <v>90</v>
      </c>
      <c r="BI27" s="58"/>
      <c r="BJ27" s="58"/>
      <c r="BK27" s="58"/>
      <c r="BL27" s="58"/>
      <c r="BM27" s="58"/>
      <c r="BN27" s="58">
        <v>90</v>
      </c>
      <c r="BO27" s="58"/>
      <c r="BP27" s="58"/>
      <c r="BQ27" s="58"/>
      <c r="BR27" s="58">
        <v>90</v>
      </c>
      <c r="BS27" s="58"/>
      <c r="BT27" s="58"/>
      <c r="BU27" s="58"/>
      <c r="BV27" s="58"/>
      <c r="BW27" s="58"/>
      <c r="BX27" s="58"/>
      <c r="BY27" s="58"/>
      <c r="BZ27" s="58"/>
      <c r="CA27" s="58">
        <v>90</v>
      </c>
      <c r="CB27" s="58"/>
      <c r="CC27" s="58"/>
      <c r="CD27" s="58"/>
      <c r="CE27" s="58"/>
      <c r="CF27" s="58"/>
      <c r="CG27" s="58"/>
      <c r="CH27" s="58"/>
      <c r="CI27" s="58">
        <v>90</v>
      </c>
      <c r="CJ27" s="58"/>
      <c r="CK27" s="58"/>
      <c r="CL27" s="58"/>
      <c r="CM27" s="58"/>
      <c r="CN27" s="58"/>
      <c r="CO27" s="58"/>
      <c r="CP27" s="58"/>
      <c r="CQ27" s="58"/>
      <c r="CR27" s="58"/>
      <c r="CS27" s="58">
        <v>90</v>
      </c>
      <c r="CT27" s="58"/>
      <c r="CU27" s="58"/>
      <c r="CV27" s="58"/>
      <c r="CW27" s="58"/>
      <c r="CX27" s="58"/>
      <c r="CY27" s="58"/>
      <c r="CZ27" s="58"/>
      <c r="DA27" s="58">
        <v>90</v>
      </c>
      <c r="DB27" s="58"/>
      <c r="DC27" s="58"/>
      <c r="DD27" s="58"/>
      <c r="DE27" s="58"/>
      <c r="DF27" s="58"/>
      <c r="DG27" s="58"/>
      <c r="DH27" s="58"/>
      <c r="DI27" s="58">
        <v>90</v>
      </c>
      <c r="DJ27" s="58"/>
      <c r="DK27" s="107"/>
      <c r="DL27" s="107"/>
      <c r="DM27" s="107"/>
      <c r="DN27" s="107"/>
      <c r="DO27" s="107"/>
      <c r="DP27" s="107"/>
      <c r="DQ27" s="107"/>
      <c r="DR27" s="107"/>
      <c r="DS27" s="107"/>
      <c r="DT27" s="107"/>
      <c r="DU27" s="107"/>
      <c r="DV27" s="107"/>
      <c r="DW27" s="107"/>
      <c r="DX27" s="107"/>
      <c r="DY27" s="107"/>
      <c r="DZ27" s="107"/>
      <c r="EA27" s="107"/>
      <c r="EB27" s="107"/>
      <c r="EC27" s="107"/>
      <c r="ED27" s="107"/>
      <c r="EE27" s="107"/>
      <c r="EF27" s="107"/>
      <c r="EG27" s="107"/>
      <c r="EH27" s="107"/>
      <c r="EI27" s="107"/>
      <c r="EJ27" s="107"/>
      <c r="EK27" s="107"/>
      <c r="EL27" s="107"/>
      <c r="EM27" s="107"/>
      <c r="EN27" s="107"/>
      <c r="EO27" s="107"/>
      <c r="EP27" s="107"/>
      <c r="EQ27" s="107"/>
      <c r="ER27" s="107"/>
      <c r="ES27" s="107"/>
      <c r="ET27" s="107"/>
      <c r="EU27" s="107"/>
      <c r="EV27" s="107"/>
      <c r="EW27" s="107"/>
      <c r="EX27" s="107"/>
      <c r="EY27" s="107"/>
      <c r="EZ27" s="107"/>
      <c r="FA27" s="107"/>
      <c r="FB27" s="107"/>
      <c r="FC27" s="107"/>
      <c r="FD27" s="107"/>
      <c r="FE27" s="107"/>
      <c r="FF27" s="107"/>
      <c r="FG27" s="107"/>
      <c r="FH27" s="107"/>
      <c r="FI27" s="107"/>
      <c r="FJ27" s="107"/>
      <c r="FK27" s="107"/>
      <c r="FL27" s="107"/>
      <c r="FM27" s="107"/>
      <c r="FN27" s="107"/>
      <c r="FO27" s="107"/>
      <c r="FP27" s="107"/>
      <c r="FQ27" s="107"/>
      <c r="FR27" s="107"/>
      <c r="FS27" s="107"/>
      <c r="FT27" s="107"/>
    </row>
    <row r="28" spans="1:176" x14ac:dyDescent="0.25">
      <c r="A28" s="107"/>
      <c r="B28" s="107"/>
      <c r="C28" s="107"/>
      <c r="D28" s="107"/>
      <c r="E28" s="107"/>
      <c r="F28" s="107"/>
      <c r="G28" s="147" t="str">
        <f>IF(_ibpOfflineCondition_,"000000000000564353-1", _xll.EPMOlapMemberO("[PRDID].[].[000000000000564353-1]","","000000000000564353-1","","000"))</f>
        <v>000000000000564353-1</v>
      </c>
      <c r="H28" s="147" t="str">
        <f>IF(_ibpOfflineCondition_,"FGR+ AIRBAND PLUS 5/280+40 ROT MIT", _xll.EPMOlapMemberO("[PRDDESCR].[].[FGR+ AIRBAND PLUS 5/280+40 ROT MIT]","","FGR+ AIRBAND PLUS 5/280+40 ROT MIT","","000"))</f>
        <v>FGR+ AIRBAND PLUS 5/280+40 ROT MIT</v>
      </c>
      <c r="I28" s="147" t="str">
        <f>IF(_ibpOfflineCondition_,"X7", _xll.EPMOlapMemberO("[MRPTYPE].[].[X7]","","X7","","000"))</f>
        <v>X7</v>
      </c>
      <c r="J28" s="147" t="str">
        <f>IF(_ibpOfflineCondition_,"GSCRM Actuals and Future Production", _xll.EPMOlapMemberO("[KEY_FIGURES].[].[ZGSCRMACTUALSPRODUCTION]","","GSCRM Actuals and Future Production","","000"))</f>
        <v>GSCRM Actuals and Future Production</v>
      </c>
      <c r="K28" s="58">
        <v>0</v>
      </c>
      <c r="L28" s="58">
        <v>0</v>
      </c>
      <c r="M28" s="58">
        <v>0</v>
      </c>
      <c r="N28" s="58">
        <v>0</v>
      </c>
      <c r="O28" s="58">
        <v>0</v>
      </c>
      <c r="P28" s="58">
        <v>0</v>
      </c>
      <c r="Q28" s="58">
        <v>0</v>
      </c>
      <c r="R28" s="58">
        <v>0</v>
      </c>
      <c r="S28" s="58"/>
      <c r="T28" s="58"/>
      <c r="U28" s="58"/>
      <c r="V28" s="58"/>
      <c r="W28" s="58"/>
      <c r="X28" s="58">
        <v>360</v>
      </c>
      <c r="Y28" s="58">
        <v>0</v>
      </c>
      <c r="Z28" s="58"/>
      <c r="AA28" s="58"/>
      <c r="AB28" s="58"/>
      <c r="AC28" s="58"/>
      <c r="AD28" s="58"/>
      <c r="AE28" s="58">
        <v>0</v>
      </c>
      <c r="AF28" s="58"/>
      <c r="AG28" s="58"/>
      <c r="AH28" s="58"/>
      <c r="AI28" s="58">
        <v>0</v>
      </c>
      <c r="AJ28" s="58"/>
      <c r="AK28" s="58"/>
      <c r="AL28" s="58"/>
      <c r="AM28" s="58"/>
      <c r="AN28" s="58"/>
      <c r="AO28" s="58">
        <v>0</v>
      </c>
      <c r="AP28" s="58"/>
      <c r="AQ28" s="58">
        <v>180</v>
      </c>
      <c r="AR28" s="58"/>
      <c r="AS28" s="58">
        <v>0</v>
      </c>
      <c r="AT28" s="58"/>
      <c r="AU28" s="58">
        <v>0</v>
      </c>
      <c r="AV28" s="58"/>
      <c r="AW28" s="58"/>
      <c r="AX28" s="58">
        <v>90</v>
      </c>
      <c r="AY28" s="58"/>
      <c r="AZ28" s="58"/>
      <c r="BA28" s="58">
        <v>0</v>
      </c>
      <c r="BB28" s="58">
        <v>90</v>
      </c>
      <c r="BC28" s="58"/>
      <c r="BD28" s="58"/>
      <c r="BE28" s="58"/>
      <c r="BF28" s="58"/>
      <c r="BG28" s="58"/>
      <c r="BH28" s="58">
        <v>0</v>
      </c>
      <c r="BI28" s="58"/>
      <c r="BJ28" s="58"/>
      <c r="BK28" s="58">
        <v>180</v>
      </c>
      <c r="BL28" s="58"/>
      <c r="BM28" s="58"/>
      <c r="BN28" s="58">
        <v>0</v>
      </c>
      <c r="BO28" s="58"/>
      <c r="BP28" s="58"/>
      <c r="BQ28" s="58">
        <v>180</v>
      </c>
      <c r="BR28" s="58">
        <v>0</v>
      </c>
      <c r="BS28" s="58"/>
      <c r="BT28" s="58"/>
      <c r="BU28" s="58"/>
      <c r="BV28" s="58"/>
      <c r="BW28" s="58"/>
      <c r="BX28" s="58"/>
      <c r="BY28" s="58"/>
      <c r="BZ28" s="58"/>
      <c r="CA28" s="58">
        <v>0</v>
      </c>
      <c r="CB28" s="58"/>
      <c r="CC28" s="58"/>
      <c r="CD28" s="58"/>
      <c r="CE28" s="58"/>
      <c r="CF28" s="58"/>
      <c r="CG28" s="58"/>
      <c r="CH28" s="58"/>
      <c r="CI28" s="58">
        <v>0</v>
      </c>
      <c r="CJ28" s="58"/>
      <c r="CK28" s="58"/>
      <c r="CL28" s="58"/>
      <c r="CM28" s="58"/>
      <c r="CN28" s="58"/>
      <c r="CO28" s="58">
        <v>180</v>
      </c>
      <c r="CP28" s="58"/>
      <c r="CQ28" s="58"/>
      <c r="CR28" s="58"/>
      <c r="CS28" s="58">
        <v>0</v>
      </c>
      <c r="CT28" s="58"/>
      <c r="CU28" s="58"/>
      <c r="CV28" s="58"/>
      <c r="CW28" s="58"/>
      <c r="CX28" s="58"/>
      <c r="CY28" s="58"/>
      <c r="CZ28" s="58"/>
      <c r="DA28" s="58">
        <v>0</v>
      </c>
      <c r="DB28" s="58">
        <v>90</v>
      </c>
      <c r="DC28" s="58"/>
      <c r="DD28" s="58"/>
      <c r="DE28" s="58"/>
      <c r="DF28" s="58"/>
      <c r="DG28" s="58"/>
      <c r="DH28" s="58"/>
      <c r="DI28" s="58">
        <v>180</v>
      </c>
      <c r="DJ28" s="58"/>
      <c r="DK28" s="107"/>
      <c r="DL28" s="107"/>
      <c r="DM28" s="107"/>
      <c r="DN28" s="107"/>
      <c r="DO28" s="107"/>
      <c r="DP28" s="107"/>
      <c r="DQ28" s="107"/>
      <c r="DR28" s="107"/>
      <c r="DS28" s="107"/>
      <c r="DT28" s="107"/>
      <c r="DU28" s="107"/>
      <c r="DV28" s="107"/>
      <c r="DW28" s="107"/>
      <c r="DX28" s="107"/>
      <c r="DY28" s="107"/>
      <c r="DZ28" s="107"/>
      <c r="EA28" s="107"/>
      <c r="EB28" s="107"/>
      <c r="EC28" s="107"/>
      <c r="ED28" s="107"/>
      <c r="EE28" s="107"/>
      <c r="EF28" s="107"/>
      <c r="EG28" s="107"/>
      <c r="EH28" s="107"/>
      <c r="EI28" s="107"/>
      <c r="EJ28" s="107"/>
      <c r="EK28" s="107"/>
      <c r="EL28" s="107"/>
      <c r="EM28" s="107"/>
      <c r="EN28" s="107"/>
      <c r="EO28" s="107"/>
      <c r="EP28" s="107"/>
      <c r="EQ28" s="107"/>
      <c r="ER28" s="107"/>
      <c r="ES28" s="107"/>
      <c r="ET28" s="107"/>
      <c r="EU28" s="107"/>
      <c r="EV28" s="107"/>
      <c r="EW28" s="107"/>
      <c r="EX28" s="107"/>
      <c r="EY28" s="107"/>
      <c r="EZ28" s="107"/>
      <c r="FA28" s="107"/>
      <c r="FB28" s="107"/>
      <c r="FC28" s="107"/>
      <c r="FD28" s="107"/>
      <c r="FE28" s="107"/>
      <c r="FF28" s="107"/>
      <c r="FG28" s="107"/>
      <c r="FH28" s="107"/>
      <c r="FI28" s="107"/>
      <c r="FJ28" s="107"/>
      <c r="FK28" s="107"/>
      <c r="FL28" s="107"/>
      <c r="FM28" s="107"/>
      <c r="FN28" s="107"/>
      <c r="FO28" s="107"/>
      <c r="FP28" s="107"/>
      <c r="FQ28" s="107"/>
      <c r="FR28" s="107"/>
      <c r="FS28" s="107"/>
      <c r="FT28" s="107"/>
    </row>
    <row r="29" spans="1:176" x14ac:dyDescent="0.25">
      <c r="A29" s="107"/>
      <c r="B29" s="107"/>
      <c r="C29" s="107"/>
      <c r="D29" s="107"/>
      <c r="E29" s="107"/>
      <c r="F29" s="107"/>
      <c r="G29" s="147" t="str">
        <f>IF(_ibpOfflineCondition_,"000000000000564353-1", _xll.EPMOlapMemberO("[PRDID].[].[000000000000564353-1]","","000000000000564353-1","","000"))</f>
        <v>000000000000564353-1</v>
      </c>
      <c r="H29" s="147" t="str">
        <f>IF(_ibpOfflineCondition_,"FGR+ AIRBAND PLUS 5/280+40 ROT MIT", _xll.EPMOlapMemberO("[PRDDESCR].[].[FGR+ AIRBAND PLUS 5/280+40 ROT MIT]","","FGR+ AIRBAND PLUS 5/280+40 ROT MIT","","000"))</f>
        <v>FGR+ AIRBAND PLUS 5/280+40 ROT MIT</v>
      </c>
      <c r="I29" s="147" t="str">
        <f>IF(_ibpOfflineCondition_,"X7", _xll.EPMOlapMemberO("[MRPTYPE].[].[X7]","","X7","","000"))</f>
        <v>X7</v>
      </c>
      <c r="J29" s="147" t="str">
        <f>IF(_ibpOfflineCondition_,"GSCRM Projected Stock (Unconstrained Demand)", _xll.EPMOlapMemberO("[KEY_FIGURES].[].[ZGSCRMUNCONSINVENTORY]","","GSCRM Projected Stock (Unconstrained Demand)","","000"))</f>
        <v>GSCRM Projected Stock (Unconstrained Demand)</v>
      </c>
      <c r="K29" s="58">
        <v>90</v>
      </c>
      <c r="L29" s="58">
        <v>90</v>
      </c>
      <c r="M29" s="58">
        <v>90</v>
      </c>
      <c r="N29" s="58">
        <v>90</v>
      </c>
      <c r="O29" s="58">
        <v>90</v>
      </c>
      <c r="P29" s="58">
        <v>90</v>
      </c>
      <c r="Q29" s="58"/>
      <c r="R29" s="58"/>
      <c r="S29" s="58"/>
      <c r="T29" s="58"/>
      <c r="U29" s="58"/>
      <c r="V29" s="58"/>
      <c r="W29" s="58"/>
      <c r="X29" s="58">
        <v>360</v>
      </c>
      <c r="Y29" s="58">
        <v>270</v>
      </c>
      <c r="Z29" s="58">
        <v>270</v>
      </c>
      <c r="AA29" s="58">
        <v>270</v>
      </c>
      <c r="AB29" s="58">
        <v>270</v>
      </c>
      <c r="AC29" s="58">
        <v>270</v>
      </c>
      <c r="AD29" s="58">
        <v>270</v>
      </c>
      <c r="AE29" s="58">
        <v>180</v>
      </c>
      <c r="AF29" s="58">
        <v>180</v>
      </c>
      <c r="AG29" s="58">
        <v>180</v>
      </c>
      <c r="AH29" s="58">
        <v>180</v>
      </c>
      <c r="AI29" s="58">
        <v>90</v>
      </c>
      <c r="AJ29" s="58">
        <v>90</v>
      </c>
      <c r="AK29" s="58">
        <v>90</v>
      </c>
      <c r="AL29" s="58">
        <v>90</v>
      </c>
      <c r="AM29" s="58">
        <v>90</v>
      </c>
      <c r="AN29" s="58">
        <v>90</v>
      </c>
      <c r="AO29" s="58"/>
      <c r="AP29" s="58"/>
      <c r="AQ29" s="58">
        <v>180</v>
      </c>
      <c r="AR29" s="58">
        <v>180</v>
      </c>
      <c r="AS29" s="58">
        <v>90</v>
      </c>
      <c r="AT29" s="58">
        <v>90</v>
      </c>
      <c r="AU29" s="58"/>
      <c r="AV29" s="58"/>
      <c r="AW29" s="58"/>
      <c r="AX29" s="58">
        <v>90</v>
      </c>
      <c r="AY29" s="58">
        <v>90</v>
      </c>
      <c r="AZ29" s="58">
        <v>90</v>
      </c>
      <c r="BA29" s="58"/>
      <c r="BB29" s="58">
        <v>90</v>
      </c>
      <c r="BC29" s="58">
        <v>90</v>
      </c>
      <c r="BD29" s="58">
        <v>90</v>
      </c>
      <c r="BE29" s="58">
        <v>90</v>
      </c>
      <c r="BF29" s="58">
        <v>90</v>
      </c>
      <c r="BG29" s="58">
        <v>90</v>
      </c>
      <c r="BH29" s="58"/>
      <c r="BI29" s="58"/>
      <c r="BJ29" s="58"/>
      <c r="BK29" s="58">
        <v>180</v>
      </c>
      <c r="BL29" s="58">
        <v>180</v>
      </c>
      <c r="BM29" s="58">
        <v>180</v>
      </c>
      <c r="BN29" s="58">
        <v>90</v>
      </c>
      <c r="BO29" s="58">
        <v>90</v>
      </c>
      <c r="BP29" s="58">
        <v>90</v>
      </c>
      <c r="BQ29" s="58">
        <v>180</v>
      </c>
      <c r="BR29" s="58">
        <v>180</v>
      </c>
      <c r="BS29" s="58">
        <v>180</v>
      </c>
      <c r="BT29" s="58">
        <v>180</v>
      </c>
      <c r="BU29" s="58">
        <v>180</v>
      </c>
      <c r="BV29" s="58">
        <v>180</v>
      </c>
      <c r="BW29" s="58">
        <v>180</v>
      </c>
      <c r="BX29" s="58">
        <v>180</v>
      </c>
      <c r="BY29" s="58">
        <v>180</v>
      </c>
      <c r="BZ29" s="58">
        <v>180</v>
      </c>
      <c r="CA29" s="58">
        <v>90</v>
      </c>
      <c r="CB29" s="58">
        <v>90</v>
      </c>
      <c r="CC29" s="58">
        <v>90</v>
      </c>
      <c r="CD29" s="58">
        <v>90</v>
      </c>
      <c r="CE29" s="58">
        <v>90</v>
      </c>
      <c r="CF29" s="58">
        <v>90</v>
      </c>
      <c r="CG29" s="58">
        <v>90</v>
      </c>
      <c r="CH29" s="58">
        <v>90</v>
      </c>
      <c r="CI29" s="58"/>
      <c r="CJ29" s="58"/>
      <c r="CK29" s="58"/>
      <c r="CL29" s="58"/>
      <c r="CM29" s="58"/>
      <c r="CN29" s="58"/>
      <c r="CO29" s="58">
        <v>180</v>
      </c>
      <c r="CP29" s="58">
        <v>180</v>
      </c>
      <c r="CQ29" s="58">
        <v>180</v>
      </c>
      <c r="CR29" s="58">
        <v>90</v>
      </c>
      <c r="CS29" s="58">
        <v>90</v>
      </c>
      <c r="CT29" s="58">
        <v>90</v>
      </c>
      <c r="CU29" s="58">
        <v>90</v>
      </c>
      <c r="CV29" s="58">
        <v>90</v>
      </c>
      <c r="CW29" s="58">
        <v>90</v>
      </c>
      <c r="CX29" s="58">
        <v>90</v>
      </c>
      <c r="CY29" s="58">
        <v>90</v>
      </c>
      <c r="CZ29" s="58">
        <v>90</v>
      </c>
      <c r="DA29" s="58"/>
      <c r="DB29" s="58">
        <v>90</v>
      </c>
      <c r="DC29" s="58">
        <v>90</v>
      </c>
      <c r="DD29" s="58">
        <v>90</v>
      </c>
      <c r="DE29" s="58">
        <v>90</v>
      </c>
      <c r="DF29" s="58">
        <v>90</v>
      </c>
      <c r="DG29" s="58">
        <v>90</v>
      </c>
      <c r="DH29" s="58">
        <v>90</v>
      </c>
      <c r="DI29" s="58">
        <v>180</v>
      </c>
      <c r="DJ29" s="58">
        <v>180</v>
      </c>
      <c r="DK29" s="107"/>
      <c r="DL29" s="107"/>
      <c r="DM29" s="107"/>
      <c r="DN29" s="107"/>
      <c r="DO29" s="107"/>
      <c r="DP29" s="107"/>
      <c r="DQ29" s="107"/>
      <c r="DR29" s="107"/>
      <c r="DS29" s="107"/>
      <c r="DT29" s="107"/>
      <c r="DU29" s="107"/>
      <c r="DV29" s="107"/>
      <c r="DW29" s="107"/>
      <c r="DX29" s="107"/>
      <c r="DY29" s="107"/>
      <c r="DZ29" s="107"/>
      <c r="EA29" s="107"/>
      <c r="EB29" s="107"/>
      <c r="EC29" s="107"/>
      <c r="ED29" s="107"/>
      <c r="EE29" s="107"/>
      <c r="EF29" s="107"/>
      <c r="EG29" s="107"/>
      <c r="EH29" s="107"/>
      <c r="EI29" s="107"/>
      <c r="EJ29" s="107"/>
      <c r="EK29" s="107"/>
      <c r="EL29" s="107"/>
      <c r="EM29" s="107"/>
      <c r="EN29" s="107"/>
      <c r="EO29" s="107"/>
      <c r="EP29" s="107"/>
      <c r="EQ29" s="107"/>
      <c r="ER29" s="107"/>
      <c r="ES29" s="107"/>
      <c r="ET29" s="107"/>
      <c r="EU29" s="107"/>
      <c r="EV29" s="107"/>
      <c r="EW29" s="107"/>
      <c r="EX29" s="107"/>
      <c r="EY29" s="107"/>
      <c r="EZ29" s="107"/>
      <c r="FA29" s="107"/>
      <c r="FB29" s="107"/>
      <c r="FC29" s="107"/>
      <c r="FD29" s="107"/>
      <c r="FE29" s="107"/>
      <c r="FF29" s="107"/>
      <c r="FG29" s="107"/>
      <c r="FH29" s="107"/>
      <c r="FI29" s="107"/>
      <c r="FJ29" s="107"/>
      <c r="FK29" s="107"/>
      <c r="FL29" s="107"/>
      <c r="FM29" s="107"/>
      <c r="FN29" s="107"/>
      <c r="FO29" s="107"/>
      <c r="FP29" s="107"/>
      <c r="FQ29" s="107"/>
      <c r="FR29" s="107"/>
      <c r="FS29" s="107"/>
      <c r="FT29" s="107"/>
    </row>
    <row r="30" spans="1:176" x14ac:dyDescent="0.25">
      <c r="A30" s="107"/>
      <c r="B30" s="107"/>
      <c r="C30" s="107"/>
      <c r="D30" s="107"/>
      <c r="E30" s="107"/>
      <c r="F30" s="107"/>
      <c r="G30" s="147" t="str">
        <f>IF(_ibpOfflineCondition_,"000000000000564401-1", _xll.EPMOlapMemberO("[PRDID].[].[000000000000564401-1]","","000000000000564401-1","","000"))</f>
        <v>000000000000564401-1</v>
      </c>
      <c r="H30" s="147" t="str">
        <f>IF(_ibpOfflineCondition_,"FGR+ Airband Antique 5/340+40 brown MIT", _xll.EPMOlapMemberO("[PRDDESCR].[].[FGR+ Airband Antique 5/340+40 brown MIT]","","FGR+ Airband Antique 5/340+40 brown MIT","","000"))</f>
        <v>FGR+ Airband Antique 5/340+40 brown MIT</v>
      </c>
      <c r="I30" s="147" t="str">
        <f>IF(_ibpOfflineCondition_,"X7", _xll.EPMOlapMemberO("[MRPTYPE].[].[X7]","","X7","","000"))</f>
        <v>X7</v>
      </c>
      <c r="J30" s="147" t="str">
        <f>IF(_ibpOfflineCondition_,"GSCRM Actual Sales and Unconstrained Demand", _xll.EPMOlapMemberO("[KEY_FIGURES].[].[ZGSCRMACTUALUNCONSDEMAND]","","GSCRM Actual Sales and Unconstrained Demand","","000"))</f>
        <v>GSCRM Actual Sales and Unconstrained Demand</v>
      </c>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c r="CE30" s="58"/>
      <c r="CF30" s="58"/>
      <c r="CG30" s="58"/>
      <c r="CH30" s="58"/>
      <c r="CI30" s="58"/>
      <c r="CJ30" s="58"/>
      <c r="CK30" s="58"/>
      <c r="CL30" s="58"/>
      <c r="CM30" s="58"/>
      <c r="CN30" s="58"/>
      <c r="CO30" s="58"/>
      <c r="CP30" s="58"/>
      <c r="CQ30" s="58"/>
      <c r="CR30" s="58"/>
      <c r="CS30" s="58"/>
      <c r="CT30" s="58"/>
      <c r="CU30" s="58"/>
      <c r="CV30" s="58"/>
      <c r="CW30" s="58"/>
      <c r="CX30" s="58"/>
      <c r="CY30" s="58"/>
      <c r="CZ30" s="58"/>
      <c r="DA30" s="58"/>
      <c r="DB30" s="58"/>
      <c r="DC30" s="58"/>
      <c r="DD30" s="58"/>
      <c r="DE30" s="58"/>
      <c r="DF30" s="58"/>
      <c r="DG30" s="58"/>
      <c r="DH30" s="58"/>
      <c r="DI30" s="58"/>
      <c r="DJ30" s="58"/>
      <c r="DK30" s="107"/>
      <c r="DL30" s="107"/>
      <c r="DM30" s="107"/>
      <c r="DN30" s="107"/>
      <c r="DO30" s="107"/>
      <c r="DP30" s="107"/>
      <c r="DQ30" s="107"/>
      <c r="DR30" s="107"/>
      <c r="DS30" s="107"/>
      <c r="DT30" s="107"/>
      <c r="DU30" s="107"/>
      <c r="DV30" s="107"/>
      <c r="DW30" s="107"/>
      <c r="DX30" s="107"/>
      <c r="DY30" s="107"/>
      <c r="DZ30" s="107"/>
      <c r="EA30" s="107"/>
      <c r="EB30" s="107"/>
      <c r="EC30" s="107"/>
      <c r="ED30" s="107"/>
      <c r="EE30" s="107"/>
      <c r="EF30" s="107"/>
      <c r="EG30" s="107"/>
      <c r="EH30" s="107"/>
      <c r="EI30" s="107"/>
      <c r="EJ30" s="107"/>
      <c r="EK30" s="107"/>
      <c r="EL30" s="107"/>
      <c r="EM30" s="107"/>
      <c r="EN30" s="107"/>
      <c r="EO30" s="107"/>
      <c r="EP30" s="107"/>
      <c r="EQ30" s="107"/>
      <c r="ER30" s="107"/>
      <c r="ES30" s="107"/>
      <c r="ET30" s="107"/>
      <c r="EU30" s="107"/>
      <c r="EV30" s="107"/>
      <c r="EW30" s="107"/>
      <c r="EX30" s="107"/>
      <c r="EY30" s="107"/>
      <c r="EZ30" s="107"/>
      <c r="FA30" s="107"/>
      <c r="FB30" s="107"/>
      <c r="FC30" s="107"/>
      <c r="FD30" s="107"/>
      <c r="FE30" s="107"/>
      <c r="FF30" s="107"/>
      <c r="FG30" s="107"/>
      <c r="FH30" s="107"/>
      <c r="FI30" s="107"/>
      <c r="FJ30" s="107"/>
      <c r="FK30" s="107"/>
      <c r="FL30" s="107"/>
      <c r="FM30" s="107"/>
      <c r="FN30" s="107"/>
      <c r="FO30" s="107"/>
      <c r="FP30" s="107"/>
      <c r="FQ30" s="107"/>
      <c r="FR30" s="107"/>
      <c r="FS30" s="107"/>
      <c r="FT30" s="107"/>
    </row>
    <row r="31" spans="1:176" x14ac:dyDescent="0.25">
      <c r="A31" s="107"/>
      <c r="B31" s="107"/>
      <c r="C31" s="107"/>
      <c r="D31" s="107"/>
      <c r="E31" s="107"/>
      <c r="F31" s="107"/>
      <c r="G31" s="147" t="str">
        <f>IF(_ibpOfflineCondition_,"000000000000564401-1", _xll.EPMOlapMemberO("[PRDID].[].[000000000000564401-1]","","000000000000564401-1","","000"))</f>
        <v>000000000000564401-1</v>
      </c>
      <c r="H31" s="147" t="str">
        <f>IF(_ibpOfflineCondition_,"FGR+ Airband Antique 5/340+40 brown MIT", _xll.EPMOlapMemberO("[PRDDESCR].[].[FGR+ Airband Antique 5/340+40 brown MIT]","","FGR+ Airband Antique 5/340+40 brown MIT","","000"))</f>
        <v>FGR+ Airband Antique 5/340+40 brown MIT</v>
      </c>
      <c r="I31" s="147" t="str">
        <f>IF(_ibpOfflineCondition_,"X7", _xll.EPMOlapMemberO("[MRPTYPE].[].[X7]","","X7","","000"))</f>
        <v>X7</v>
      </c>
      <c r="J31" s="147" t="str">
        <f>IF(_ibpOfflineCondition_,"GSCRM Actuals and Future Production", _xll.EPMOlapMemberO("[KEY_FIGURES].[].[ZGSCRMACTUALSPRODUCTION]","","GSCRM Actuals and Future Production","","000"))</f>
        <v>GSCRM Actuals and Future Production</v>
      </c>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c r="CE31" s="58"/>
      <c r="CF31" s="58"/>
      <c r="CG31" s="58"/>
      <c r="CH31" s="58"/>
      <c r="CI31" s="58"/>
      <c r="CJ31" s="58"/>
      <c r="CK31" s="58"/>
      <c r="CL31" s="58"/>
      <c r="CM31" s="58"/>
      <c r="CN31" s="58"/>
      <c r="CO31" s="58"/>
      <c r="CP31" s="58"/>
      <c r="CQ31" s="58"/>
      <c r="CR31" s="58"/>
      <c r="CS31" s="58"/>
      <c r="CT31" s="58"/>
      <c r="CU31" s="58"/>
      <c r="CV31" s="58"/>
      <c r="CW31" s="58"/>
      <c r="CX31" s="58"/>
      <c r="CY31" s="58"/>
      <c r="CZ31" s="58"/>
      <c r="DA31" s="58"/>
      <c r="DB31" s="58"/>
      <c r="DC31" s="58"/>
      <c r="DD31" s="58"/>
      <c r="DE31" s="58"/>
      <c r="DF31" s="58"/>
      <c r="DG31" s="58"/>
      <c r="DH31" s="58"/>
      <c r="DI31" s="58"/>
      <c r="DJ31" s="58"/>
      <c r="DK31" s="107"/>
      <c r="DL31" s="107"/>
      <c r="DM31" s="107"/>
      <c r="DN31" s="107"/>
      <c r="DO31" s="107"/>
      <c r="DP31" s="107"/>
      <c r="DQ31" s="107"/>
      <c r="DR31" s="107"/>
      <c r="DS31" s="107"/>
      <c r="DT31" s="107"/>
      <c r="DU31" s="107"/>
      <c r="DV31" s="107"/>
      <c r="DW31" s="107"/>
      <c r="DX31" s="107"/>
      <c r="DY31" s="107"/>
      <c r="DZ31" s="107"/>
      <c r="EA31" s="107"/>
      <c r="EB31" s="107"/>
      <c r="EC31" s="107"/>
      <c r="ED31" s="107"/>
      <c r="EE31" s="107"/>
      <c r="EF31" s="107"/>
      <c r="EG31" s="107"/>
      <c r="EH31" s="107"/>
      <c r="EI31" s="107"/>
      <c r="EJ31" s="107"/>
      <c r="EK31" s="107"/>
      <c r="EL31" s="107"/>
      <c r="EM31" s="107"/>
      <c r="EN31" s="107"/>
      <c r="EO31" s="107"/>
      <c r="EP31" s="107"/>
      <c r="EQ31" s="107"/>
      <c r="ER31" s="107"/>
      <c r="ES31" s="107"/>
      <c r="ET31" s="107"/>
      <c r="EU31" s="107"/>
      <c r="EV31" s="107"/>
      <c r="EW31" s="107"/>
      <c r="EX31" s="107"/>
      <c r="EY31" s="107"/>
      <c r="EZ31" s="107"/>
      <c r="FA31" s="107"/>
      <c r="FB31" s="107"/>
      <c r="FC31" s="107"/>
      <c r="FD31" s="107"/>
      <c r="FE31" s="107"/>
      <c r="FF31" s="107"/>
      <c r="FG31" s="107"/>
      <c r="FH31" s="107"/>
      <c r="FI31" s="107"/>
      <c r="FJ31" s="107"/>
      <c r="FK31" s="107"/>
      <c r="FL31" s="107"/>
      <c r="FM31" s="107"/>
      <c r="FN31" s="107"/>
      <c r="FO31" s="107"/>
      <c r="FP31" s="107"/>
      <c r="FQ31" s="107"/>
      <c r="FR31" s="107"/>
      <c r="FS31" s="107"/>
      <c r="FT31" s="107"/>
    </row>
    <row r="32" spans="1:176" x14ac:dyDescent="0.25">
      <c r="A32" s="107"/>
      <c r="B32" s="107"/>
      <c r="C32" s="107"/>
      <c r="D32" s="107"/>
      <c r="E32" s="107"/>
      <c r="F32" s="107"/>
      <c r="G32" s="147" t="str">
        <f>IF(_ibpOfflineCondition_,"000000000000564401-1", _xll.EPMOlapMemberO("[PRDID].[].[000000000000564401-1]","","000000000000564401-1","","000"))</f>
        <v>000000000000564401-1</v>
      </c>
      <c r="H32" s="147" t="str">
        <f>IF(_ibpOfflineCondition_,"FGR+ Airband Antique 5/340+40 brown MIT", _xll.EPMOlapMemberO("[PRDDESCR].[].[FGR+ Airband Antique 5/340+40 brown MIT]","","FGR+ Airband Antique 5/340+40 brown MIT","","000"))</f>
        <v>FGR+ Airband Antique 5/340+40 brown MIT</v>
      </c>
      <c r="I32" s="147" t="str">
        <f>IF(_ibpOfflineCondition_,"X7", _xll.EPMOlapMemberO("[MRPTYPE].[].[X7]","","X7","","000"))</f>
        <v>X7</v>
      </c>
      <c r="J32" s="147" t="str">
        <f>IF(_ibpOfflineCondition_,"GSCRM Projected Stock (Unconstrained Demand)", _xll.EPMOlapMemberO("[KEY_FIGURES].[].[ZGSCRMUNCONSINVENTORY]","","GSCRM Projected Stock (Unconstrained Demand)","","000"))</f>
        <v>GSCRM Projected Stock (Unconstrained Demand)</v>
      </c>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c r="CE32" s="58"/>
      <c r="CF32" s="58"/>
      <c r="CG32" s="58"/>
      <c r="CH32" s="58"/>
      <c r="CI32" s="58"/>
      <c r="CJ32" s="58"/>
      <c r="CK32" s="58"/>
      <c r="CL32" s="58"/>
      <c r="CM32" s="58"/>
      <c r="CN32" s="58"/>
      <c r="CO32" s="58"/>
      <c r="CP32" s="58"/>
      <c r="CQ32" s="58"/>
      <c r="CR32" s="58"/>
      <c r="CS32" s="58"/>
      <c r="CT32" s="58"/>
      <c r="CU32" s="58"/>
      <c r="CV32" s="58"/>
      <c r="CW32" s="58"/>
      <c r="CX32" s="58"/>
      <c r="CY32" s="58"/>
      <c r="CZ32" s="58"/>
      <c r="DA32" s="58"/>
      <c r="DB32" s="58"/>
      <c r="DC32" s="58"/>
      <c r="DD32" s="58"/>
      <c r="DE32" s="58"/>
      <c r="DF32" s="58"/>
      <c r="DG32" s="58"/>
      <c r="DH32" s="58"/>
      <c r="DI32" s="58"/>
      <c r="DJ32" s="58"/>
      <c r="DK32" s="107"/>
      <c r="DL32" s="107"/>
      <c r="DM32" s="107"/>
      <c r="DN32" s="107"/>
      <c r="DO32" s="107"/>
      <c r="DP32" s="107"/>
      <c r="DQ32" s="107"/>
      <c r="DR32" s="107"/>
      <c r="DS32" s="107"/>
      <c r="DT32" s="107"/>
      <c r="DU32" s="107"/>
      <c r="DV32" s="107"/>
      <c r="DW32" s="107"/>
      <c r="DX32" s="107"/>
      <c r="DY32" s="107"/>
      <c r="DZ32" s="107"/>
      <c r="EA32" s="107"/>
      <c r="EB32" s="107"/>
      <c r="EC32" s="107"/>
      <c r="ED32" s="107"/>
      <c r="EE32" s="107"/>
      <c r="EF32" s="107"/>
      <c r="EG32" s="107"/>
      <c r="EH32" s="107"/>
      <c r="EI32" s="107"/>
      <c r="EJ32" s="107"/>
      <c r="EK32" s="107"/>
      <c r="EL32" s="107"/>
      <c r="EM32" s="107"/>
      <c r="EN32" s="107"/>
      <c r="EO32" s="107"/>
      <c r="EP32" s="107"/>
      <c r="EQ32" s="107"/>
      <c r="ER32" s="107"/>
      <c r="ES32" s="107"/>
      <c r="ET32" s="107"/>
      <c r="EU32" s="107"/>
      <c r="EV32" s="107"/>
      <c r="EW32" s="107"/>
      <c r="EX32" s="107"/>
      <c r="EY32" s="107"/>
      <c r="EZ32" s="107"/>
      <c r="FA32" s="107"/>
      <c r="FB32" s="107"/>
      <c r="FC32" s="107"/>
      <c r="FD32" s="107"/>
      <c r="FE32" s="107"/>
      <c r="FF32" s="107"/>
      <c r="FG32" s="107"/>
      <c r="FH32" s="107"/>
      <c r="FI32" s="107"/>
      <c r="FJ32" s="107"/>
      <c r="FK32" s="107"/>
      <c r="FL32" s="107"/>
      <c r="FM32" s="107"/>
      <c r="FN32" s="107"/>
      <c r="FO32" s="107"/>
      <c r="FP32" s="107"/>
      <c r="FQ32" s="107"/>
      <c r="FR32" s="107"/>
      <c r="FS32" s="107"/>
      <c r="FT32" s="107"/>
    </row>
    <row r="33" spans="1:176" x14ac:dyDescent="0.25">
      <c r="A33" s="107"/>
      <c r="B33" s="107"/>
      <c r="C33" s="107"/>
      <c r="D33" s="107"/>
      <c r="E33" s="107"/>
      <c r="F33" s="107"/>
      <c r="G33" s="147" t="str">
        <f>IF(_ibpOfflineCondition_,"000000000000564403-1", _xll.EPMOlapMemberO("[PRDID].[].[000000000000564403-1]","","000000000000564403-1","","000"))</f>
        <v>000000000000564403-1</v>
      </c>
      <c r="H33" s="147" t="str">
        <f>IF(_ibpOfflineCondition_,"FGR+ Airband Antique 5/340+40 red MIT", _xll.EPMOlapMemberO("[PRDDESCR].[].[FGR+ Airband Antique 5/340+40 red MIT]","","FGR+ Airband Antique 5/340+40 red MIT","","000"))</f>
        <v>FGR+ Airband Antique 5/340+40 red MIT</v>
      </c>
      <c r="I33" s="147" t="str">
        <f>IF(_ibpOfflineCondition_,"X7", _xll.EPMOlapMemberO("[MRPTYPE].[].[X7]","","X7","","000"))</f>
        <v>X7</v>
      </c>
      <c r="J33" s="147" t="str">
        <f>IF(_ibpOfflineCondition_,"GSCRM Actual Sales and Unconstrained Demand", _xll.EPMOlapMemberO("[KEY_FIGURES].[].[ZGSCRMACTUALUNCONSDEMAND]","","GSCRM Actual Sales and Unconstrained Demand","","000"))</f>
        <v>GSCRM Actual Sales and Unconstrained Demand</v>
      </c>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c r="CE33" s="58"/>
      <c r="CF33" s="58"/>
      <c r="CG33" s="58"/>
      <c r="CH33" s="58"/>
      <c r="CI33" s="58"/>
      <c r="CJ33" s="58"/>
      <c r="CK33" s="58"/>
      <c r="CL33" s="58"/>
      <c r="CM33" s="58"/>
      <c r="CN33" s="58"/>
      <c r="CO33" s="58"/>
      <c r="CP33" s="58"/>
      <c r="CQ33" s="58"/>
      <c r="CR33" s="58"/>
      <c r="CS33" s="58"/>
      <c r="CT33" s="58"/>
      <c r="CU33" s="58"/>
      <c r="CV33" s="58"/>
      <c r="CW33" s="58"/>
      <c r="CX33" s="58"/>
      <c r="CY33" s="58"/>
      <c r="CZ33" s="58"/>
      <c r="DA33" s="58"/>
      <c r="DB33" s="58"/>
      <c r="DC33" s="58"/>
      <c r="DD33" s="58"/>
      <c r="DE33" s="58"/>
      <c r="DF33" s="58"/>
      <c r="DG33" s="58"/>
      <c r="DH33" s="58"/>
      <c r="DI33" s="58"/>
      <c r="DJ33" s="58"/>
      <c r="DK33" s="107"/>
      <c r="DL33" s="107"/>
      <c r="DM33" s="107"/>
      <c r="DN33" s="107"/>
      <c r="DO33" s="107"/>
      <c r="DP33" s="107"/>
      <c r="DQ33" s="107"/>
      <c r="DR33" s="107"/>
      <c r="DS33" s="107"/>
      <c r="DT33" s="107"/>
      <c r="DU33" s="107"/>
      <c r="DV33" s="107"/>
      <c r="DW33" s="107"/>
      <c r="DX33" s="107"/>
      <c r="DY33" s="107"/>
      <c r="DZ33" s="107"/>
      <c r="EA33" s="107"/>
      <c r="EB33" s="107"/>
      <c r="EC33" s="107"/>
      <c r="ED33" s="107"/>
      <c r="EE33" s="107"/>
      <c r="EF33" s="107"/>
      <c r="EG33" s="107"/>
      <c r="EH33" s="107"/>
      <c r="EI33" s="107"/>
      <c r="EJ33" s="107"/>
      <c r="EK33" s="107"/>
      <c r="EL33" s="107"/>
      <c r="EM33" s="107"/>
      <c r="EN33" s="107"/>
      <c r="EO33" s="107"/>
      <c r="EP33" s="107"/>
      <c r="EQ33" s="107"/>
      <c r="ER33" s="107"/>
      <c r="ES33" s="107"/>
      <c r="ET33" s="107"/>
      <c r="EU33" s="107"/>
      <c r="EV33" s="107"/>
      <c r="EW33" s="107"/>
      <c r="EX33" s="107"/>
      <c r="EY33" s="107"/>
      <c r="EZ33" s="107"/>
      <c r="FA33" s="107"/>
      <c r="FB33" s="107"/>
      <c r="FC33" s="107"/>
      <c r="FD33" s="107"/>
      <c r="FE33" s="107"/>
      <c r="FF33" s="107"/>
      <c r="FG33" s="107"/>
      <c r="FH33" s="107"/>
      <c r="FI33" s="107"/>
      <c r="FJ33" s="107"/>
      <c r="FK33" s="107"/>
      <c r="FL33" s="107"/>
      <c r="FM33" s="107"/>
      <c r="FN33" s="107"/>
      <c r="FO33" s="107"/>
      <c r="FP33" s="107"/>
      <c r="FQ33" s="107"/>
      <c r="FR33" s="107"/>
      <c r="FS33" s="107"/>
      <c r="FT33" s="107"/>
    </row>
    <row r="34" spans="1:176" x14ac:dyDescent="0.25">
      <c r="A34" s="107"/>
      <c r="B34" s="107"/>
      <c r="C34" s="107"/>
      <c r="D34" s="107"/>
      <c r="E34" s="107"/>
      <c r="F34" s="107"/>
      <c r="G34" s="147" t="str">
        <f>IF(_ibpOfflineCondition_,"000000000000564403-1", _xll.EPMOlapMemberO("[PRDID].[].[000000000000564403-1]","","000000000000564403-1","","000"))</f>
        <v>000000000000564403-1</v>
      </c>
      <c r="H34" s="147" t="str">
        <f>IF(_ibpOfflineCondition_,"FGR+ Airband Antique 5/340+40 red MIT", _xll.EPMOlapMemberO("[PRDDESCR].[].[FGR+ Airband Antique 5/340+40 red MIT]","","FGR+ Airband Antique 5/340+40 red MIT","","000"))</f>
        <v>FGR+ Airband Antique 5/340+40 red MIT</v>
      </c>
      <c r="I34" s="147" t="str">
        <f>IF(_ibpOfflineCondition_,"X7", _xll.EPMOlapMemberO("[MRPTYPE].[].[X7]","","X7","","000"))</f>
        <v>X7</v>
      </c>
      <c r="J34" s="147" t="str">
        <f>IF(_ibpOfflineCondition_,"GSCRM Actuals and Future Production", _xll.EPMOlapMemberO("[KEY_FIGURES].[].[ZGSCRMACTUALSPRODUCTION]","","GSCRM Actuals and Future Production","","000"))</f>
        <v>GSCRM Actuals and Future Production</v>
      </c>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107"/>
      <c r="DL34" s="107"/>
      <c r="DM34" s="107"/>
      <c r="DN34" s="107"/>
      <c r="DO34" s="107"/>
      <c r="DP34" s="107"/>
      <c r="DQ34" s="107"/>
      <c r="DR34" s="107"/>
      <c r="DS34" s="107"/>
      <c r="DT34" s="107"/>
      <c r="DU34" s="107"/>
      <c r="DV34" s="107"/>
      <c r="DW34" s="107"/>
      <c r="DX34" s="107"/>
      <c r="DY34" s="107"/>
      <c r="DZ34" s="107"/>
      <c r="EA34" s="107"/>
      <c r="EB34" s="107"/>
      <c r="EC34" s="107"/>
      <c r="ED34" s="107"/>
      <c r="EE34" s="107"/>
      <c r="EF34" s="107"/>
      <c r="EG34" s="107"/>
      <c r="EH34" s="107"/>
      <c r="EI34" s="107"/>
      <c r="EJ34" s="107"/>
      <c r="EK34" s="107"/>
      <c r="EL34" s="107"/>
      <c r="EM34" s="107"/>
      <c r="EN34" s="107"/>
      <c r="EO34" s="107"/>
      <c r="EP34" s="107"/>
      <c r="EQ34" s="107"/>
      <c r="ER34" s="107"/>
      <c r="ES34" s="107"/>
      <c r="ET34" s="107"/>
      <c r="EU34" s="107"/>
      <c r="EV34" s="107"/>
      <c r="EW34" s="107"/>
      <c r="EX34" s="107"/>
      <c r="EY34" s="107"/>
      <c r="EZ34" s="107"/>
      <c r="FA34" s="107"/>
      <c r="FB34" s="107"/>
      <c r="FC34" s="107"/>
      <c r="FD34" s="107"/>
      <c r="FE34" s="107"/>
      <c r="FF34" s="107"/>
      <c r="FG34" s="107"/>
      <c r="FH34" s="107"/>
      <c r="FI34" s="107"/>
      <c r="FJ34" s="107"/>
      <c r="FK34" s="107"/>
      <c r="FL34" s="107"/>
      <c r="FM34" s="107"/>
      <c r="FN34" s="107"/>
      <c r="FO34" s="107"/>
      <c r="FP34" s="107"/>
      <c r="FQ34" s="107"/>
      <c r="FR34" s="107"/>
      <c r="FS34" s="107"/>
      <c r="FT34" s="107"/>
    </row>
    <row r="35" spans="1:176" x14ac:dyDescent="0.25">
      <c r="A35" s="107"/>
      <c r="B35" s="107"/>
      <c r="C35" s="107"/>
      <c r="D35" s="107"/>
      <c r="E35" s="107"/>
      <c r="F35" s="107"/>
      <c r="G35" s="147" t="str">
        <f>IF(_ibpOfflineCondition_,"000000000000564403-1", _xll.EPMOlapMemberO("[PRDID].[].[000000000000564403-1]","","000000000000564403-1","","000"))</f>
        <v>000000000000564403-1</v>
      </c>
      <c r="H35" s="147" t="str">
        <f>IF(_ibpOfflineCondition_,"FGR+ Airband Antique 5/340+40 red MIT", _xll.EPMOlapMemberO("[PRDDESCR].[].[FGR+ Airband Antique 5/340+40 red MIT]","","FGR+ Airband Antique 5/340+40 red MIT","","000"))</f>
        <v>FGR+ Airband Antique 5/340+40 red MIT</v>
      </c>
      <c r="I35" s="147" t="str">
        <f>IF(_ibpOfflineCondition_,"X7", _xll.EPMOlapMemberO("[MRPTYPE].[].[X7]","","X7","","000"))</f>
        <v>X7</v>
      </c>
      <c r="J35" s="147" t="str">
        <f>IF(_ibpOfflineCondition_,"GSCRM Projected Stock (Unconstrained Demand)", _xll.EPMOlapMemberO("[KEY_FIGURES].[].[ZGSCRMUNCONSINVENTORY]","","GSCRM Projected Stock (Unconstrained Demand)","","000"))</f>
        <v>GSCRM Projected Stock (Unconstrained Demand)</v>
      </c>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8"/>
      <c r="BY35" s="58"/>
      <c r="BZ35" s="58"/>
      <c r="CA35" s="58"/>
      <c r="CB35" s="58"/>
      <c r="CC35" s="58"/>
      <c r="CD35" s="58"/>
      <c r="CE35" s="58"/>
      <c r="CF35" s="58"/>
      <c r="CG35" s="58"/>
      <c r="CH35" s="58"/>
      <c r="CI35" s="58"/>
      <c r="CJ35" s="58"/>
      <c r="CK35" s="58"/>
      <c r="CL35" s="58"/>
      <c r="CM35" s="58"/>
      <c r="CN35" s="58"/>
      <c r="CO35" s="58"/>
      <c r="CP35" s="58"/>
      <c r="CQ35" s="58"/>
      <c r="CR35" s="58"/>
      <c r="CS35" s="58"/>
      <c r="CT35" s="58"/>
      <c r="CU35" s="58"/>
      <c r="CV35" s="58"/>
      <c r="CW35" s="58"/>
      <c r="CX35" s="58"/>
      <c r="CY35" s="58"/>
      <c r="CZ35" s="58"/>
      <c r="DA35" s="58"/>
      <c r="DB35" s="58"/>
      <c r="DC35" s="58"/>
      <c r="DD35" s="58"/>
      <c r="DE35" s="58"/>
      <c r="DF35" s="58"/>
      <c r="DG35" s="58"/>
      <c r="DH35" s="58"/>
      <c r="DI35" s="58"/>
      <c r="DJ35" s="58"/>
      <c r="DK35" s="107"/>
      <c r="DL35" s="107"/>
      <c r="DM35" s="107"/>
      <c r="DN35" s="107"/>
      <c r="DO35" s="107"/>
      <c r="DP35" s="107"/>
      <c r="DQ35" s="107"/>
      <c r="DR35" s="107"/>
      <c r="DS35" s="107"/>
      <c r="DT35" s="107"/>
      <c r="DU35" s="107"/>
      <c r="DV35" s="107"/>
      <c r="DW35" s="107"/>
      <c r="DX35" s="107"/>
      <c r="DY35" s="107"/>
      <c r="DZ35" s="107"/>
      <c r="EA35" s="107"/>
      <c r="EB35" s="107"/>
      <c r="EC35" s="107"/>
      <c r="ED35" s="107"/>
      <c r="EE35" s="107"/>
      <c r="EF35" s="107"/>
      <c r="EG35" s="107"/>
      <c r="EH35" s="107"/>
      <c r="EI35" s="107"/>
      <c r="EJ35" s="107"/>
      <c r="EK35" s="107"/>
      <c r="EL35" s="107"/>
      <c r="EM35" s="107"/>
      <c r="EN35" s="107"/>
      <c r="EO35" s="107"/>
      <c r="EP35" s="107"/>
      <c r="EQ35" s="107"/>
      <c r="ER35" s="107"/>
      <c r="ES35" s="107"/>
      <c r="ET35" s="107"/>
      <c r="EU35" s="107"/>
      <c r="EV35" s="107"/>
      <c r="EW35" s="107"/>
      <c r="EX35" s="107"/>
      <c r="EY35" s="107"/>
      <c r="EZ35" s="107"/>
      <c r="FA35" s="107"/>
      <c r="FB35" s="107"/>
      <c r="FC35" s="107"/>
      <c r="FD35" s="107"/>
      <c r="FE35" s="107"/>
      <c r="FF35" s="107"/>
      <c r="FG35" s="107"/>
      <c r="FH35" s="107"/>
      <c r="FI35" s="107"/>
      <c r="FJ35" s="107"/>
      <c r="FK35" s="107"/>
      <c r="FL35" s="107"/>
      <c r="FM35" s="107"/>
      <c r="FN35" s="107"/>
      <c r="FO35" s="107"/>
      <c r="FP35" s="107"/>
      <c r="FQ35" s="107"/>
      <c r="FR35" s="107"/>
      <c r="FS35" s="107"/>
      <c r="FT35" s="107"/>
    </row>
    <row r="36" spans="1:176" x14ac:dyDescent="0.25">
      <c r="A36" s="107"/>
      <c r="B36" s="107"/>
      <c r="C36" s="107"/>
      <c r="D36" s="107"/>
      <c r="E36" s="107"/>
      <c r="F36" s="107"/>
      <c r="G36" s="147" t="str">
        <f>IF(_ibpOfflineCondition_,"000000000000564452-1", _xll.EPMOlapMemberO("[PRDID].[].[000000000000564452-1]","","000000000000564452-1","","000"))</f>
        <v>000000000000564452-1</v>
      </c>
      <c r="H36" s="147" t="str">
        <f>IF(_ibpOfflineCondition_,"FGR+ FigarollPlus 2.75/280+40 anthr MUK", _xll.EPMOlapMemberO("[PRDDESCR].[].[FGR+ FigarollPlus 2.75/280+40 anthr MUK]","","FGR+ FigarollPlus 2.75/280+40 anthr MUK","","000"))</f>
        <v>FGR+ FigarollPlus 2.75/280+40 anthr MUK</v>
      </c>
      <c r="I36" s="147" t="str">
        <f>IF(_ibpOfflineCondition_,"X7", _xll.EPMOlapMemberO("[MRPTYPE].[].[X7]","","X7","","000"))</f>
        <v>X7</v>
      </c>
      <c r="J36" s="147" t="str">
        <f>IF(_ibpOfflineCondition_,"GSCRM Actual Sales and Unconstrained Demand", _xll.EPMOlapMemberO("[KEY_FIGURES].[].[ZGSCRMACTUALUNCONSDEMAND]","","GSCRM Actual Sales and Unconstrained Demand","","000"))</f>
        <v>GSCRM Actual Sales and Unconstrained Demand</v>
      </c>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58"/>
      <c r="BY36" s="58"/>
      <c r="BZ36" s="58"/>
      <c r="CA36" s="58"/>
      <c r="CB36" s="58"/>
      <c r="CC36" s="58"/>
      <c r="CD36" s="58"/>
      <c r="CE36" s="58"/>
      <c r="CF36" s="58"/>
      <c r="CG36" s="58"/>
      <c r="CH36" s="58"/>
      <c r="CI36" s="58"/>
      <c r="CJ36" s="58"/>
      <c r="CK36" s="58"/>
      <c r="CL36" s="58"/>
      <c r="CM36" s="58"/>
      <c r="CN36" s="58"/>
      <c r="CO36" s="58"/>
      <c r="CP36" s="58"/>
      <c r="CQ36" s="58"/>
      <c r="CR36" s="58"/>
      <c r="CS36" s="58"/>
      <c r="CT36" s="58"/>
      <c r="CU36" s="58"/>
      <c r="CV36" s="58"/>
      <c r="CW36" s="58"/>
      <c r="CX36" s="58"/>
      <c r="CY36" s="58"/>
      <c r="CZ36" s="58"/>
      <c r="DA36" s="58"/>
      <c r="DB36" s="58"/>
      <c r="DC36" s="58"/>
      <c r="DD36" s="58"/>
      <c r="DE36" s="58"/>
      <c r="DF36" s="58"/>
      <c r="DG36" s="58"/>
      <c r="DH36" s="58"/>
      <c r="DI36" s="58"/>
      <c r="DJ36" s="58"/>
      <c r="DK36" s="107"/>
      <c r="DL36" s="107"/>
      <c r="DM36" s="107"/>
      <c r="DN36" s="107"/>
      <c r="DO36" s="107"/>
      <c r="DP36" s="107"/>
      <c r="DQ36" s="107"/>
      <c r="DR36" s="107"/>
      <c r="DS36" s="107"/>
      <c r="DT36" s="107"/>
      <c r="DU36" s="107"/>
      <c r="DV36" s="107"/>
      <c r="DW36" s="107"/>
      <c r="DX36" s="107"/>
      <c r="DY36" s="107"/>
      <c r="DZ36" s="107"/>
      <c r="EA36" s="107"/>
      <c r="EB36" s="107"/>
      <c r="EC36" s="107"/>
      <c r="ED36" s="107"/>
      <c r="EE36" s="107"/>
      <c r="EF36" s="107"/>
      <c r="EG36" s="107"/>
      <c r="EH36" s="107"/>
      <c r="EI36" s="107"/>
      <c r="EJ36" s="107"/>
      <c r="EK36" s="107"/>
      <c r="EL36" s="107"/>
      <c r="EM36" s="107"/>
      <c r="EN36" s="107"/>
      <c r="EO36" s="107"/>
      <c r="EP36" s="107"/>
      <c r="EQ36" s="107"/>
      <c r="ER36" s="107"/>
      <c r="ES36" s="107"/>
      <c r="ET36" s="107"/>
      <c r="EU36" s="107"/>
      <c r="EV36" s="107"/>
      <c r="EW36" s="107"/>
      <c r="EX36" s="107"/>
      <c r="EY36" s="107"/>
      <c r="EZ36" s="107"/>
      <c r="FA36" s="107"/>
      <c r="FB36" s="107"/>
      <c r="FC36" s="107"/>
      <c r="FD36" s="107"/>
      <c r="FE36" s="107"/>
      <c r="FF36" s="107"/>
      <c r="FG36" s="107"/>
      <c r="FH36" s="107"/>
      <c r="FI36" s="107"/>
      <c r="FJ36" s="107"/>
      <c r="FK36" s="107"/>
      <c r="FL36" s="107"/>
      <c r="FM36" s="107"/>
      <c r="FN36" s="107"/>
      <c r="FO36" s="107"/>
      <c r="FP36" s="107"/>
      <c r="FQ36" s="107"/>
      <c r="FR36" s="107"/>
      <c r="FS36" s="107"/>
      <c r="FT36" s="107"/>
    </row>
    <row r="37" spans="1:176" x14ac:dyDescent="0.25">
      <c r="A37" s="107"/>
      <c r="B37" s="107"/>
      <c r="C37" s="107"/>
      <c r="D37" s="107"/>
      <c r="E37" s="107"/>
      <c r="F37" s="107"/>
      <c r="G37" s="147" t="str">
        <f>IF(_ibpOfflineCondition_,"000000000000564452-1", _xll.EPMOlapMemberO("[PRDID].[].[000000000000564452-1]","","000000000000564452-1","","000"))</f>
        <v>000000000000564452-1</v>
      </c>
      <c r="H37" s="147" t="str">
        <f>IF(_ibpOfflineCondition_,"FGR+ FigarollPlus 2.75/280+40 anthr MUK", _xll.EPMOlapMemberO("[PRDDESCR].[].[FGR+ FigarollPlus 2.75/280+40 anthr MUK]","","FGR+ FigarollPlus 2.75/280+40 anthr MUK","","000"))</f>
        <v>FGR+ FigarollPlus 2.75/280+40 anthr MUK</v>
      </c>
      <c r="I37" s="147" t="str">
        <f>IF(_ibpOfflineCondition_,"X7", _xll.EPMOlapMemberO("[MRPTYPE].[].[X7]","","X7","","000"))</f>
        <v>X7</v>
      </c>
      <c r="J37" s="147" t="str">
        <f>IF(_ibpOfflineCondition_,"GSCRM Actuals and Future Production", _xll.EPMOlapMemberO("[KEY_FIGURES].[].[ZGSCRMACTUALSPRODUCTION]","","GSCRM Actuals and Future Production","","000"))</f>
        <v>GSCRM Actuals and Future Production</v>
      </c>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c r="BA37" s="58"/>
      <c r="BB37" s="58"/>
      <c r="BC37" s="58"/>
      <c r="BD37" s="58"/>
      <c r="BE37" s="58"/>
      <c r="BF37" s="58"/>
      <c r="BG37" s="58"/>
      <c r="BH37" s="58"/>
      <c r="BI37" s="58"/>
      <c r="BJ37" s="58"/>
      <c r="BK37" s="58"/>
      <c r="BL37" s="58"/>
      <c r="BM37" s="58"/>
      <c r="BN37" s="58"/>
      <c r="BO37" s="58"/>
      <c r="BP37" s="58"/>
      <c r="BQ37" s="58"/>
      <c r="BR37" s="58"/>
      <c r="BS37" s="58"/>
      <c r="BT37" s="58"/>
      <c r="BU37" s="58"/>
      <c r="BV37" s="58"/>
      <c r="BW37" s="58"/>
      <c r="BX37" s="58"/>
      <c r="BY37" s="58"/>
      <c r="BZ37" s="58"/>
      <c r="CA37" s="58"/>
      <c r="CB37" s="58"/>
      <c r="CC37" s="58"/>
      <c r="CD37" s="58"/>
      <c r="CE37" s="58"/>
      <c r="CF37" s="58"/>
      <c r="CG37" s="58"/>
      <c r="CH37" s="58"/>
      <c r="CI37" s="58"/>
      <c r="CJ37" s="58"/>
      <c r="CK37" s="58"/>
      <c r="CL37" s="58"/>
      <c r="CM37" s="58"/>
      <c r="CN37" s="58"/>
      <c r="CO37" s="58"/>
      <c r="CP37" s="58"/>
      <c r="CQ37" s="58"/>
      <c r="CR37" s="58"/>
      <c r="CS37" s="58"/>
      <c r="CT37" s="58"/>
      <c r="CU37" s="58"/>
      <c r="CV37" s="58"/>
      <c r="CW37" s="58"/>
      <c r="CX37" s="58"/>
      <c r="CY37" s="58"/>
      <c r="CZ37" s="58"/>
      <c r="DA37" s="58"/>
      <c r="DB37" s="58"/>
      <c r="DC37" s="58"/>
      <c r="DD37" s="58"/>
      <c r="DE37" s="58"/>
      <c r="DF37" s="58"/>
      <c r="DG37" s="58"/>
      <c r="DH37" s="58"/>
      <c r="DI37" s="58"/>
      <c r="DJ37" s="58"/>
      <c r="DK37" s="107"/>
      <c r="DL37" s="107"/>
      <c r="DM37" s="107"/>
      <c r="DN37" s="107"/>
      <c r="DO37" s="107"/>
      <c r="DP37" s="107"/>
      <c r="DQ37" s="107"/>
      <c r="DR37" s="107"/>
      <c r="DS37" s="107"/>
      <c r="DT37" s="107"/>
      <c r="DU37" s="107"/>
      <c r="DV37" s="107"/>
      <c r="DW37" s="107"/>
      <c r="DX37" s="107"/>
      <c r="DY37" s="107"/>
      <c r="DZ37" s="107"/>
      <c r="EA37" s="107"/>
      <c r="EB37" s="107"/>
      <c r="EC37" s="107"/>
      <c r="ED37" s="107"/>
      <c r="EE37" s="107"/>
      <c r="EF37" s="107"/>
      <c r="EG37" s="107"/>
      <c r="EH37" s="107"/>
      <c r="EI37" s="107"/>
      <c r="EJ37" s="107"/>
      <c r="EK37" s="107"/>
      <c r="EL37" s="107"/>
      <c r="EM37" s="107"/>
      <c r="EN37" s="107"/>
      <c r="EO37" s="107"/>
      <c r="EP37" s="107"/>
      <c r="EQ37" s="107"/>
      <c r="ER37" s="107"/>
      <c r="ES37" s="107"/>
      <c r="ET37" s="107"/>
      <c r="EU37" s="107"/>
      <c r="EV37" s="107"/>
      <c r="EW37" s="107"/>
      <c r="EX37" s="107"/>
      <c r="EY37" s="107"/>
      <c r="EZ37" s="107"/>
      <c r="FA37" s="107"/>
      <c r="FB37" s="107"/>
      <c r="FC37" s="107"/>
      <c r="FD37" s="107"/>
      <c r="FE37" s="107"/>
      <c r="FF37" s="107"/>
      <c r="FG37" s="107"/>
      <c r="FH37" s="107"/>
      <c r="FI37" s="107"/>
      <c r="FJ37" s="107"/>
      <c r="FK37" s="107"/>
      <c r="FL37" s="107"/>
      <c r="FM37" s="107"/>
      <c r="FN37" s="107"/>
      <c r="FO37" s="107"/>
      <c r="FP37" s="107"/>
      <c r="FQ37" s="107"/>
      <c r="FR37" s="107"/>
      <c r="FS37" s="107"/>
      <c r="FT37" s="107"/>
    </row>
    <row r="38" spans="1:176" x14ac:dyDescent="0.25">
      <c r="A38" s="107"/>
      <c r="B38" s="107"/>
      <c r="C38" s="107"/>
      <c r="D38" s="107"/>
      <c r="E38" s="107"/>
      <c r="F38" s="107"/>
      <c r="G38" s="147" t="str">
        <f>IF(_ibpOfflineCondition_,"000000000000564452-1", _xll.EPMOlapMemberO("[PRDID].[].[000000000000564452-1]","","000000000000564452-1","","000"))</f>
        <v>000000000000564452-1</v>
      </c>
      <c r="H38" s="147" t="str">
        <f>IF(_ibpOfflineCondition_,"FGR+ FigarollPlus 2.75/280+40 anthr MUK", _xll.EPMOlapMemberO("[PRDDESCR].[].[FGR+ FigarollPlus 2.75/280+40 anthr MUK]","","FGR+ FigarollPlus 2.75/280+40 anthr MUK","","000"))</f>
        <v>FGR+ FigarollPlus 2.75/280+40 anthr MUK</v>
      </c>
      <c r="I38" s="147" t="str">
        <f>IF(_ibpOfflineCondition_,"X7", _xll.EPMOlapMemberO("[MRPTYPE].[].[X7]","","X7","","000"))</f>
        <v>X7</v>
      </c>
      <c r="J38" s="147" t="str">
        <f>IF(_ibpOfflineCondition_,"GSCRM Projected Stock (Unconstrained Demand)", _xll.EPMOlapMemberO("[KEY_FIGURES].[].[ZGSCRMUNCONSINVENTORY]","","GSCRM Projected Stock (Unconstrained Demand)","","000"))</f>
        <v>GSCRM Projected Stock (Unconstrained Demand)</v>
      </c>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c r="BA38" s="58"/>
      <c r="BB38" s="58"/>
      <c r="BC38" s="58"/>
      <c r="BD38" s="58"/>
      <c r="BE38" s="58"/>
      <c r="BF38" s="58"/>
      <c r="BG38" s="58"/>
      <c r="BH38" s="58"/>
      <c r="BI38" s="58"/>
      <c r="BJ38" s="58"/>
      <c r="BK38" s="58"/>
      <c r="BL38" s="58"/>
      <c r="BM38" s="58"/>
      <c r="BN38" s="58"/>
      <c r="BO38" s="58"/>
      <c r="BP38" s="58"/>
      <c r="BQ38" s="58"/>
      <c r="BR38" s="58"/>
      <c r="BS38" s="58"/>
      <c r="BT38" s="58"/>
      <c r="BU38" s="58"/>
      <c r="BV38" s="58"/>
      <c r="BW38" s="58"/>
      <c r="BX38" s="58"/>
      <c r="BY38" s="58"/>
      <c r="BZ38" s="58"/>
      <c r="CA38" s="58"/>
      <c r="CB38" s="58"/>
      <c r="CC38" s="58"/>
      <c r="CD38" s="58"/>
      <c r="CE38" s="58"/>
      <c r="CF38" s="58"/>
      <c r="CG38" s="58"/>
      <c r="CH38" s="58"/>
      <c r="CI38" s="58"/>
      <c r="CJ38" s="58"/>
      <c r="CK38" s="58"/>
      <c r="CL38" s="58"/>
      <c r="CM38" s="58"/>
      <c r="CN38" s="58"/>
      <c r="CO38" s="58"/>
      <c r="CP38" s="58"/>
      <c r="CQ38" s="58"/>
      <c r="CR38" s="58"/>
      <c r="CS38" s="58"/>
      <c r="CT38" s="58"/>
      <c r="CU38" s="58"/>
      <c r="CV38" s="58"/>
      <c r="CW38" s="58"/>
      <c r="CX38" s="58"/>
      <c r="CY38" s="58"/>
      <c r="CZ38" s="58"/>
      <c r="DA38" s="58"/>
      <c r="DB38" s="58"/>
      <c r="DC38" s="58"/>
      <c r="DD38" s="58"/>
      <c r="DE38" s="58"/>
      <c r="DF38" s="58"/>
      <c r="DG38" s="58"/>
      <c r="DH38" s="58"/>
      <c r="DI38" s="58"/>
      <c r="DJ38" s="58"/>
      <c r="DK38" s="107"/>
      <c r="DL38" s="107"/>
      <c r="DM38" s="107"/>
      <c r="DN38" s="107"/>
      <c r="DO38" s="107"/>
      <c r="DP38" s="107"/>
      <c r="DQ38" s="107"/>
      <c r="DR38" s="107"/>
      <c r="DS38" s="107"/>
      <c r="DT38" s="107"/>
      <c r="DU38" s="107"/>
      <c r="DV38" s="107"/>
      <c r="DW38" s="107"/>
      <c r="DX38" s="107"/>
      <c r="DY38" s="107"/>
      <c r="DZ38" s="107"/>
      <c r="EA38" s="107"/>
      <c r="EB38" s="107"/>
      <c r="EC38" s="107"/>
      <c r="ED38" s="107"/>
      <c r="EE38" s="107"/>
      <c r="EF38" s="107"/>
      <c r="EG38" s="107"/>
      <c r="EH38" s="107"/>
      <c r="EI38" s="107"/>
      <c r="EJ38" s="107"/>
      <c r="EK38" s="107"/>
      <c r="EL38" s="107"/>
      <c r="EM38" s="107"/>
      <c r="EN38" s="107"/>
      <c r="EO38" s="107"/>
      <c r="EP38" s="107"/>
      <c r="EQ38" s="107"/>
      <c r="ER38" s="107"/>
      <c r="ES38" s="107"/>
      <c r="ET38" s="107"/>
      <c r="EU38" s="107"/>
      <c r="EV38" s="107"/>
      <c r="EW38" s="107"/>
      <c r="EX38" s="107"/>
      <c r="EY38" s="107"/>
      <c r="EZ38" s="107"/>
      <c r="FA38" s="107"/>
      <c r="FB38" s="107"/>
      <c r="FC38" s="107"/>
      <c r="FD38" s="107"/>
      <c r="FE38" s="107"/>
      <c r="FF38" s="107"/>
      <c r="FG38" s="107"/>
      <c r="FH38" s="107"/>
      <c r="FI38" s="107"/>
      <c r="FJ38" s="107"/>
      <c r="FK38" s="107"/>
      <c r="FL38" s="107"/>
      <c r="FM38" s="107"/>
      <c r="FN38" s="107"/>
      <c r="FO38" s="107"/>
      <c r="FP38" s="107"/>
      <c r="FQ38" s="107"/>
      <c r="FR38" s="107"/>
      <c r="FS38" s="107"/>
      <c r="FT38" s="107"/>
    </row>
    <row r="39" spans="1:176" x14ac:dyDescent="0.25">
      <c r="A39" s="107"/>
      <c r="B39" s="107"/>
      <c r="C39" s="107"/>
      <c r="D39" s="107"/>
      <c r="E39" s="107"/>
      <c r="F39" s="107"/>
      <c r="G39" s="147" t="str">
        <f>IF(_ibpOfflineCondition_,"000000000000564462-1", _xll.EPMOlapMemberO("[PRDID].[].[000000000000564462-1]","","000000000000564462-1","","000"))</f>
        <v>000000000000564462-1</v>
      </c>
      <c r="H39" s="147" t="str">
        <f>IF(_ibpOfflineCondition_,"FGR+ CPAC 12.3/280+40 anthr ATLM WB", _xll.EPMOlapMemberO("[PRDDESCR].[].[FGR+ CPAC 12.3/280+40 anthr ATLM WB]","","FGR+ CPAC 12.3/280+40 anthr ATLM WB","","000"))</f>
        <v>FGR+ CPAC 12.3/280+40 anthr ATLM WB</v>
      </c>
      <c r="I39" s="147" t="str">
        <f>IF(_ibpOfflineCondition_,"ND", _xll.EPMOlapMemberO("[MRPTYPE].[].[ND]","","ND","","000"))</f>
        <v>ND</v>
      </c>
      <c r="J39" s="147" t="str">
        <f>IF(_ibpOfflineCondition_,"GSCRM Actual Sales and Unconstrained Demand", _xll.EPMOlapMemberO("[KEY_FIGURES].[].[ZGSCRMACTUALUNCONSDEMAND]","","GSCRM Actual Sales and Unconstrained Demand","","000"))</f>
        <v>GSCRM Actual Sales and Unconstrained Demand</v>
      </c>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c r="BA39" s="58"/>
      <c r="BB39" s="58"/>
      <c r="BC39" s="58"/>
      <c r="BD39" s="58"/>
      <c r="BE39" s="58"/>
      <c r="BF39" s="58"/>
      <c r="BG39" s="58"/>
      <c r="BH39" s="58"/>
      <c r="BI39" s="58"/>
      <c r="BJ39" s="58"/>
      <c r="BK39" s="58"/>
      <c r="BL39" s="58"/>
      <c r="BM39" s="58"/>
      <c r="BN39" s="58"/>
      <c r="BO39" s="58"/>
      <c r="BP39" s="58"/>
      <c r="BQ39" s="58"/>
      <c r="BR39" s="58"/>
      <c r="BS39" s="58"/>
      <c r="BT39" s="58"/>
      <c r="BU39" s="58"/>
      <c r="BV39" s="58"/>
      <c r="BW39" s="58"/>
      <c r="BX39" s="58"/>
      <c r="BY39" s="58"/>
      <c r="BZ39" s="58"/>
      <c r="CA39" s="58"/>
      <c r="CB39" s="58"/>
      <c r="CC39" s="58"/>
      <c r="CD39" s="58"/>
      <c r="CE39" s="58"/>
      <c r="CF39" s="58"/>
      <c r="CG39" s="58"/>
      <c r="CH39" s="58"/>
      <c r="CI39" s="58"/>
      <c r="CJ39" s="58"/>
      <c r="CK39" s="58"/>
      <c r="CL39" s="58"/>
      <c r="CM39" s="58"/>
      <c r="CN39" s="58"/>
      <c r="CO39" s="58"/>
      <c r="CP39" s="58"/>
      <c r="CQ39" s="58"/>
      <c r="CR39" s="58"/>
      <c r="CS39" s="58"/>
      <c r="CT39" s="58"/>
      <c r="CU39" s="58"/>
      <c r="CV39" s="58"/>
      <c r="CW39" s="58"/>
      <c r="CX39" s="58"/>
      <c r="CY39" s="58"/>
      <c r="CZ39" s="58"/>
      <c r="DA39" s="58"/>
      <c r="DB39" s="58"/>
      <c r="DC39" s="58"/>
      <c r="DD39" s="58"/>
      <c r="DE39" s="58"/>
      <c r="DF39" s="58"/>
      <c r="DG39" s="58"/>
      <c r="DH39" s="58"/>
      <c r="DI39" s="58"/>
      <c r="DJ39" s="58"/>
      <c r="DK39" s="107"/>
      <c r="DL39" s="107"/>
      <c r="DM39" s="107"/>
      <c r="DN39" s="107"/>
      <c r="DO39" s="107"/>
      <c r="DP39" s="107"/>
      <c r="DQ39" s="107"/>
      <c r="DR39" s="107"/>
      <c r="DS39" s="107"/>
      <c r="DT39" s="107"/>
      <c r="DU39" s="107"/>
      <c r="DV39" s="107"/>
      <c r="DW39" s="107"/>
      <c r="DX39" s="107"/>
      <c r="DY39" s="107"/>
      <c r="DZ39" s="107"/>
      <c r="EA39" s="107"/>
      <c r="EB39" s="107"/>
      <c r="EC39" s="107"/>
      <c r="ED39" s="107"/>
      <c r="EE39" s="107"/>
      <c r="EF39" s="107"/>
      <c r="EG39" s="107"/>
      <c r="EH39" s="107"/>
      <c r="EI39" s="107"/>
      <c r="EJ39" s="107"/>
      <c r="EK39" s="107"/>
      <c r="EL39" s="107"/>
      <c r="EM39" s="107"/>
      <c r="EN39" s="107"/>
      <c r="EO39" s="107"/>
      <c r="EP39" s="107"/>
      <c r="EQ39" s="107"/>
      <c r="ER39" s="107"/>
      <c r="ES39" s="107"/>
      <c r="ET39" s="107"/>
      <c r="EU39" s="107"/>
      <c r="EV39" s="107"/>
      <c r="EW39" s="107"/>
      <c r="EX39" s="107"/>
      <c r="EY39" s="107"/>
      <c r="EZ39" s="107"/>
      <c r="FA39" s="107"/>
      <c r="FB39" s="107"/>
      <c r="FC39" s="107"/>
      <c r="FD39" s="107"/>
      <c r="FE39" s="107"/>
      <c r="FF39" s="107"/>
      <c r="FG39" s="107"/>
      <c r="FH39" s="107"/>
      <c r="FI39" s="107"/>
      <c r="FJ39" s="107"/>
      <c r="FK39" s="107"/>
      <c r="FL39" s="107"/>
      <c r="FM39" s="107"/>
      <c r="FN39" s="107"/>
      <c r="FO39" s="107"/>
      <c r="FP39" s="107"/>
      <c r="FQ39" s="107"/>
      <c r="FR39" s="107"/>
      <c r="FS39" s="107"/>
      <c r="FT39" s="107"/>
    </row>
    <row r="40" spans="1:176" x14ac:dyDescent="0.25">
      <c r="A40" s="107"/>
      <c r="B40" s="107"/>
      <c r="C40" s="107"/>
      <c r="D40" s="107"/>
      <c r="E40" s="107"/>
      <c r="F40" s="107"/>
      <c r="G40" s="147" t="str">
        <f>IF(_ibpOfflineCondition_,"000000000000564462-1", _xll.EPMOlapMemberO("[PRDID].[].[000000000000564462-1]","","000000000000564462-1","","000"))</f>
        <v>000000000000564462-1</v>
      </c>
      <c r="H40" s="147" t="str">
        <f>IF(_ibpOfflineCondition_,"FGR+ CPAC 12.3/280+40 anthr ATLM WB", _xll.EPMOlapMemberO("[PRDDESCR].[].[FGR+ CPAC 12.3/280+40 anthr ATLM WB]","","FGR+ CPAC 12.3/280+40 anthr ATLM WB","","000"))</f>
        <v>FGR+ CPAC 12.3/280+40 anthr ATLM WB</v>
      </c>
      <c r="I40" s="147" t="str">
        <f>IF(_ibpOfflineCondition_,"ND", _xll.EPMOlapMemberO("[MRPTYPE].[].[ND]","","ND","","000"))</f>
        <v>ND</v>
      </c>
      <c r="J40" s="147" t="str">
        <f>IF(_ibpOfflineCondition_,"GSCRM Actuals and Future Production", _xll.EPMOlapMemberO("[KEY_FIGURES].[].[ZGSCRMACTUALSPRODUCTION]","","GSCRM Actuals and Future Production","","000"))</f>
        <v>GSCRM Actuals and Future Production</v>
      </c>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c r="BM40" s="58"/>
      <c r="BN40" s="58"/>
      <c r="BO40" s="58"/>
      <c r="BP40" s="58"/>
      <c r="BQ40" s="58"/>
      <c r="BR40" s="58"/>
      <c r="BS40" s="58"/>
      <c r="BT40" s="58"/>
      <c r="BU40" s="58"/>
      <c r="BV40" s="58"/>
      <c r="BW40" s="58"/>
      <c r="BX40" s="58"/>
      <c r="BY40" s="58"/>
      <c r="BZ40" s="58"/>
      <c r="CA40" s="58"/>
      <c r="CB40" s="58"/>
      <c r="CC40" s="58"/>
      <c r="CD40" s="58"/>
      <c r="CE40" s="58"/>
      <c r="CF40" s="58"/>
      <c r="CG40" s="58"/>
      <c r="CH40" s="58"/>
      <c r="CI40" s="58"/>
      <c r="CJ40" s="58"/>
      <c r="CK40" s="58"/>
      <c r="CL40" s="58"/>
      <c r="CM40" s="58"/>
      <c r="CN40" s="58"/>
      <c r="CO40" s="58"/>
      <c r="CP40" s="58"/>
      <c r="CQ40" s="58"/>
      <c r="CR40" s="58"/>
      <c r="CS40" s="58"/>
      <c r="CT40" s="58"/>
      <c r="CU40" s="58"/>
      <c r="CV40" s="58"/>
      <c r="CW40" s="58"/>
      <c r="CX40" s="58"/>
      <c r="CY40" s="58"/>
      <c r="CZ40" s="58"/>
      <c r="DA40" s="58"/>
      <c r="DB40" s="58"/>
      <c r="DC40" s="58"/>
      <c r="DD40" s="58"/>
      <c r="DE40" s="58"/>
      <c r="DF40" s="58"/>
      <c r="DG40" s="58"/>
      <c r="DH40" s="58"/>
      <c r="DI40" s="58"/>
      <c r="DJ40" s="58"/>
      <c r="DK40" s="107"/>
      <c r="DL40" s="107"/>
      <c r="DM40" s="107"/>
      <c r="DN40" s="107"/>
      <c r="DO40" s="107"/>
      <c r="DP40" s="107"/>
      <c r="DQ40" s="107"/>
      <c r="DR40" s="107"/>
      <c r="DS40" s="107"/>
      <c r="DT40" s="107"/>
      <c r="DU40" s="107"/>
      <c r="DV40" s="107"/>
      <c r="DW40" s="107"/>
      <c r="DX40" s="107"/>
      <c r="DY40" s="107"/>
      <c r="DZ40" s="107"/>
      <c r="EA40" s="107"/>
      <c r="EB40" s="107"/>
      <c r="EC40" s="107"/>
      <c r="ED40" s="107"/>
      <c r="EE40" s="107"/>
      <c r="EF40" s="107"/>
      <c r="EG40" s="107"/>
      <c r="EH40" s="107"/>
      <c r="EI40" s="107"/>
      <c r="EJ40" s="107"/>
      <c r="EK40" s="107"/>
      <c r="EL40" s="107"/>
      <c r="EM40" s="107"/>
      <c r="EN40" s="107"/>
      <c r="EO40" s="107"/>
      <c r="EP40" s="107"/>
      <c r="EQ40" s="107"/>
      <c r="ER40" s="107"/>
      <c r="ES40" s="107"/>
      <c r="ET40" s="107"/>
      <c r="EU40" s="107"/>
      <c r="EV40" s="107"/>
      <c r="EW40" s="107"/>
      <c r="EX40" s="107"/>
      <c r="EY40" s="107"/>
      <c r="EZ40" s="107"/>
      <c r="FA40" s="107"/>
      <c r="FB40" s="107"/>
      <c r="FC40" s="107"/>
      <c r="FD40" s="107"/>
      <c r="FE40" s="107"/>
      <c r="FF40" s="107"/>
      <c r="FG40" s="107"/>
      <c r="FH40" s="107"/>
      <c r="FI40" s="107"/>
      <c r="FJ40" s="107"/>
      <c r="FK40" s="107"/>
      <c r="FL40" s="107"/>
      <c r="FM40" s="107"/>
      <c r="FN40" s="107"/>
      <c r="FO40" s="107"/>
      <c r="FP40" s="107"/>
      <c r="FQ40" s="107"/>
      <c r="FR40" s="107"/>
      <c r="FS40" s="107"/>
      <c r="FT40" s="107"/>
    </row>
    <row r="41" spans="1:176" x14ac:dyDescent="0.25">
      <c r="A41" s="107"/>
      <c r="B41" s="107"/>
      <c r="C41" s="107"/>
      <c r="D41" s="107"/>
      <c r="E41" s="107"/>
      <c r="F41" s="107"/>
      <c r="G41" s="147" t="str">
        <f>IF(_ibpOfflineCondition_,"000000000000564462-1", _xll.EPMOlapMemberO("[PRDID].[].[000000000000564462-1]","","000000000000564462-1","","000"))</f>
        <v>000000000000564462-1</v>
      </c>
      <c r="H41" s="147" t="str">
        <f>IF(_ibpOfflineCondition_,"FGR+ CPAC 12.3/280+40 anthr ATLM WB", _xll.EPMOlapMemberO("[PRDDESCR].[].[FGR+ CPAC 12.3/280+40 anthr ATLM WB]","","FGR+ CPAC 12.3/280+40 anthr ATLM WB","","000"))</f>
        <v>FGR+ CPAC 12.3/280+40 anthr ATLM WB</v>
      </c>
      <c r="I41" s="147" t="str">
        <f>IF(_ibpOfflineCondition_,"ND", _xll.EPMOlapMemberO("[MRPTYPE].[].[ND]","","ND","","000"))</f>
        <v>ND</v>
      </c>
      <c r="J41" s="147" t="str">
        <f>IF(_ibpOfflineCondition_,"GSCRM Projected Stock (Unconstrained Demand)", _xll.EPMOlapMemberO("[KEY_FIGURES].[].[ZGSCRMUNCONSINVENTORY]","","GSCRM Projected Stock (Unconstrained Demand)","","000"))</f>
        <v>GSCRM Projected Stock (Unconstrained Demand)</v>
      </c>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c r="BA41" s="58"/>
      <c r="BB41" s="58"/>
      <c r="BC41" s="58"/>
      <c r="BD41" s="58"/>
      <c r="BE41" s="58"/>
      <c r="BF41" s="58"/>
      <c r="BG41" s="58"/>
      <c r="BH41" s="58"/>
      <c r="BI41" s="58"/>
      <c r="BJ41" s="58"/>
      <c r="BK41" s="58"/>
      <c r="BL41" s="58"/>
      <c r="BM41" s="58"/>
      <c r="BN41" s="58"/>
      <c r="BO41" s="58"/>
      <c r="BP41" s="58"/>
      <c r="BQ41" s="58"/>
      <c r="BR41" s="58"/>
      <c r="BS41" s="58"/>
      <c r="BT41" s="58"/>
      <c r="BU41" s="58"/>
      <c r="BV41" s="58"/>
      <c r="BW41" s="58"/>
      <c r="BX41" s="58"/>
      <c r="BY41" s="58"/>
      <c r="BZ41" s="58"/>
      <c r="CA41" s="58"/>
      <c r="CB41" s="58"/>
      <c r="CC41" s="58"/>
      <c r="CD41" s="58"/>
      <c r="CE41" s="58"/>
      <c r="CF41" s="58"/>
      <c r="CG41" s="58"/>
      <c r="CH41" s="58"/>
      <c r="CI41" s="58"/>
      <c r="CJ41" s="58"/>
      <c r="CK41" s="58"/>
      <c r="CL41" s="58"/>
      <c r="CM41" s="58"/>
      <c r="CN41" s="58"/>
      <c r="CO41" s="58"/>
      <c r="CP41" s="58"/>
      <c r="CQ41" s="58"/>
      <c r="CR41" s="58"/>
      <c r="CS41" s="58"/>
      <c r="CT41" s="58"/>
      <c r="CU41" s="58"/>
      <c r="CV41" s="58"/>
      <c r="CW41" s="58"/>
      <c r="CX41" s="58"/>
      <c r="CY41" s="58"/>
      <c r="CZ41" s="58"/>
      <c r="DA41" s="58"/>
      <c r="DB41" s="58"/>
      <c r="DC41" s="58"/>
      <c r="DD41" s="58"/>
      <c r="DE41" s="58"/>
      <c r="DF41" s="58"/>
      <c r="DG41" s="58"/>
      <c r="DH41" s="58"/>
      <c r="DI41" s="58"/>
      <c r="DJ41" s="58"/>
      <c r="DK41" s="107"/>
      <c r="DL41" s="107"/>
      <c r="DM41" s="107"/>
      <c r="DN41" s="107"/>
      <c r="DO41" s="107"/>
      <c r="DP41" s="107"/>
      <c r="DQ41" s="107"/>
      <c r="DR41" s="107"/>
      <c r="DS41" s="107"/>
      <c r="DT41" s="107"/>
      <c r="DU41" s="107"/>
      <c r="DV41" s="107"/>
      <c r="DW41" s="107"/>
      <c r="DX41" s="107"/>
      <c r="DY41" s="107"/>
      <c r="DZ41" s="107"/>
      <c r="EA41" s="107"/>
      <c r="EB41" s="107"/>
      <c r="EC41" s="107"/>
      <c r="ED41" s="107"/>
      <c r="EE41" s="107"/>
      <c r="EF41" s="107"/>
      <c r="EG41" s="107"/>
      <c r="EH41" s="107"/>
      <c r="EI41" s="107"/>
      <c r="EJ41" s="107"/>
      <c r="EK41" s="107"/>
      <c r="EL41" s="107"/>
      <c r="EM41" s="107"/>
      <c r="EN41" s="107"/>
      <c r="EO41" s="107"/>
      <c r="EP41" s="107"/>
      <c r="EQ41" s="107"/>
      <c r="ER41" s="107"/>
      <c r="ES41" s="107"/>
      <c r="ET41" s="107"/>
      <c r="EU41" s="107"/>
      <c r="EV41" s="107"/>
      <c r="EW41" s="107"/>
      <c r="EX41" s="107"/>
      <c r="EY41" s="107"/>
      <c r="EZ41" s="107"/>
      <c r="FA41" s="107"/>
      <c r="FB41" s="107"/>
      <c r="FC41" s="107"/>
      <c r="FD41" s="107"/>
      <c r="FE41" s="107"/>
      <c r="FF41" s="107"/>
      <c r="FG41" s="107"/>
      <c r="FH41" s="107"/>
      <c r="FI41" s="107"/>
      <c r="FJ41" s="107"/>
      <c r="FK41" s="107"/>
      <c r="FL41" s="107"/>
      <c r="FM41" s="107"/>
      <c r="FN41" s="107"/>
      <c r="FO41" s="107"/>
      <c r="FP41" s="107"/>
      <c r="FQ41" s="107"/>
      <c r="FR41" s="107"/>
      <c r="FS41" s="107"/>
      <c r="FT41" s="107"/>
    </row>
    <row r="42" spans="1:176" x14ac:dyDescent="0.25">
      <c r="A42" s="107"/>
      <c r="B42" s="107"/>
      <c r="C42" s="107"/>
      <c r="D42" s="107"/>
      <c r="E42" s="107"/>
      <c r="F42" s="107"/>
      <c r="G42" s="147" t="str">
        <f>IF(_ibpOfflineCondition_,"000000000000564471-1", _xll.EPMOlapMemberO("[PRDID].[].[000000000000564471-1]","","000000000000564471-1","","000"))</f>
        <v>000000000000564471-1</v>
      </c>
      <c r="H42" s="147" t="str">
        <f>IF(_ibpOfflineCondition_,"FGR+ FIG.PLUS 12/280+40 BROWN ATLM WB", _xll.EPMOlapMemberO("[PRDDESCR].[].[FGR+ FIG.PLUS 12/280+40 BROWN ATLM WB]","","FGR+ FIG.PLUS 12/280+40 BROWN ATLM WB","","000"))</f>
        <v>FGR+ FIG.PLUS 12/280+40 BROWN ATLM WB</v>
      </c>
      <c r="I42" s="147" t="str">
        <f>IF(_ibpOfflineCondition_,"X7", _xll.EPMOlapMemberO("[MRPTYPE].[].[X7]","","X7","","000"))</f>
        <v>X7</v>
      </c>
      <c r="J42" s="147" t="str">
        <f>IF(_ibpOfflineCondition_,"GSCRM Actual Sales and Unconstrained Demand", _xll.EPMOlapMemberO("[KEY_FIGURES].[].[ZGSCRMACTUALUNCONSDEMAND]","","GSCRM Actual Sales and Unconstrained Demand","","000"))</f>
        <v>GSCRM Actual Sales and Unconstrained Demand</v>
      </c>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c r="BA42" s="58"/>
      <c r="BB42" s="58"/>
      <c r="BC42" s="58"/>
      <c r="BD42" s="58"/>
      <c r="BE42" s="58"/>
      <c r="BF42" s="58"/>
      <c r="BG42" s="58"/>
      <c r="BH42" s="58"/>
      <c r="BI42" s="58"/>
      <c r="BJ42" s="58"/>
      <c r="BK42" s="58"/>
      <c r="BL42" s="58"/>
      <c r="BM42" s="58"/>
      <c r="BN42" s="58"/>
      <c r="BO42" s="58"/>
      <c r="BP42" s="58"/>
      <c r="BQ42" s="58"/>
      <c r="BR42" s="58"/>
      <c r="BS42" s="58"/>
      <c r="BT42" s="58"/>
      <c r="BU42" s="58"/>
      <c r="BV42" s="58"/>
      <c r="BW42" s="58"/>
      <c r="BX42" s="58"/>
      <c r="BY42" s="58"/>
      <c r="BZ42" s="58"/>
      <c r="CA42" s="58"/>
      <c r="CB42" s="58"/>
      <c r="CC42" s="58"/>
      <c r="CD42" s="58"/>
      <c r="CE42" s="58"/>
      <c r="CF42" s="58"/>
      <c r="CG42" s="58"/>
      <c r="CH42" s="58"/>
      <c r="CI42" s="58"/>
      <c r="CJ42" s="58"/>
      <c r="CK42" s="58"/>
      <c r="CL42" s="58"/>
      <c r="CM42" s="58"/>
      <c r="CN42" s="58"/>
      <c r="CO42" s="58"/>
      <c r="CP42" s="58"/>
      <c r="CQ42" s="58"/>
      <c r="CR42" s="58"/>
      <c r="CS42" s="58"/>
      <c r="CT42" s="58"/>
      <c r="CU42" s="58"/>
      <c r="CV42" s="58"/>
      <c r="CW42" s="58"/>
      <c r="CX42" s="58"/>
      <c r="CY42" s="58"/>
      <c r="CZ42" s="58"/>
      <c r="DA42" s="58"/>
      <c r="DB42" s="58"/>
      <c r="DC42" s="58"/>
      <c r="DD42" s="58"/>
      <c r="DE42" s="58"/>
      <c r="DF42" s="58"/>
      <c r="DG42" s="58"/>
      <c r="DH42" s="58"/>
      <c r="DI42" s="58"/>
      <c r="DJ42" s="58"/>
      <c r="DK42" s="107"/>
      <c r="DL42" s="107"/>
      <c r="DM42" s="107"/>
      <c r="DN42" s="107"/>
      <c r="DO42" s="107"/>
      <c r="DP42" s="107"/>
      <c r="DQ42" s="107"/>
      <c r="DR42" s="107"/>
      <c r="DS42" s="107"/>
      <c r="DT42" s="107"/>
      <c r="DU42" s="107"/>
      <c r="DV42" s="107"/>
      <c r="DW42" s="107"/>
      <c r="DX42" s="107"/>
      <c r="DY42" s="107"/>
      <c r="DZ42" s="107"/>
      <c r="EA42" s="107"/>
      <c r="EB42" s="107"/>
      <c r="EC42" s="107"/>
      <c r="ED42" s="107"/>
      <c r="EE42" s="107"/>
      <c r="EF42" s="107"/>
      <c r="EG42" s="107"/>
      <c r="EH42" s="107"/>
      <c r="EI42" s="107"/>
      <c r="EJ42" s="107"/>
      <c r="EK42" s="107"/>
      <c r="EL42" s="107"/>
      <c r="EM42" s="107"/>
      <c r="EN42" s="107"/>
      <c r="EO42" s="107"/>
      <c r="EP42" s="107"/>
      <c r="EQ42" s="107"/>
      <c r="ER42" s="107"/>
      <c r="ES42" s="107"/>
      <c r="ET42" s="107"/>
      <c r="EU42" s="107"/>
      <c r="EV42" s="107"/>
      <c r="EW42" s="107"/>
      <c r="EX42" s="107"/>
      <c r="EY42" s="107"/>
      <c r="EZ42" s="107"/>
      <c r="FA42" s="107"/>
      <c r="FB42" s="107"/>
      <c r="FC42" s="107"/>
      <c r="FD42" s="107"/>
      <c r="FE42" s="107"/>
      <c r="FF42" s="107"/>
      <c r="FG42" s="107"/>
      <c r="FH42" s="107"/>
      <c r="FI42" s="107"/>
      <c r="FJ42" s="107"/>
      <c r="FK42" s="107"/>
      <c r="FL42" s="107"/>
      <c r="FM42" s="107"/>
      <c r="FN42" s="107"/>
      <c r="FO42" s="107"/>
      <c r="FP42" s="107"/>
      <c r="FQ42" s="107"/>
      <c r="FR42" s="107"/>
      <c r="FS42" s="107"/>
      <c r="FT42" s="107"/>
    </row>
    <row r="43" spans="1:176" x14ac:dyDescent="0.25">
      <c r="A43" s="107"/>
      <c r="B43" s="107"/>
      <c r="C43" s="107"/>
      <c r="D43" s="107"/>
      <c r="E43" s="107"/>
      <c r="F43" s="107"/>
      <c r="G43" s="147" t="str">
        <f>IF(_ibpOfflineCondition_,"000000000000564471-1", _xll.EPMOlapMemberO("[PRDID].[].[000000000000564471-1]","","000000000000564471-1","","000"))</f>
        <v>000000000000564471-1</v>
      </c>
      <c r="H43" s="147" t="str">
        <f>IF(_ibpOfflineCondition_,"FGR+ FIG.PLUS 12/280+40 BROWN ATLM WB", _xll.EPMOlapMemberO("[PRDDESCR].[].[FGR+ FIG.PLUS 12/280+40 BROWN ATLM WB]","","FGR+ FIG.PLUS 12/280+40 BROWN ATLM WB","","000"))</f>
        <v>FGR+ FIG.PLUS 12/280+40 BROWN ATLM WB</v>
      </c>
      <c r="I43" s="147" t="str">
        <f>IF(_ibpOfflineCondition_,"X7", _xll.EPMOlapMemberO("[MRPTYPE].[].[X7]","","X7","","000"))</f>
        <v>X7</v>
      </c>
      <c r="J43" s="147" t="str">
        <f>IF(_ibpOfflineCondition_,"GSCRM Actuals and Future Production", _xll.EPMOlapMemberO("[KEY_FIGURES].[].[ZGSCRMACTUALSPRODUCTION]","","GSCRM Actuals and Future Production","","000"))</f>
        <v>GSCRM Actuals and Future Production</v>
      </c>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v>120</v>
      </c>
      <c r="AO43" s="58"/>
      <c r="AP43" s="58"/>
      <c r="AQ43" s="58"/>
      <c r="AR43" s="58"/>
      <c r="AS43" s="58"/>
      <c r="AT43" s="58"/>
      <c r="AU43" s="58"/>
      <c r="AV43" s="58"/>
      <c r="AW43" s="58"/>
      <c r="AX43" s="58"/>
      <c r="AY43" s="58"/>
      <c r="AZ43" s="58"/>
      <c r="BA43" s="58"/>
      <c r="BB43" s="58"/>
      <c r="BC43" s="58"/>
      <c r="BD43" s="58"/>
      <c r="BE43" s="58"/>
      <c r="BF43" s="58"/>
      <c r="BG43" s="58"/>
      <c r="BH43" s="58"/>
      <c r="BI43" s="58"/>
      <c r="BJ43" s="58"/>
      <c r="BK43" s="58"/>
      <c r="BL43" s="58"/>
      <c r="BM43" s="58"/>
      <c r="BN43" s="58"/>
      <c r="BO43" s="58"/>
      <c r="BP43" s="58"/>
      <c r="BQ43" s="58"/>
      <c r="BR43" s="58"/>
      <c r="BS43" s="58"/>
      <c r="BT43" s="58"/>
      <c r="BU43" s="58"/>
      <c r="BV43" s="58"/>
      <c r="BW43" s="58"/>
      <c r="BX43" s="58"/>
      <c r="BY43" s="58"/>
      <c r="BZ43" s="58"/>
      <c r="CA43" s="58"/>
      <c r="CB43" s="58"/>
      <c r="CC43" s="58"/>
      <c r="CD43" s="58"/>
      <c r="CE43" s="58"/>
      <c r="CF43" s="58"/>
      <c r="CG43" s="58"/>
      <c r="CH43" s="58"/>
      <c r="CI43" s="58"/>
      <c r="CJ43" s="58"/>
      <c r="CK43" s="58"/>
      <c r="CL43" s="58"/>
      <c r="CM43" s="58"/>
      <c r="CN43" s="58"/>
      <c r="CO43" s="58"/>
      <c r="CP43" s="58"/>
      <c r="CQ43" s="58"/>
      <c r="CR43" s="58"/>
      <c r="CS43" s="58"/>
      <c r="CT43" s="58"/>
      <c r="CU43" s="58"/>
      <c r="CV43" s="58"/>
      <c r="CW43" s="58"/>
      <c r="CX43" s="58"/>
      <c r="CY43" s="58"/>
      <c r="CZ43" s="58"/>
      <c r="DA43" s="58"/>
      <c r="DB43" s="58"/>
      <c r="DC43" s="58"/>
      <c r="DD43" s="58"/>
      <c r="DE43" s="58"/>
      <c r="DF43" s="58"/>
      <c r="DG43" s="58"/>
      <c r="DH43" s="58"/>
      <c r="DI43" s="58"/>
      <c r="DJ43" s="58"/>
      <c r="DK43" s="107"/>
      <c r="DL43" s="107"/>
      <c r="DM43" s="107"/>
      <c r="DN43" s="107"/>
      <c r="DO43" s="107"/>
      <c r="DP43" s="107"/>
      <c r="DQ43" s="107"/>
      <c r="DR43" s="107"/>
      <c r="DS43" s="107"/>
      <c r="DT43" s="107"/>
      <c r="DU43" s="107"/>
      <c r="DV43" s="107"/>
      <c r="DW43" s="107"/>
      <c r="DX43" s="107"/>
      <c r="DY43" s="107"/>
      <c r="DZ43" s="107"/>
      <c r="EA43" s="107"/>
      <c r="EB43" s="107"/>
      <c r="EC43" s="107"/>
      <c r="ED43" s="107"/>
      <c r="EE43" s="107"/>
      <c r="EF43" s="107"/>
      <c r="EG43" s="107"/>
      <c r="EH43" s="107"/>
      <c r="EI43" s="107"/>
      <c r="EJ43" s="107"/>
      <c r="EK43" s="107"/>
      <c r="EL43" s="107"/>
      <c r="EM43" s="107"/>
      <c r="EN43" s="107"/>
      <c r="EO43" s="107"/>
      <c r="EP43" s="107"/>
      <c r="EQ43" s="107"/>
      <c r="ER43" s="107"/>
      <c r="ES43" s="107"/>
      <c r="ET43" s="107"/>
      <c r="EU43" s="107"/>
      <c r="EV43" s="107"/>
      <c r="EW43" s="107"/>
      <c r="EX43" s="107"/>
      <c r="EY43" s="107"/>
      <c r="EZ43" s="107"/>
      <c r="FA43" s="107"/>
      <c r="FB43" s="107"/>
      <c r="FC43" s="107"/>
      <c r="FD43" s="107"/>
      <c r="FE43" s="107"/>
      <c r="FF43" s="107"/>
      <c r="FG43" s="107"/>
      <c r="FH43" s="107"/>
      <c r="FI43" s="107"/>
      <c r="FJ43" s="107"/>
      <c r="FK43" s="107"/>
      <c r="FL43" s="107"/>
      <c r="FM43" s="107"/>
      <c r="FN43" s="107"/>
      <c r="FO43" s="107"/>
      <c r="FP43" s="107"/>
      <c r="FQ43" s="107"/>
      <c r="FR43" s="107"/>
      <c r="FS43" s="107"/>
      <c r="FT43" s="107"/>
    </row>
    <row r="44" spans="1:176" x14ac:dyDescent="0.25">
      <c r="A44" s="107"/>
      <c r="B44" s="107"/>
      <c r="C44" s="107"/>
      <c r="D44" s="107"/>
      <c r="E44" s="107"/>
      <c r="F44" s="107"/>
      <c r="G44" s="147" t="str">
        <f>IF(_ibpOfflineCondition_,"000000000000564471-1", _xll.EPMOlapMemberO("[PRDID].[].[000000000000564471-1]","","000000000000564471-1","","000"))</f>
        <v>000000000000564471-1</v>
      </c>
      <c r="H44" s="147" t="str">
        <f>IF(_ibpOfflineCondition_,"FGR+ FIG.PLUS 12/280+40 BROWN ATLM WB", _xll.EPMOlapMemberO("[PRDDESCR].[].[FGR+ FIG.PLUS 12/280+40 BROWN ATLM WB]","","FGR+ FIG.PLUS 12/280+40 BROWN ATLM WB","","000"))</f>
        <v>FGR+ FIG.PLUS 12/280+40 BROWN ATLM WB</v>
      </c>
      <c r="I44" s="147" t="str">
        <f>IF(_ibpOfflineCondition_,"X7", _xll.EPMOlapMemberO("[MRPTYPE].[].[X7]","","X7","","000"))</f>
        <v>X7</v>
      </c>
      <c r="J44" s="147" t="str">
        <f>IF(_ibpOfflineCondition_,"GSCRM Projected Stock (Unconstrained Demand)", _xll.EPMOlapMemberO("[KEY_FIGURES].[].[ZGSCRMUNCONSINVENTORY]","","GSCRM Projected Stock (Unconstrained Demand)","","000"))</f>
        <v>GSCRM Projected Stock (Unconstrained Demand)</v>
      </c>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c r="BA44" s="58"/>
      <c r="BB44" s="58"/>
      <c r="BC44" s="58"/>
      <c r="BD44" s="58"/>
      <c r="BE44" s="58"/>
      <c r="BF44" s="58"/>
      <c r="BG44" s="58"/>
      <c r="BH44" s="58"/>
      <c r="BI44" s="58"/>
      <c r="BJ44" s="58"/>
      <c r="BK44" s="58"/>
      <c r="BL44" s="58"/>
      <c r="BM44" s="58"/>
      <c r="BN44" s="58"/>
      <c r="BO44" s="58"/>
      <c r="BP44" s="58"/>
      <c r="BQ44" s="58"/>
      <c r="BR44" s="58"/>
      <c r="BS44" s="58"/>
      <c r="BT44" s="58"/>
      <c r="BU44" s="58"/>
      <c r="BV44" s="58"/>
      <c r="BW44" s="58"/>
      <c r="BX44" s="58"/>
      <c r="BY44" s="58"/>
      <c r="BZ44" s="58"/>
      <c r="CA44" s="58"/>
      <c r="CB44" s="58"/>
      <c r="CC44" s="58"/>
      <c r="CD44" s="58"/>
      <c r="CE44" s="58"/>
      <c r="CF44" s="58"/>
      <c r="CG44" s="58"/>
      <c r="CH44" s="58"/>
      <c r="CI44" s="58"/>
      <c r="CJ44" s="58"/>
      <c r="CK44" s="58"/>
      <c r="CL44" s="58"/>
      <c r="CM44" s="58"/>
      <c r="CN44" s="58"/>
      <c r="CO44" s="58"/>
      <c r="CP44" s="58"/>
      <c r="CQ44" s="58"/>
      <c r="CR44" s="58"/>
      <c r="CS44" s="58"/>
      <c r="CT44" s="58"/>
      <c r="CU44" s="58"/>
      <c r="CV44" s="58"/>
      <c r="CW44" s="58"/>
      <c r="CX44" s="58"/>
      <c r="CY44" s="58"/>
      <c r="CZ44" s="58"/>
      <c r="DA44" s="58"/>
      <c r="DB44" s="58"/>
      <c r="DC44" s="58"/>
      <c r="DD44" s="58"/>
      <c r="DE44" s="58"/>
      <c r="DF44" s="58"/>
      <c r="DG44" s="58"/>
      <c r="DH44" s="58"/>
      <c r="DI44" s="58"/>
      <c r="DJ44" s="58"/>
      <c r="DK44" s="107"/>
      <c r="DL44" s="107"/>
      <c r="DM44" s="107"/>
      <c r="DN44" s="107"/>
      <c r="DO44" s="107"/>
      <c r="DP44" s="107"/>
      <c r="DQ44" s="107"/>
      <c r="DR44" s="107"/>
      <c r="DS44" s="107"/>
      <c r="DT44" s="107"/>
      <c r="DU44" s="107"/>
      <c r="DV44" s="107"/>
      <c r="DW44" s="107"/>
      <c r="DX44" s="107"/>
      <c r="DY44" s="107"/>
      <c r="DZ44" s="107"/>
      <c r="EA44" s="107"/>
      <c r="EB44" s="107"/>
      <c r="EC44" s="107"/>
      <c r="ED44" s="107"/>
      <c r="EE44" s="107"/>
      <c r="EF44" s="107"/>
      <c r="EG44" s="107"/>
      <c r="EH44" s="107"/>
      <c r="EI44" s="107"/>
      <c r="EJ44" s="107"/>
      <c r="EK44" s="107"/>
      <c r="EL44" s="107"/>
      <c r="EM44" s="107"/>
      <c r="EN44" s="107"/>
      <c r="EO44" s="107"/>
      <c r="EP44" s="107"/>
      <c r="EQ44" s="107"/>
      <c r="ER44" s="107"/>
      <c r="ES44" s="107"/>
      <c r="ET44" s="107"/>
      <c r="EU44" s="107"/>
      <c r="EV44" s="107"/>
      <c r="EW44" s="107"/>
      <c r="EX44" s="107"/>
      <c r="EY44" s="107"/>
      <c r="EZ44" s="107"/>
      <c r="FA44" s="107"/>
      <c r="FB44" s="107"/>
      <c r="FC44" s="107"/>
      <c r="FD44" s="107"/>
      <c r="FE44" s="107"/>
      <c r="FF44" s="107"/>
      <c r="FG44" s="107"/>
      <c r="FH44" s="107"/>
      <c r="FI44" s="107"/>
      <c r="FJ44" s="107"/>
      <c r="FK44" s="107"/>
      <c r="FL44" s="107"/>
      <c r="FM44" s="107"/>
      <c r="FN44" s="107"/>
      <c r="FO44" s="107"/>
      <c r="FP44" s="107"/>
      <c r="FQ44" s="107"/>
      <c r="FR44" s="107"/>
      <c r="FS44" s="107"/>
      <c r="FT44" s="107"/>
    </row>
    <row r="45" spans="1:176" x14ac:dyDescent="0.25">
      <c r="A45" s="107"/>
      <c r="B45" s="107"/>
      <c r="C45" s="107"/>
      <c r="D45" s="107"/>
      <c r="E45" s="107"/>
      <c r="F45" s="107"/>
      <c r="G45" s="147" t="str">
        <f>IF(_ibpOfflineCondition_,"000000000000564481-1", _xll.EPMOlapMemberO("[PRDID].[].[000000000000564481-1]","","000000000000564481-1","","000"))</f>
        <v>000000000000564481-1</v>
      </c>
      <c r="H45" s="147" t="str">
        <f>IF(_ibpOfflineCondition_,"FGR+ FIG.PLUS 5/280+40 BRAUN MONIER WB", _xll.EPMOlapMemberO("[PRDDESCR].[].[FGR+ FIG.PLUS 5/280+40 BRAUN MONIER WB]","","FGR+ FIG.PLUS 5/280+40 BRAUN MONIER WB","","000"))</f>
        <v>FGR+ FIG.PLUS 5/280+40 BRAUN MONIER WB</v>
      </c>
      <c r="I45" s="147" t="str">
        <f>IF(_ibpOfflineCondition_,"X0", _xll.EPMOlapMemberO("[MRPTYPE].[].[X0]","","X0","","000"))</f>
        <v>X0</v>
      </c>
      <c r="J45" s="147" t="str">
        <f>IF(_ibpOfflineCondition_,"GSCRM Actual Sales and Unconstrained Demand", _xll.EPMOlapMemberO("[KEY_FIGURES].[].[ZGSCRMACTUALUNCONSDEMAND]","","GSCRM Actual Sales and Unconstrained Demand","","000"))</f>
        <v>GSCRM Actual Sales and Unconstrained Demand</v>
      </c>
      <c r="K45" s="58"/>
      <c r="L45" s="58">
        <v>1170</v>
      </c>
      <c r="M45" s="58"/>
      <c r="N45" s="58">
        <v>180</v>
      </c>
      <c r="O45" s="58">
        <v>270</v>
      </c>
      <c r="P45" s="58"/>
      <c r="Q45" s="58"/>
      <c r="R45" s="58"/>
      <c r="S45" s="58">
        <v>180</v>
      </c>
      <c r="T45" s="58"/>
      <c r="U45" s="58"/>
      <c r="V45" s="58"/>
      <c r="W45" s="58">
        <v>180</v>
      </c>
      <c r="X45" s="58">
        <v>90</v>
      </c>
      <c r="Y45" s="58"/>
      <c r="Z45" s="58"/>
      <c r="AA45" s="58"/>
      <c r="AB45" s="58"/>
      <c r="AC45" s="58"/>
      <c r="AD45" s="58"/>
      <c r="AE45" s="58"/>
      <c r="AF45" s="58">
        <v>810</v>
      </c>
      <c r="AG45" s="58">
        <v>90</v>
      </c>
      <c r="AH45" s="58">
        <v>270</v>
      </c>
      <c r="AI45" s="58"/>
      <c r="AJ45" s="58">
        <v>180</v>
      </c>
      <c r="AK45" s="58"/>
      <c r="AL45" s="58"/>
      <c r="AM45" s="58">
        <v>180</v>
      </c>
      <c r="AN45" s="58">
        <v>90</v>
      </c>
      <c r="AO45" s="58"/>
      <c r="AP45" s="58">
        <v>180</v>
      </c>
      <c r="AQ45" s="58"/>
      <c r="AR45" s="58"/>
      <c r="AS45" s="58"/>
      <c r="AT45" s="58"/>
      <c r="AU45" s="58">
        <v>360</v>
      </c>
      <c r="AV45" s="58">
        <v>90</v>
      </c>
      <c r="AW45" s="58"/>
      <c r="AX45" s="58"/>
      <c r="AY45" s="58">
        <v>450</v>
      </c>
      <c r="AZ45" s="58"/>
      <c r="BA45" s="58"/>
      <c r="BB45" s="58"/>
      <c r="BC45" s="58"/>
      <c r="BD45" s="58"/>
      <c r="BE45" s="58"/>
      <c r="BF45" s="58"/>
      <c r="BG45" s="58">
        <v>180</v>
      </c>
      <c r="BH45" s="58">
        <v>900</v>
      </c>
      <c r="BI45" s="58">
        <v>450</v>
      </c>
      <c r="BJ45" s="58">
        <v>900</v>
      </c>
      <c r="BK45" s="58"/>
      <c r="BL45" s="58"/>
      <c r="BM45" s="58"/>
      <c r="BN45" s="58"/>
      <c r="BO45" s="58"/>
      <c r="BP45" s="58"/>
      <c r="BQ45" s="58">
        <v>720</v>
      </c>
      <c r="BR45" s="58">
        <v>810</v>
      </c>
      <c r="BS45" s="58">
        <v>180</v>
      </c>
      <c r="BT45" s="58"/>
      <c r="BU45" s="58"/>
      <c r="BV45" s="58">
        <v>540</v>
      </c>
      <c r="BW45" s="58"/>
      <c r="BX45" s="58"/>
      <c r="BY45" s="58"/>
      <c r="BZ45" s="58"/>
      <c r="CA45" s="58"/>
      <c r="CB45" s="58">
        <v>990</v>
      </c>
      <c r="CC45" s="58">
        <v>900</v>
      </c>
      <c r="CD45" s="58"/>
      <c r="CE45" s="58"/>
      <c r="CF45" s="58">
        <v>630</v>
      </c>
      <c r="CG45" s="58">
        <v>630</v>
      </c>
      <c r="CH45" s="58"/>
      <c r="CI45" s="58"/>
      <c r="CJ45" s="58"/>
      <c r="CK45" s="58">
        <v>90</v>
      </c>
      <c r="CL45" s="58"/>
      <c r="CM45" s="58"/>
      <c r="CN45" s="58">
        <v>90</v>
      </c>
      <c r="CO45" s="58"/>
      <c r="CP45" s="58"/>
      <c r="CQ45" s="58"/>
      <c r="CR45" s="58"/>
      <c r="CS45" s="58"/>
      <c r="CT45" s="58"/>
      <c r="CU45" s="58"/>
      <c r="CV45" s="58"/>
      <c r="CW45" s="58"/>
      <c r="CX45" s="58"/>
      <c r="CY45" s="58"/>
      <c r="CZ45" s="58"/>
      <c r="DA45" s="58"/>
      <c r="DB45" s="58"/>
      <c r="DC45" s="58"/>
      <c r="DD45" s="58"/>
      <c r="DE45" s="58"/>
      <c r="DF45" s="58"/>
      <c r="DG45" s="58"/>
      <c r="DH45" s="58"/>
      <c r="DI45" s="58">
        <v>270</v>
      </c>
      <c r="DJ45" s="58"/>
      <c r="DK45" s="107"/>
      <c r="DL45" s="107"/>
      <c r="DM45" s="107"/>
      <c r="DN45" s="107"/>
      <c r="DO45" s="107"/>
      <c r="DP45" s="107"/>
      <c r="DQ45" s="107"/>
      <c r="DR45" s="107"/>
      <c r="DS45" s="107"/>
      <c r="DT45" s="107"/>
      <c r="DU45" s="107"/>
      <c r="DV45" s="107"/>
      <c r="DW45" s="107"/>
      <c r="DX45" s="107"/>
      <c r="DY45" s="107"/>
      <c r="DZ45" s="107"/>
      <c r="EA45" s="107"/>
      <c r="EB45" s="107"/>
      <c r="EC45" s="107"/>
      <c r="ED45" s="107"/>
      <c r="EE45" s="107"/>
      <c r="EF45" s="107"/>
      <c r="EG45" s="107"/>
      <c r="EH45" s="107"/>
      <c r="EI45" s="107"/>
      <c r="EJ45" s="107"/>
      <c r="EK45" s="107"/>
      <c r="EL45" s="107"/>
      <c r="EM45" s="107"/>
      <c r="EN45" s="107"/>
      <c r="EO45" s="107"/>
      <c r="EP45" s="107"/>
      <c r="EQ45" s="107"/>
      <c r="ER45" s="107"/>
      <c r="ES45" s="107"/>
      <c r="ET45" s="107"/>
      <c r="EU45" s="107"/>
      <c r="EV45" s="107"/>
      <c r="EW45" s="107"/>
      <c r="EX45" s="107"/>
      <c r="EY45" s="107"/>
      <c r="EZ45" s="107"/>
      <c r="FA45" s="107"/>
      <c r="FB45" s="107"/>
      <c r="FC45" s="107"/>
      <c r="FD45" s="107"/>
      <c r="FE45" s="107"/>
      <c r="FF45" s="107"/>
      <c r="FG45" s="107"/>
      <c r="FH45" s="107"/>
      <c r="FI45" s="107"/>
      <c r="FJ45" s="107"/>
      <c r="FK45" s="107"/>
      <c r="FL45" s="107"/>
      <c r="FM45" s="107"/>
      <c r="FN45" s="107"/>
      <c r="FO45" s="107"/>
      <c r="FP45" s="107"/>
      <c r="FQ45" s="107"/>
      <c r="FR45" s="107"/>
      <c r="FS45" s="107"/>
      <c r="FT45" s="107"/>
    </row>
    <row r="46" spans="1:176" x14ac:dyDescent="0.25">
      <c r="A46" s="107"/>
      <c r="B46" s="107"/>
      <c r="C46" s="107"/>
      <c r="D46" s="107"/>
      <c r="E46" s="107"/>
      <c r="F46" s="107"/>
      <c r="G46" s="147" t="str">
        <f>IF(_ibpOfflineCondition_,"000000000000564481-1", _xll.EPMOlapMemberO("[PRDID].[].[000000000000564481-1]","","000000000000564481-1","","000"))</f>
        <v>000000000000564481-1</v>
      </c>
      <c r="H46" s="147" t="str">
        <f>IF(_ibpOfflineCondition_,"FGR+ FIG.PLUS 5/280+40 BRAUN MONIER WB", _xll.EPMOlapMemberO("[PRDDESCR].[].[FGR+ FIG.PLUS 5/280+40 BRAUN MONIER WB]","","FGR+ FIG.PLUS 5/280+40 BRAUN MONIER WB","","000"))</f>
        <v>FGR+ FIG.PLUS 5/280+40 BRAUN MONIER WB</v>
      </c>
      <c r="I46" s="147" t="str">
        <f>IF(_ibpOfflineCondition_,"X0", _xll.EPMOlapMemberO("[MRPTYPE].[].[X0]","","X0","","000"))</f>
        <v>X0</v>
      </c>
      <c r="J46" s="147" t="str">
        <f>IF(_ibpOfflineCondition_,"GSCRM Actuals and Future Production", _xll.EPMOlapMemberO("[KEY_FIGURES].[].[ZGSCRMACTUALSPRODUCTION]","","GSCRM Actuals and Future Production","","000"))</f>
        <v>GSCRM Actuals and Future Production</v>
      </c>
      <c r="K46" s="58">
        <v>2250</v>
      </c>
      <c r="L46" s="58">
        <v>0</v>
      </c>
      <c r="M46" s="58">
        <v>0</v>
      </c>
      <c r="N46" s="58">
        <v>0</v>
      </c>
      <c r="O46" s="58">
        <v>0</v>
      </c>
      <c r="P46" s="58">
        <v>0</v>
      </c>
      <c r="Q46" s="58">
        <v>0</v>
      </c>
      <c r="R46" s="58">
        <v>270</v>
      </c>
      <c r="S46" s="58">
        <v>0</v>
      </c>
      <c r="T46" s="58">
        <v>0</v>
      </c>
      <c r="U46" s="58">
        <v>0</v>
      </c>
      <c r="V46" s="58">
        <v>0</v>
      </c>
      <c r="W46" s="58">
        <v>0</v>
      </c>
      <c r="X46" s="58">
        <v>1080</v>
      </c>
      <c r="Y46" s="58"/>
      <c r="Z46" s="58"/>
      <c r="AA46" s="58"/>
      <c r="AB46" s="58"/>
      <c r="AC46" s="58"/>
      <c r="AD46" s="58"/>
      <c r="AE46" s="58"/>
      <c r="AF46" s="58">
        <v>0</v>
      </c>
      <c r="AG46" s="58">
        <v>0</v>
      </c>
      <c r="AH46" s="58">
        <v>630</v>
      </c>
      <c r="AI46" s="58"/>
      <c r="AJ46" s="58">
        <v>0</v>
      </c>
      <c r="AK46" s="58"/>
      <c r="AL46" s="58"/>
      <c r="AM46" s="58">
        <v>0</v>
      </c>
      <c r="AN46" s="58">
        <v>360</v>
      </c>
      <c r="AO46" s="58"/>
      <c r="AP46" s="58">
        <v>0</v>
      </c>
      <c r="AQ46" s="58"/>
      <c r="AR46" s="58"/>
      <c r="AS46" s="58"/>
      <c r="AT46" s="58"/>
      <c r="AU46" s="58">
        <v>0</v>
      </c>
      <c r="AV46" s="58">
        <v>0</v>
      </c>
      <c r="AW46" s="58"/>
      <c r="AX46" s="58"/>
      <c r="AY46" s="58">
        <v>0</v>
      </c>
      <c r="AZ46" s="58">
        <v>360</v>
      </c>
      <c r="BA46" s="58"/>
      <c r="BB46" s="58">
        <v>1980</v>
      </c>
      <c r="BC46" s="58"/>
      <c r="BD46" s="58"/>
      <c r="BE46" s="58"/>
      <c r="BF46" s="58"/>
      <c r="BG46" s="58">
        <v>0</v>
      </c>
      <c r="BH46" s="58">
        <v>0</v>
      </c>
      <c r="BI46" s="58">
        <v>0</v>
      </c>
      <c r="BJ46" s="58">
        <v>0</v>
      </c>
      <c r="BK46" s="58"/>
      <c r="BL46" s="58"/>
      <c r="BM46" s="58"/>
      <c r="BN46" s="58">
        <v>540</v>
      </c>
      <c r="BO46" s="58">
        <v>540</v>
      </c>
      <c r="BP46" s="58"/>
      <c r="BQ46" s="58">
        <v>2880</v>
      </c>
      <c r="BR46" s="58">
        <v>0</v>
      </c>
      <c r="BS46" s="58">
        <v>0</v>
      </c>
      <c r="BT46" s="58">
        <v>1980</v>
      </c>
      <c r="BU46" s="58"/>
      <c r="BV46" s="58">
        <v>0</v>
      </c>
      <c r="BW46" s="58"/>
      <c r="BX46" s="58">
        <v>1620</v>
      </c>
      <c r="BY46" s="58"/>
      <c r="BZ46" s="58"/>
      <c r="CA46" s="58">
        <v>720</v>
      </c>
      <c r="CB46" s="58">
        <v>1080</v>
      </c>
      <c r="CC46" s="58">
        <v>0</v>
      </c>
      <c r="CD46" s="58"/>
      <c r="CE46" s="58"/>
      <c r="CF46" s="58">
        <v>0</v>
      </c>
      <c r="CG46" s="58">
        <v>0</v>
      </c>
      <c r="CH46" s="58"/>
      <c r="CI46" s="58"/>
      <c r="CJ46" s="58"/>
      <c r="CK46" s="58">
        <v>0</v>
      </c>
      <c r="CL46" s="58"/>
      <c r="CM46" s="58"/>
      <c r="CN46" s="58">
        <v>0</v>
      </c>
      <c r="CO46" s="58"/>
      <c r="CP46" s="58"/>
      <c r="CQ46" s="58"/>
      <c r="CR46" s="58"/>
      <c r="CS46" s="58"/>
      <c r="CT46" s="58"/>
      <c r="CU46" s="58"/>
      <c r="CV46" s="58"/>
      <c r="CW46" s="58"/>
      <c r="CX46" s="58"/>
      <c r="CY46" s="58"/>
      <c r="CZ46" s="58"/>
      <c r="DA46" s="58"/>
      <c r="DB46" s="58"/>
      <c r="DC46" s="58"/>
      <c r="DD46" s="58"/>
      <c r="DE46" s="58"/>
      <c r="DF46" s="58"/>
      <c r="DG46" s="58"/>
      <c r="DH46" s="58"/>
      <c r="DI46" s="58">
        <v>0</v>
      </c>
      <c r="DJ46" s="58"/>
      <c r="DK46" s="107"/>
      <c r="DL46" s="107"/>
      <c r="DM46" s="107"/>
      <c r="DN46" s="107"/>
      <c r="DO46" s="107"/>
      <c r="DP46" s="107"/>
      <c r="DQ46" s="107"/>
      <c r="DR46" s="107"/>
      <c r="DS46" s="107"/>
      <c r="DT46" s="107"/>
      <c r="DU46" s="107"/>
      <c r="DV46" s="107"/>
      <c r="DW46" s="107"/>
      <c r="DX46" s="107"/>
      <c r="DY46" s="107"/>
      <c r="DZ46" s="107"/>
      <c r="EA46" s="107"/>
      <c r="EB46" s="107"/>
      <c r="EC46" s="107"/>
      <c r="ED46" s="107"/>
      <c r="EE46" s="107"/>
      <c r="EF46" s="107"/>
      <c r="EG46" s="107"/>
      <c r="EH46" s="107"/>
      <c r="EI46" s="107"/>
      <c r="EJ46" s="107"/>
      <c r="EK46" s="107"/>
      <c r="EL46" s="107"/>
      <c r="EM46" s="107"/>
      <c r="EN46" s="107"/>
      <c r="EO46" s="107"/>
      <c r="EP46" s="107"/>
      <c r="EQ46" s="107"/>
      <c r="ER46" s="107"/>
      <c r="ES46" s="107"/>
      <c r="ET46" s="107"/>
      <c r="EU46" s="107"/>
      <c r="EV46" s="107"/>
      <c r="EW46" s="107"/>
      <c r="EX46" s="107"/>
      <c r="EY46" s="107"/>
      <c r="EZ46" s="107"/>
      <c r="FA46" s="107"/>
      <c r="FB46" s="107"/>
      <c r="FC46" s="107"/>
      <c r="FD46" s="107"/>
      <c r="FE46" s="107"/>
      <c r="FF46" s="107"/>
      <c r="FG46" s="107"/>
      <c r="FH46" s="107"/>
      <c r="FI46" s="107"/>
      <c r="FJ46" s="107"/>
      <c r="FK46" s="107"/>
      <c r="FL46" s="107"/>
      <c r="FM46" s="107"/>
      <c r="FN46" s="107"/>
      <c r="FO46" s="107"/>
      <c r="FP46" s="107"/>
      <c r="FQ46" s="107"/>
      <c r="FR46" s="107"/>
      <c r="FS46" s="107"/>
      <c r="FT46" s="107"/>
    </row>
    <row r="47" spans="1:176" x14ac:dyDescent="0.25">
      <c r="A47" s="107"/>
      <c r="B47" s="107"/>
      <c r="C47" s="107"/>
      <c r="D47" s="107"/>
      <c r="E47" s="107"/>
      <c r="F47" s="107"/>
      <c r="G47" s="147" t="str">
        <f>IF(_ibpOfflineCondition_,"000000000000564481-1", _xll.EPMOlapMemberO("[PRDID].[].[000000000000564481-1]","","000000000000564481-1","","000"))</f>
        <v>000000000000564481-1</v>
      </c>
      <c r="H47" s="147" t="str">
        <f>IF(_ibpOfflineCondition_,"FGR+ FIG.PLUS 5/280+40 BRAUN MONIER WB", _xll.EPMOlapMemberO("[PRDDESCR].[].[FGR+ FIG.PLUS 5/280+40 BRAUN MONIER WB]","","FGR+ FIG.PLUS 5/280+40 BRAUN MONIER WB","","000"))</f>
        <v>FGR+ FIG.PLUS 5/280+40 BRAUN MONIER WB</v>
      </c>
      <c r="I47" s="147" t="str">
        <f>IF(_ibpOfflineCondition_,"X0", _xll.EPMOlapMemberO("[MRPTYPE].[].[X0]","","X0","","000"))</f>
        <v>X0</v>
      </c>
      <c r="J47" s="147" t="str">
        <f>IF(_ibpOfflineCondition_,"GSCRM Projected Stock (Unconstrained Demand)", _xll.EPMOlapMemberO("[KEY_FIGURES].[].[ZGSCRMUNCONSINVENTORY]","","GSCRM Projected Stock (Unconstrained Demand)","","000"))</f>
        <v>GSCRM Projected Stock (Unconstrained Demand)</v>
      </c>
      <c r="K47" s="58">
        <v>2520</v>
      </c>
      <c r="L47" s="58">
        <v>1350</v>
      </c>
      <c r="M47" s="58">
        <v>1350</v>
      </c>
      <c r="N47" s="58">
        <v>1170</v>
      </c>
      <c r="O47" s="58">
        <v>900</v>
      </c>
      <c r="P47" s="58">
        <v>900</v>
      </c>
      <c r="Q47" s="58">
        <v>900</v>
      </c>
      <c r="R47" s="58">
        <v>1170</v>
      </c>
      <c r="S47" s="58"/>
      <c r="T47" s="58">
        <v>990</v>
      </c>
      <c r="U47" s="58">
        <v>990</v>
      </c>
      <c r="V47" s="58">
        <v>990</v>
      </c>
      <c r="W47" s="58">
        <v>810</v>
      </c>
      <c r="X47" s="58">
        <v>1800</v>
      </c>
      <c r="Y47" s="58">
        <v>1800</v>
      </c>
      <c r="Z47" s="58">
        <v>1800</v>
      </c>
      <c r="AA47" s="58">
        <v>1800</v>
      </c>
      <c r="AB47" s="58">
        <v>1800</v>
      </c>
      <c r="AC47" s="58">
        <v>1800</v>
      </c>
      <c r="AD47" s="58">
        <v>1800</v>
      </c>
      <c r="AE47" s="58">
        <v>1800</v>
      </c>
      <c r="AF47" s="58">
        <v>990</v>
      </c>
      <c r="AG47" s="58">
        <v>900</v>
      </c>
      <c r="AH47" s="58">
        <v>1260</v>
      </c>
      <c r="AI47" s="58">
        <v>1260</v>
      </c>
      <c r="AJ47" s="58">
        <v>1080</v>
      </c>
      <c r="AK47" s="58">
        <v>1080</v>
      </c>
      <c r="AL47" s="58">
        <v>1080</v>
      </c>
      <c r="AM47" s="58">
        <v>900</v>
      </c>
      <c r="AN47" s="58">
        <v>1170</v>
      </c>
      <c r="AO47" s="58">
        <v>1170</v>
      </c>
      <c r="AP47" s="58">
        <v>990</v>
      </c>
      <c r="AQ47" s="58">
        <v>990</v>
      </c>
      <c r="AR47" s="58">
        <v>990</v>
      </c>
      <c r="AS47" s="58">
        <v>990</v>
      </c>
      <c r="AT47" s="58">
        <v>990</v>
      </c>
      <c r="AU47" s="58">
        <v>630</v>
      </c>
      <c r="AV47" s="58">
        <v>540</v>
      </c>
      <c r="AW47" s="58">
        <v>540</v>
      </c>
      <c r="AX47" s="58">
        <v>540</v>
      </c>
      <c r="AY47" s="58">
        <v>90</v>
      </c>
      <c r="AZ47" s="58">
        <v>450</v>
      </c>
      <c r="BA47" s="58">
        <v>450</v>
      </c>
      <c r="BB47" s="58">
        <v>2430</v>
      </c>
      <c r="BC47" s="58">
        <v>2430</v>
      </c>
      <c r="BD47" s="58">
        <v>2430</v>
      </c>
      <c r="BE47" s="58">
        <v>2430</v>
      </c>
      <c r="BF47" s="58">
        <v>2430</v>
      </c>
      <c r="BG47" s="58">
        <v>2250</v>
      </c>
      <c r="BH47" s="58">
        <v>1350</v>
      </c>
      <c r="BI47" s="58">
        <v>900</v>
      </c>
      <c r="BJ47" s="58"/>
      <c r="BK47" s="58"/>
      <c r="BL47" s="58"/>
      <c r="BM47" s="58"/>
      <c r="BN47" s="58">
        <v>540</v>
      </c>
      <c r="BO47" s="58">
        <v>1080</v>
      </c>
      <c r="BP47" s="58">
        <v>1620</v>
      </c>
      <c r="BQ47" s="58">
        <v>3240</v>
      </c>
      <c r="BR47" s="58">
        <v>2430</v>
      </c>
      <c r="BS47" s="58">
        <v>2250</v>
      </c>
      <c r="BT47" s="58">
        <v>4230</v>
      </c>
      <c r="BU47" s="58">
        <v>4230</v>
      </c>
      <c r="BV47" s="58">
        <v>3690</v>
      </c>
      <c r="BW47" s="58">
        <v>3690</v>
      </c>
      <c r="BX47" s="58">
        <v>5310</v>
      </c>
      <c r="BY47" s="58">
        <v>5310</v>
      </c>
      <c r="BZ47" s="58">
        <v>5310</v>
      </c>
      <c r="CA47" s="58">
        <v>5130</v>
      </c>
      <c r="CB47" s="58">
        <v>6120</v>
      </c>
      <c r="CC47" s="58">
        <v>5220</v>
      </c>
      <c r="CD47" s="58">
        <v>5220</v>
      </c>
      <c r="CE47" s="58">
        <v>5220</v>
      </c>
      <c r="CF47" s="58">
        <v>4590</v>
      </c>
      <c r="CG47" s="58">
        <v>3960</v>
      </c>
      <c r="CH47" s="58">
        <v>3960</v>
      </c>
      <c r="CI47" s="58">
        <v>3960</v>
      </c>
      <c r="CJ47" s="58">
        <v>3960</v>
      </c>
      <c r="CK47" s="58">
        <v>3870</v>
      </c>
      <c r="CL47" s="58">
        <v>3870</v>
      </c>
      <c r="CM47" s="58">
        <v>3870</v>
      </c>
      <c r="CN47" s="58">
        <v>3780</v>
      </c>
      <c r="CO47" s="58">
        <v>3780</v>
      </c>
      <c r="CP47" s="58">
        <v>3780</v>
      </c>
      <c r="CQ47" s="58">
        <v>3780</v>
      </c>
      <c r="CR47" s="58">
        <v>3780</v>
      </c>
      <c r="CS47" s="58">
        <v>3780</v>
      </c>
      <c r="CT47" s="58">
        <v>3780</v>
      </c>
      <c r="CU47" s="58">
        <v>3780</v>
      </c>
      <c r="CV47" s="58">
        <v>3780</v>
      </c>
      <c r="CW47" s="58">
        <v>3780</v>
      </c>
      <c r="CX47" s="58">
        <v>3780</v>
      </c>
      <c r="CY47" s="58">
        <v>3780</v>
      </c>
      <c r="CZ47" s="58">
        <v>3780</v>
      </c>
      <c r="DA47" s="58">
        <v>3780</v>
      </c>
      <c r="DB47" s="58">
        <v>3780</v>
      </c>
      <c r="DC47" s="58">
        <v>3780</v>
      </c>
      <c r="DD47" s="58">
        <v>3780</v>
      </c>
      <c r="DE47" s="58">
        <v>3780</v>
      </c>
      <c r="DF47" s="58">
        <v>3780</v>
      </c>
      <c r="DG47" s="58">
        <v>3780</v>
      </c>
      <c r="DH47" s="58">
        <v>3780</v>
      </c>
      <c r="DI47" s="58">
        <v>3510</v>
      </c>
      <c r="DJ47" s="58">
        <v>3510</v>
      </c>
      <c r="DK47" s="107"/>
      <c r="DL47" s="107"/>
      <c r="DM47" s="107"/>
      <c r="DN47" s="107"/>
      <c r="DO47" s="107"/>
      <c r="DP47" s="107"/>
      <c r="DQ47" s="107"/>
      <c r="DR47" s="107"/>
      <c r="DS47" s="107"/>
      <c r="DT47" s="107"/>
      <c r="DU47" s="107"/>
      <c r="DV47" s="107"/>
      <c r="DW47" s="107"/>
      <c r="DX47" s="107"/>
      <c r="DY47" s="107"/>
      <c r="DZ47" s="107"/>
      <c r="EA47" s="107"/>
      <c r="EB47" s="107"/>
      <c r="EC47" s="107"/>
      <c r="ED47" s="107"/>
      <c r="EE47" s="107"/>
      <c r="EF47" s="107"/>
      <c r="EG47" s="107"/>
      <c r="EH47" s="107"/>
      <c r="EI47" s="107"/>
      <c r="EJ47" s="107"/>
      <c r="EK47" s="107"/>
      <c r="EL47" s="107"/>
      <c r="EM47" s="107"/>
      <c r="EN47" s="107"/>
      <c r="EO47" s="107"/>
      <c r="EP47" s="107"/>
      <c r="EQ47" s="107"/>
      <c r="ER47" s="107"/>
      <c r="ES47" s="107"/>
      <c r="ET47" s="107"/>
      <c r="EU47" s="107"/>
      <c r="EV47" s="107"/>
      <c r="EW47" s="107"/>
      <c r="EX47" s="107"/>
      <c r="EY47" s="107"/>
      <c r="EZ47" s="107"/>
      <c r="FA47" s="107"/>
      <c r="FB47" s="107"/>
      <c r="FC47" s="107"/>
      <c r="FD47" s="107"/>
      <c r="FE47" s="107"/>
      <c r="FF47" s="107"/>
      <c r="FG47" s="107"/>
      <c r="FH47" s="107"/>
      <c r="FI47" s="107"/>
      <c r="FJ47" s="107"/>
      <c r="FK47" s="107"/>
      <c r="FL47" s="107"/>
      <c r="FM47" s="107"/>
      <c r="FN47" s="107"/>
      <c r="FO47" s="107"/>
      <c r="FP47" s="107"/>
      <c r="FQ47" s="107"/>
      <c r="FR47" s="107"/>
      <c r="FS47" s="107"/>
      <c r="FT47" s="107"/>
    </row>
    <row r="48" spans="1:176" x14ac:dyDescent="0.25">
      <c r="A48" s="107"/>
      <c r="B48" s="107"/>
      <c r="C48" s="107"/>
      <c r="D48" s="107"/>
      <c r="E48" s="107"/>
      <c r="F48" s="107"/>
      <c r="G48" s="147" t="str">
        <f>IF(_ibpOfflineCondition_,"000000000000564482-1", _xll.EPMOlapMemberO("[PRDID].[].[000000000000564482-1]","","000000000000564482-1","","000"))</f>
        <v>000000000000564482-1</v>
      </c>
      <c r="H48" s="147" t="str">
        <f>IF(_ibpOfflineCondition_,"FGR+ FIG.PLUS 5/280+40 ANTHR MONIER WB", _xll.EPMOlapMemberO("[PRDDESCR].[].[FGR+ FIG.PLUS 5/280+40 ANTHR MONIER WB]","","FGR+ FIG.PLUS 5/280+40 ANTHR MONIER WB","","000"))</f>
        <v>FGR+ FIG.PLUS 5/280+40 ANTHR MONIER WB</v>
      </c>
      <c r="I48" s="147" t="str">
        <f>IF(_ibpOfflineCondition_,"X0", _xll.EPMOlapMemberO("[MRPTYPE].[].[X0]","","X0","","000"))</f>
        <v>X0</v>
      </c>
      <c r="J48" s="147" t="str">
        <f>IF(_ibpOfflineCondition_,"GSCRM Actual Sales and Unconstrained Demand", _xll.EPMOlapMemberO("[KEY_FIGURES].[].[ZGSCRMACTUALUNCONSDEMAND]","","GSCRM Actual Sales and Unconstrained Demand","","000"))</f>
        <v>GSCRM Actual Sales and Unconstrained Demand</v>
      </c>
      <c r="K48" s="58">
        <v>270</v>
      </c>
      <c r="L48" s="58">
        <v>3240</v>
      </c>
      <c r="M48" s="58">
        <v>1350</v>
      </c>
      <c r="N48" s="58">
        <v>720</v>
      </c>
      <c r="O48" s="58">
        <v>90</v>
      </c>
      <c r="P48" s="58"/>
      <c r="Q48" s="58"/>
      <c r="R48" s="58">
        <v>450</v>
      </c>
      <c r="S48" s="58">
        <v>540</v>
      </c>
      <c r="T48" s="58">
        <v>1710</v>
      </c>
      <c r="U48" s="58">
        <v>4860</v>
      </c>
      <c r="V48" s="58">
        <v>1440</v>
      </c>
      <c r="W48" s="58">
        <v>900</v>
      </c>
      <c r="X48" s="58">
        <v>270</v>
      </c>
      <c r="Y48" s="58">
        <v>1080</v>
      </c>
      <c r="Z48" s="58">
        <v>1980</v>
      </c>
      <c r="AA48" s="58">
        <v>2520</v>
      </c>
      <c r="AB48" s="58"/>
      <c r="AC48" s="58">
        <v>90</v>
      </c>
      <c r="AD48" s="58">
        <v>2430</v>
      </c>
      <c r="AE48" s="58">
        <v>540</v>
      </c>
      <c r="AF48" s="58">
        <v>1440</v>
      </c>
      <c r="AG48" s="58"/>
      <c r="AH48" s="58">
        <v>1350</v>
      </c>
      <c r="AI48" s="58">
        <v>900</v>
      </c>
      <c r="AJ48" s="58">
        <v>90</v>
      </c>
      <c r="AK48" s="58">
        <v>720</v>
      </c>
      <c r="AL48" s="58">
        <v>180</v>
      </c>
      <c r="AM48" s="58">
        <v>810</v>
      </c>
      <c r="AN48" s="58">
        <v>1440</v>
      </c>
      <c r="AO48" s="58">
        <v>450</v>
      </c>
      <c r="AP48" s="58">
        <v>1710</v>
      </c>
      <c r="AQ48" s="58"/>
      <c r="AR48" s="58"/>
      <c r="AS48" s="58">
        <v>180</v>
      </c>
      <c r="AT48" s="58">
        <v>450</v>
      </c>
      <c r="AU48" s="58">
        <v>1170</v>
      </c>
      <c r="AV48" s="58">
        <v>360</v>
      </c>
      <c r="AW48" s="58"/>
      <c r="AX48" s="58">
        <v>90</v>
      </c>
      <c r="AY48" s="58">
        <v>90</v>
      </c>
      <c r="AZ48" s="58"/>
      <c r="BA48" s="58">
        <v>990</v>
      </c>
      <c r="BB48" s="58">
        <v>270</v>
      </c>
      <c r="BC48" s="58">
        <v>360</v>
      </c>
      <c r="BD48" s="58"/>
      <c r="BE48" s="58"/>
      <c r="BF48" s="58"/>
      <c r="BG48" s="58">
        <v>1980</v>
      </c>
      <c r="BH48" s="58">
        <v>2970</v>
      </c>
      <c r="BI48" s="58">
        <v>1890</v>
      </c>
      <c r="BJ48" s="58">
        <v>1530</v>
      </c>
      <c r="BK48" s="58">
        <v>1530</v>
      </c>
      <c r="BL48" s="58">
        <v>900</v>
      </c>
      <c r="BM48" s="58">
        <v>540</v>
      </c>
      <c r="BN48" s="58"/>
      <c r="BO48" s="58">
        <v>810</v>
      </c>
      <c r="BP48" s="58">
        <v>990</v>
      </c>
      <c r="BQ48" s="58">
        <v>1440</v>
      </c>
      <c r="BR48" s="58">
        <v>1440</v>
      </c>
      <c r="BS48" s="58">
        <v>90</v>
      </c>
      <c r="BT48" s="58">
        <v>180</v>
      </c>
      <c r="BU48" s="58">
        <v>1170</v>
      </c>
      <c r="BV48" s="58">
        <v>1170</v>
      </c>
      <c r="BW48" s="58">
        <v>180</v>
      </c>
      <c r="BX48" s="58">
        <v>450</v>
      </c>
      <c r="BY48" s="58">
        <v>180</v>
      </c>
      <c r="BZ48" s="58"/>
      <c r="CA48" s="58">
        <v>90</v>
      </c>
      <c r="CB48" s="58">
        <v>360</v>
      </c>
      <c r="CC48" s="58">
        <v>450</v>
      </c>
      <c r="CD48" s="58">
        <v>270</v>
      </c>
      <c r="CE48" s="58">
        <v>90</v>
      </c>
      <c r="CF48" s="58"/>
      <c r="CG48" s="58">
        <v>90</v>
      </c>
      <c r="CH48" s="58">
        <v>90</v>
      </c>
      <c r="CI48" s="58">
        <v>1530</v>
      </c>
      <c r="CJ48" s="58"/>
      <c r="CK48" s="58">
        <v>1440</v>
      </c>
      <c r="CL48" s="58">
        <v>360</v>
      </c>
      <c r="CM48" s="58">
        <v>2070</v>
      </c>
      <c r="CN48" s="58">
        <v>180</v>
      </c>
      <c r="CO48" s="58">
        <v>720</v>
      </c>
      <c r="CP48" s="58">
        <v>270</v>
      </c>
      <c r="CQ48" s="58">
        <v>720</v>
      </c>
      <c r="CR48" s="58"/>
      <c r="CS48" s="58"/>
      <c r="CT48" s="58">
        <v>180</v>
      </c>
      <c r="CU48" s="58">
        <v>360</v>
      </c>
      <c r="CV48" s="58">
        <v>90</v>
      </c>
      <c r="CW48" s="58">
        <v>900</v>
      </c>
      <c r="CX48" s="58">
        <v>450</v>
      </c>
      <c r="CY48" s="58"/>
      <c r="CZ48" s="58">
        <v>90</v>
      </c>
      <c r="DA48" s="58">
        <v>270</v>
      </c>
      <c r="DB48" s="58"/>
      <c r="DC48" s="58">
        <v>180</v>
      </c>
      <c r="DD48" s="58"/>
      <c r="DE48" s="58"/>
      <c r="DF48" s="58"/>
      <c r="DG48" s="58">
        <v>1880</v>
      </c>
      <c r="DH48" s="58">
        <v>720</v>
      </c>
      <c r="DI48" s="58">
        <v>1170</v>
      </c>
      <c r="DJ48" s="58">
        <v>1080</v>
      </c>
      <c r="DK48" s="107"/>
      <c r="DL48" s="107"/>
      <c r="DM48" s="107"/>
      <c r="DN48" s="107"/>
      <c r="DO48" s="107"/>
      <c r="DP48" s="107"/>
      <c r="DQ48" s="107"/>
      <c r="DR48" s="107"/>
      <c r="DS48" s="107"/>
      <c r="DT48" s="107"/>
      <c r="DU48" s="107"/>
      <c r="DV48" s="107"/>
      <c r="DW48" s="107"/>
      <c r="DX48" s="107"/>
      <c r="DY48" s="107"/>
      <c r="DZ48" s="107"/>
      <c r="EA48" s="107"/>
      <c r="EB48" s="107"/>
      <c r="EC48" s="107"/>
      <c r="ED48" s="107"/>
      <c r="EE48" s="107"/>
      <c r="EF48" s="107"/>
      <c r="EG48" s="107"/>
      <c r="EH48" s="107"/>
      <c r="EI48" s="107"/>
      <c r="EJ48" s="107"/>
      <c r="EK48" s="107"/>
      <c r="EL48" s="107"/>
      <c r="EM48" s="107"/>
      <c r="EN48" s="107"/>
      <c r="EO48" s="107"/>
      <c r="EP48" s="107"/>
      <c r="EQ48" s="107"/>
      <c r="ER48" s="107"/>
      <c r="ES48" s="107"/>
      <c r="ET48" s="107"/>
      <c r="EU48" s="107"/>
      <c r="EV48" s="107"/>
      <c r="EW48" s="107"/>
      <c r="EX48" s="107"/>
      <c r="EY48" s="107"/>
      <c r="EZ48" s="107"/>
      <c r="FA48" s="107"/>
      <c r="FB48" s="107"/>
      <c r="FC48" s="107"/>
      <c r="FD48" s="107"/>
      <c r="FE48" s="107"/>
      <c r="FF48" s="107"/>
      <c r="FG48" s="107"/>
      <c r="FH48" s="107"/>
      <c r="FI48" s="107"/>
      <c r="FJ48" s="107"/>
      <c r="FK48" s="107"/>
      <c r="FL48" s="107"/>
      <c r="FM48" s="107"/>
      <c r="FN48" s="107"/>
      <c r="FO48" s="107"/>
      <c r="FP48" s="107"/>
      <c r="FQ48" s="107"/>
      <c r="FR48" s="107"/>
      <c r="FS48" s="107"/>
      <c r="FT48" s="107"/>
    </row>
    <row r="49" spans="1:176" x14ac:dyDescent="0.25">
      <c r="A49" s="107"/>
      <c r="B49" s="107"/>
      <c r="C49" s="107"/>
      <c r="D49" s="107"/>
      <c r="E49" s="107"/>
      <c r="F49" s="107"/>
      <c r="G49" s="147" t="str">
        <f>IF(_ibpOfflineCondition_,"000000000000564482-1", _xll.EPMOlapMemberO("[PRDID].[].[000000000000564482-1]","","000000000000564482-1","","000"))</f>
        <v>000000000000564482-1</v>
      </c>
      <c r="H49" s="147" t="str">
        <f>IF(_ibpOfflineCondition_,"FGR+ FIG.PLUS 5/280+40 ANTHR MONIER WB", _xll.EPMOlapMemberO("[PRDDESCR].[].[FGR+ FIG.PLUS 5/280+40 ANTHR MONIER WB]","","FGR+ FIG.PLUS 5/280+40 ANTHR MONIER WB","","000"))</f>
        <v>FGR+ FIG.PLUS 5/280+40 ANTHR MONIER WB</v>
      </c>
      <c r="I49" s="147" t="str">
        <f>IF(_ibpOfflineCondition_,"X0", _xll.EPMOlapMemberO("[MRPTYPE].[].[X0]","","X0","","000"))</f>
        <v>X0</v>
      </c>
      <c r="J49" s="147" t="str">
        <f>IF(_ibpOfflineCondition_,"GSCRM Actuals and Future Production", _xll.EPMOlapMemberO("[KEY_FIGURES].[].[ZGSCRMACTUALSPRODUCTION]","","GSCRM Actuals and Future Production","","000"))</f>
        <v>GSCRM Actuals and Future Production</v>
      </c>
      <c r="K49" s="58">
        <v>0</v>
      </c>
      <c r="L49" s="58">
        <v>2880</v>
      </c>
      <c r="M49" s="58">
        <v>0</v>
      </c>
      <c r="N49" s="58">
        <v>0</v>
      </c>
      <c r="O49" s="58">
        <v>0</v>
      </c>
      <c r="P49" s="58">
        <v>0</v>
      </c>
      <c r="Q49" s="58">
        <v>3060</v>
      </c>
      <c r="R49" s="58">
        <v>5580</v>
      </c>
      <c r="S49" s="58">
        <v>0</v>
      </c>
      <c r="T49" s="58">
        <v>4050</v>
      </c>
      <c r="U49" s="58">
        <v>0</v>
      </c>
      <c r="V49" s="58">
        <v>0</v>
      </c>
      <c r="W49" s="58">
        <v>2250</v>
      </c>
      <c r="X49" s="58">
        <v>0</v>
      </c>
      <c r="Y49" s="58">
        <v>3780</v>
      </c>
      <c r="Z49" s="58">
        <v>0</v>
      </c>
      <c r="AA49" s="58">
        <v>1260</v>
      </c>
      <c r="AB49" s="58"/>
      <c r="AC49" s="58">
        <v>0</v>
      </c>
      <c r="AD49" s="58">
        <v>0</v>
      </c>
      <c r="AE49" s="58">
        <v>0</v>
      </c>
      <c r="AF49" s="58">
        <v>1260</v>
      </c>
      <c r="AG49" s="58"/>
      <c r="AH49" s="58">
        <v>2520</v>
      </c>
      <c r="AI49" s="58">
        <v>3780</v>
      </c>
      <c r="AJ49" s="58">
        <v>1440</v>
      </c>
      <c r="AK49" s="58">
        <v>1530</v>
      </c>
      <c r="AL49" s="58">
        <v>1080</v>
      </c>
      <c r="AM49" s="58">
        <v>180</v>
      </c>
      <c r="AN49" s="58">
        <v>1170</v>
      </c>
      <c r="AO49" s="58">
        <v>2520</v>
      </c>
      <c r="AP49" s="58">
        <v>0</v>
      </c>
      <c r="AQ49" s="58">
        <v>1260</v>
      </c>
      <c r="AR49" s="58"/>
      <c r="AS49" s="58">
        <v>0</v>
      </c>
      <c r="AT49" s="58">
        <v>0</v>
      </c>
      <c r="AU49" s="58">
        <v>90</v>
      </c>
      <c r="AV49" s="58">
        <v>2430</v>
      </c>
      <c r="AW49" s="58">
        <v>720</v>
      </c>
      <c r="AX49" s="58">
        <v>1800</v>
      </c>
      <c r="AY49" s="58">
        <v>0</v>
      </c>
      <c r="AZ49" s="58"/>
      <c r="BA49" s="58">
        <v>0</v>
      </c>
      <c r="BB49" s="58">
        <v>0</v>
      </c>
      <c r="BC49" s="58">
        <v>0</v>
      </c>
      <c r="BD49" s="58"/>
      <c r="BE49" s="58"/>
      <c r="BF49" s="58"/>
      <c r="BG49" s="58">
        <v>0</v>
      </c>
      <c r="BH49" s="58">
        <v>0</v>
      </c>
      <c r="BI49" s="58">
        <v>0</v>
      </c>
      <c r="BJ49" s="58">
        <v>0</v>
      </c>
      <c r="BK49" s="58">
        <v>2520</v>
      </c>
      <c r="BL49" s="58">
        <v>0</v>
      </c>
      <c r="BM49" s="58">
        <v>0</v>
      </c>
      <c r="BN49" s="58">
        <v>4410</v>
      </c>
      <c r="BO49" s="58">
        <v>1440</v>
      </c>
      <c r="BP49" s="58">
        <v>0</v>
      </c>
      <c r="BQ49" s="58">
        <v>270</v>
      </c>
      <c r="BR49" s="58">
        <v>720</v>
      </c>
      <c r="BS49" s="58">
        <v>3060</v>
      </c>
      <c r="BT49" s="58">
        <v>2160</v>
      </c>
      <c r="BU49" s="58">
        <v>0</v>
      </c>
      <c r="BV49" s="58">
        <v>0</v>
      </c>
      <c r="BW49" s="58">
        <v>0</v>
      </c>
      <c r="BX49" s="58">
        <v>0</v>
      </c>
      <c r="BY49" s="58">
        <v>0</v>
      </c>
      <c r="BZ49" s="58"/>
      <c r="CA49" s="58">
        <v>0</v>
      </c>
      <c r="CB49" s="58">
        <v>1260</v>
      </c>
      <c r="CC49" s="58">
        <v>2520</v>
      </c>
      <c r="CD49" s="58">
        <v>0</v>
      </c>
      <c r="CE49" s="58">
        <v>0</v>
      </c>
      <c r="CF49" s="58"/>
      <c r="CG49" s="58">
        <v>0</v>
      </c>
      <c r="CH49" s="58">
        <v>0</v>
      </c>
      <c r="CI49" s="58">
        <v>0</v>
      </c>
      <c r="CJ49" s="58"/>
      <c r="CK49" s="58">
        <v>0</v>
      </c>
      <c r="CL49" s="58">
        <v>0</v>
      </c>
      <c r="CM49" s="58">
        <v>0</v>
      </c>
      <c r="CN49" s="58">
        <v>0</v>
      </c>
      <c r="CO49" s="58">
        <v>3960</v>
      </c>
      <c r="CP49" s="58">
        <v>0</v>
      </c>
      <c r="CQ49" s="58">
        <v>0</v>
      </c>
      <c r="CR49" s="58"/>
      <c r="CS49" s="58"/>
      <c r="CT49" s="58">
        <v>0</v>
      </c>
      <c r="CU49" s="58">
        <v>0</v>
      </c>
      <c r="CV49" s="58">
        <v>0</v>
      </c>
      <c r="CW49" s="58">
        <v>2340</v>
      </c>
      <c r="CX49" s="58">
        <v>0</v>
      </c>
      <c r="CY49" s="58"/>
      <c r="CZ49" s="58">
        <v>0</v>
      </c>
      <c r="DA49" s="58">
        <v>0</v>
      </c>
      <c r="DB49" s="58">
        <v>270</v>
      </c>
      <c r="DC49" s="58">
        <v>0</v>
      </c>
      <c r="DD49" s="58"/>
      <c r="DE49" s="58"/>
      <c r="DF49" s="58"/>
      <c r="DG49" s="58">
        <v>0</v>
      </c>
      <c r="DH49" s="58">
        <v>0</v>
      </c>
      <c r="DI49" s="58">
        <v>990</v>
      </c>
      <c r="DJ49" s="58">
        <v>1710</v>
      </c>
      <c r="DK49" s="107"/>
      <c r="DL49" s="107"/>
      <c r="DM49" s="107"/>
      <c r="DN49" s="107"/>
      <c r="DO49" s="107"/>
      <c r="DP49" s="107"/>
      <c r="DQ49" s="107"/>
      <c r="DR49" s="107"/>
      <c r="DS49" s="107"/>
      <c r="DT49" s="107"/>
      <c r="DU49" s="107"/>
      <c r="DV49" s="107"/>
      <c r="DW49" s="107"/>
      <c r="DX49" s="107"/>
      <c r="DY49" s="107"/>
      <c r="DZ49" s="107"/>
      <c r="EA49" s="107"/>
      <c r="EB49" s="107"/>
      <c r="EC49" s="107"/>
      <c r="ED49" s="107"/>
      <c r="EE49" s="107"/>
      <c r="EF49" s="107"/>
      <c r="EG49" s="107"/>
      <c r="EH49" s="107"/>
      <c r="EI49" s="107"/>
      <c r="EJ49" s="107"/>
      <c r="EK49" s="107"/>
      <c r="EL49" s="107"/>
      <c r="EM49" s="107"/>
      <c r="EN49" s="107"/>
      <c r="EO49" s="107"/>
      <c r="EP49" s="107"/>
      <c r="EQ49" s="107"/>
      <c r="ER49" s="107"/>
      <c r="ES49" s="107"/>
      <c r="ET49" s="107"/>
      <c r="EU49" s="107"/>
      <c r="EV49" s="107"/>
      <c r="EW49" s="107"/>
      <c r="EX49" s="107"/>
      <c r="EY49" s="107"/>
      <c r="EZ49" s="107"/>
      <c r="FA49" s="107"/>
      <c r="FB49" s="107"/>
      <c r="FC49" s="107"/>
      <c r="FD49" s="107"/>
      <c r="FE49" s="107"/>
      <c r="FF49" s="107"/>
      <c r="FG49" s="107"/>
      <c r="FH49" s="107"/>
      <c r="FI49" s="107"/>
      <c r="FJ49" s="107"/>
      <c r="FK49" s="107"/>
      <c r="FL49" s="107"/>
      <c r="FM49" s="107"/>
      <c r="FN49" s="107"/>
      <c r="FO49" s="107"/>
      <c r="FP49" s="107"/>
      <c r="FQ49" s="107"/>
      <c r="FR49" s="107"/>
      <c r="FS49" s="107"/>
      <c r="FT49" s="107"/>
    </row>
    <row r="50" spans="1:176" x14ac:dyDescent="0.25">
      <c r="A50" s="107"/>
      <c r="B50" s="107"/>
      <c r="C50" s="107"/>
      <c r="D50" s="107"/>
      <c r="E50" s="107"/>
      <c r="F50" s="107"/>
      <c r="G50" s="147" t="str">
        <f>IF(_ibpOfflineCondition_,"000000000000564482-1", _xll.EPMOlapMemberO("[PRDID].[].[000000000000564482-1]","","000000000000564482-1","","000"))</f>
        <v>000000000000564482-1</v>
      </c>
      <c r="H50" s="147" t="str">
        <f>IF(_ibpOfflineCondition_,"FGR+ FIG.PLUS 5/280+40 ANTHR MONIER WB", _xll.EPMOlapMemberO("[PRDDESCR].[].[FGR+ FIG.PLUS 5/280+40 ANTHR MONIER WB]","","FGR+ FIG.PLUS 5/280+40 ANTHR MONIER WB","","000"))</f>
        <v>FGR+ FIG.PLUS 5/280+40 ANTHR MONIER WB</v>
      </c>
      <c r="I50" s="147" t="str">
        <f>IF(_ibpOfflineCondition_,"X0", _xll.EPMOlapMemberO("[MRPTYPE].[].[X0]","","X0","","000"))</f>
        <v>X0</v>
      </c>
      <c r="J50" s="147" t="str">
        <f>IF(_ibpOfflineCondition_,"GSCRM Projected Stock (Unconstrained Demand)", _xll.EPMOlapMemberO("[KEY_FIGURES].[].[ZGSCRMUNCONSINVENTORY]","","GSCRM Projected Stock (Unconstrained Demand)","","000"))</f>
        <v>GSCRM Projected Stock (Unconstrained Demand)</v>
      </c>
      <c r="K50" s="58">
        <v>3320</v>
      </c>
      <c r="L50" s="58">
        <v>2960</v>
      </c>
      <c r="M50" s="58">
        <v>1610</v>
      </c>
      <c r="N50" s="58">
        <v>890</v>
      </c>
      <c r="O50" s="58">
        <v>800</v>
      </c>
      <c r="P50" s="58">
        <v>800</v>
      </c>
      <c r="Q50" s="58">
        <v>3590</v>
      </c>
      <c r="R50" s="58">
        <v>8990</v>
      </c>
      <c r="S50" s="58"/>
      <c r="T50" s="58">
        <v>10790</v>
      </c>
      <c r="U50" s="58">
        <v>5930</v>
      </c>
      <c r="V50" s="58">
        <v>4490</v>
      </c>
      <c r="W50" s="58">
        <v>5570</v>
      </c>
      <c r="X50" s="58">
        <v>5570</v>
      </c>
      <c r="Y50" s="58">
        <v>8270</v>
      </c>
      <c r="Z50" s="58">
        <v>6110</v>
      </c>
      <c r="AA50" s="58">
        <v>5030</v>
      </c>
      <c r="AB50" s="58">
        <v>5030</v>
      </c>
      <c r="AC50" s="58">
        <v>4940</v>
      </c>
      <c r="AD50" s="58">
        <v>2510</v>
      </c>
      <c r="AE50" s="58">
        <v>1970</v>
      </c>
      <c r="AF50" s="58">
        <v>1790</v>
      </c>
      <c r="AG50" s="58">
        <v>1790</v>
      </c>
      <c r="AH50" s="58">
        <v>2960</v>
      </c>
      <c r="AI50" s="58">
        <v>5840</v>
      </c>
      <c r="AJ50" s="58">
        <v>7190</v>
      </c>
      <c r="AK50" s="58">
        <v>8720</v>
      </c>
      <c r="AL50" s="58">
        <v>9080</v>
      </c>
      <c r="AM50" s="58">
        <v>9080</v>
      </c>
      <c r="AN50" s="58">
        <v>8000</v>
      </c>
      <c r="AO50" s="58">
        <v>10070</v>
      </c>
      <c r="AP50" s="58">
        <v>8360</v>
      </c>
      <c r="AQ50" s="58">
        <v>9620</v>
      </c>
      <c r="AR50" s="58">
        <v>9620</v>
      </c>
      <c r="AS50" s="58">
        <v>9170</v>
      </c>
      <c r="AT50" s="58">
        <v>8990</v>
      </c>
      <c r="AU50" s="58">
        <v>7910</v>
      </c>
      <c r="AV50" s="58">
        <v>9980</v>
      </c>
      <c r="AW50" s="58">
        <v>10700</v>
      </c>
      <c r="AX50" s="58">
        <v>12320</v>
      </c>
      <c r="AY50" s="58">
        <v>12230</v>
      </c>
      <c r="AZ50" s="58">
        <v>12230</v>
      </c>
      <c r="BA50" s="58">
        <v>11240</v>
      </c>
      <c r="BB50" s="58">
        <v>10790</v>
      </c>
      <c r="BC50" s="58">
        <v>10610</v>
      </c>
      <c r="BD50" s="58">
        <v>10610</v>
      </c>
      <c r="BE50" s="58">
        <v>10610</v>
      </c>
      <c r="BF50" s="58">
        <v>10610</v>
      </c>
      <c r="BG50" s="58">
        <v>8630</v>
      </c>
      <c r="BH50" s="58">
        <v>4130</v>
      </c>
      <c r="BI50" s="58">
        <v>3770</v>
      </c>
      <c r="BJ50" s="58">
        <v>2150</v>
      </c>
      <c r="BK50" s="58">
        <v>3230</v>
      </c>
      <c r="BL50" s="58">
        <v>2330</v>
      </c>
      <c r="BM50" s="58">
        <v>1790</v>
      </c>
      <c r="BN50" s="58">
        <v>5480</v>
      </c>
      <c r="BO50" s="58">
        <v>6470</v>
      </c>
      <c r="BP50" s="58">
        <v>5840</v>
      </c>
      <c r="BQ50" s="58">
        <v>4670</v>
      </c>
      <c r="BR50" s="58">
        <v>3860</v>
      </c>
      <c r="BS50" s="58">
        <v>6920</v>
      </c>
      <c r="BT50" s="58">
        <v>8900</v>
      </c>
      <c r="BU50" s="58">
        <v>7730</v>
      </c>
      <c r="BV50" s="58">
        <v>6560</v>
      </c>
      <c r="BW50" s="58">
        <v>6380</v>
      </c>
      <c r="BX50" s="58">
        <v>5930</v>
      </c>
      <c r="BY50" s="58">
        <v>5750</v>
      </c>
      <c r="BZ50" s="58">
        <v>5750</v>
      </c>
      <c r="CA50" s="58">
        <v>5660</v>
      </c>
      <c r="CB50" s="58">
        <v>6560</v>
      </c>
      <c r="CC50" s="58">
        <v>8630</v>
      </c>
      <c r="CD50" s="58">
        <v>8360</v>
      </c>
      <c r="CE50" s="58">
        <v>8270</v>
      </c>
      <c r="CF50" s="58">
        <v>8270</v>
      </c>
      <c r="CG50" s="58">
        <v>8180</v>
      </c>
      <c r="CH50" s="58">
        <v>7820</v>
      </c>
      <c r="CI50" s="58">
        <v>6560</v>
      </c>
      <c r="CJ50" s="58">
        <v>6560</v>
      </c>
      <c r="CK50" s="58">
        <v>5120</v>
      </c>
      <c r="CL50" s="58">
        <v>4760</v>
      </c>
      <c r="CM50" s="58">
        <v>2690</v>
      </c>
      <c r="CN50" s="58">
        <v>2510</v>
      </c>
      <c r="CO50" s="58">
        <v>5480</v>
      </c>
      <c r="CP50" s="58">
        <v>5480</v>
      </c>
      <c r="CQ50" s="58">
        <v>4760</v>
      </c>
      <c r="CR50" s="58">
        <v>4760</v>
      </c>
      <c r="CS50" s="58">
        <v>4760</v>
      </c>
      <c r="CT50" s="58">
        <v>4580</v>
      </c>
      <c r="CU50" s="58">
        <v>4130</v>
      </c>
      <c r="CV50" s="58">
        <v>4040</v>
      </c>
      <c r="CW50" s="58">
        <v>5570</v>
      </c>
      <c r="CX50" s="58">
        <v>5120</v>
      </c>
      <c r="CY50" s="58">
        <v>5120</v>
      </c>
      <c r="CZ50" s="58">
        <v>4850</v>
      </c>
      <c r="DA50" s="58">
        <v>4760</v>
      </c>
      <c r="DB50" s="58">
        <v>4850</v>
      </c>
      <c r="DC50" s="58">
        <v>4850</v>
      </c>
      <c r="DD50" s="58">
        <v>4850</v>
      </c>
      <c r="DE50" s="58">
        <v>4850</v>
      </c>
      <c r="DF50" s="58">
        <v>4850</v>
      </c>
      <c r="DG50" s="58">
        <v>2970</v>
      </c>
      <c r="DH50" s="58">
        <v>2250</v>
      </c>
      <c r="DI50" s="58">
        <v>2070</v>
      </c>
      <c r="DJ50" s="58">
        <v>2970</v>
      </c>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row>
    <row r="51" spans="1:176" x14ac:dyDescent="0.25">
      <c r="A51" s="107"/>
      <c r="B51" s="107"/>
      <c r="C51" s="107"/>
      <c r="D51" s="107"/>
      <c r="E51" s="107"/>
      <c r="F51" s="107"/>
      <c r="G51" s="147" t="str">
        <f>IF(_ibpOfflineCondition_,"000000000000564483-1", _xll.EPMOlapMemberO("[PRDID].[].[000000000000564483-1]","","000000000000564483-1","","000"))</f>
        <v>000000000000564483-1</v>
      </c>
      <c r="H51" s="147" t="str">
        <f>IF(_ibpOfflineCondition_,"FGR+ FIG.PLUS 5/280+40 ROT MONIER WB", _xll.EPMOlapMemberO("[PRDDESCR].[].[FGR+ FIG.PLUS 5/280+40 ROT MONIER WB]","","FGR+ FIG.PLUS 5/280+40 ROT MONIER WB","","000"))</f>
        <v>FGR+ FIG.PLUS 5/280+40 ROT MONIER WB</v>
      </c>
      <c r="I51" s="147" t="str">
        <f>IF(_ibpOfflineCondition_,"X0", _xll.EPMOlapMemberO("[MRPTYPE].[].[X0]","","X0","","000"))</f>
        <v>X0</v>
      </c>
      <c r="J51" s="147" t="str">
        <f>IF(_ibpOfflineCondition_,"GSCRM Actual Sales and Unconstrained Demand", _xll.EPMOlapMemberO("[KEY_FIGURES].[].[ZGSCRMACTUALUNCONSDEMAND]","","GSCRM Actual Sales and Unconstrained Demand","","000"))</f>
        <v>GSCRM Actual Sales and Unconstrained Demand</v>
      </c>
      <c r="K51" s="58">
        <v>2340</v>
      </c>
      <c r="L51" s="58">
        <v>540</v>
      </c>
      <c r="M51" s="58">
        <v>180</v>
      </c>
      <c r="N51" s="58">
        <v>180</v>
      </c>
      <c r="O51" s="58">
        <v>1710</v>
      </c>
      <c r="P51" s="58">
        <v>180</v>
      </c>
      <c r="Q51" s="58">
        <v>180</v>
      </c>
      <c r="R51" s="58">
        <v>270</v>
      </c>
      <c r="S51" s="58">
        <v>450</v>
      </c>
      <c r="T51" s="58">
        <v>810</v>
      </c>
      <c r="U51" s="58">
        <v>360</v>
      </c>
      <c r="V51" s="58">
        <v>2250</v>
      </c>
      <c r="W51" s="58">
        <v>450</v>
      </c>
      <c r="X51" s="58">
        <v>180</v>
      </c>
      <c r="Y51" s="58">
        <v>720</v>
      </c>
      <c r="Z51" s="58">
        <v>450</v>
      </c>
      <c r="AA51" s="58">
        <v>450</v>
      </c>
      <c r="AB51" s="58">
        <v>270</v>
      </c>
      <c r="AC51" s="58">
        <v>540</v>
      </c>
      <c r="AD51" s="58">
        <v>900</v>
      </c>
      <c r="AE51" s="58">
        <v>810</v>
      </c>
      <c r="AF51" s="58">
        <v>2520</v>
      </c>
      <c r="AG51" s="58">
        <v>630</v>
      </c>
      <c r="AH51" s="58">
        <v>900</v>
      </c>
      <c r="AI51" s="58">
        <v>360</v>
      </c>
      <c r="AJ51" s="58">
        <v>180</v>
      </c>
      <c r="AK51" s="58">
        <v>180</v>
      </c>
      <c r="AL51" s="58">
        <v>270</v>
      </c>
      <c r="AM51" s="58"/>
      <c r="AN51" s="58">
        <v>990</v>
      </c>
      <c r="AO51" s="58">
        <v>180</v>
      </c>
      <c r="AP51" s="58">
        <v>720</v>
      </c>
      <c r="AQ51" s="58">
        <v>90</v>
      </c>
      <c r="AR51" s="58">
        <v>270</v>
      </c>
      <c r="AS51" s="58">
        <v>90</v>
      </c>
      <c r="AT51" s="58">
        <v>90</v>
      </c>
      <c r="AU51" s="58">
        <v>1260</v>
      </c>
      <c r="AV51" s="58">
        <v>360</v>
      </c>
      <c r="AW51" s="58"/>
      <c r="AX51" s="58"/>
      <c r="AY51" s="58">
        <v>270</v>
      </c>
      <c r="AZ51" s="58"/>
      <c r="BA51" s="58">
        <v>90</v>
      </c>
      <c r="BB51" s="58">
        <v>360</v>
      </c>
      <c r="BC51" s="58">
        <v>90</v>
      </c>
      <c r="BD51" s="58"/>
      <c r="BE51" s="58"/>
      <c r="BF51" s="58"/>
      <c r="BG51" s="58">
        <v>900</v>
      </c>
      <c r="BH51" s="58">
        <v>3330</v>
      </c>
      <c r="BI51" s="58"/>
      <c r="BJ51" s="58">
        <v>1170</v>
      </c>
      <c r="BK51" s="58">
        <v>360</v>
      </c>
      <c r="BL51" s="58">
        <v>450</v>
      </c>
      <c r="BM51" s="58">
        <v>270</v>
      </c>
      <c r="BN51" s="58">
        <v>270</v>
      </c>
      <c r="BO51" s="58">
        <v>450</v>
      </c>
      <c r="BP51" s="58">
        <v>1170</v>
      </c>
      <c r="BQ51" s="58">
        <v>360</v>
      </c>
      <c r="BR51" s="58">
        <v>900</v>
      </c>
      <c r="BS51" s="58">
        <v>990</v>
      </c>
      <c r="BT51" s="58">
        <v>540</v>
      </c>
      <c r="BU51" s="58">
        <v>450</v>
      </c>
      <c r="BV51" s="58">
        <v>810</v>
      </c>
      <c r="BW51" s="58"/>
      <c r="BX51" s="58">
        <v>90</v>
      </c>
      <c r="BY51" s="58">
        <v>270</v>
      </c>
      <c r="BZ51" s="58"/>
      <c r="CA51" s="58">
        <v>270</v>
      </c>
      <c r="CB51" s="58">
        <v>630</v>
      </c>
      <c r="CC51" s="58">
        <v>1530</v>
      </c>
      <c r="CD51" s="58"/>
      <c r="CE51" s="58">
        <v>90</v>
      </c>
      <c r="CF51" s="58"/>
      <c r="CG51" s="58"/>
      <c r="CH51" s="58">
        <v>1710</v>
      </c>
      <c r="CI51" s="58">
        <v>810</v>
      </c>
      <c r="CJ51" s="58"/>
      <c r="CK51" s="58">
        <v>360</v>
      </c>
      <c r="CL51" s="58"/>
      <c r="CM51" s="58">
        <v>450</v>
      </c>
      <c r="CN51" s="58">
        <v>180</v>
      </c>
      <c r="CO51" s="58">
        <v>180</v>
      </c>
      <c r="CP51" s="58">
        <v>270</v>
      </c>
      <c r="CQ51" s="58">
        <v>360</v>
      </c>
      <c r="CR51" s="58"/>
      <c r="CS51" s="58"/>
      <c r="CT51" s="58"/>
      <c r="CU51" s="58">
        <v>360</v>
      </c>
      <c r="CV51" s="58">
        <v>270</v>
      </c>
      <c r="CW51" s="58">
        <v>2250</v>
      </c>
      <c r="CX51" s="58"/>
      <c r="CY51" s="58"/>
      <c r="CZ51" s="58"/>
      <c r="DA51" s="58">
        <v>270</v>
      </c>
      <c r="DB51" s="58"/>
      <c r="DC51" s="58">
        <v>90</v>
      </c>
      <c r="DD51" s="58">
        <v>90</v>
      </c>
      <c r="DE51" s="58"/>
      <c r="DF51" s="58"/>
      <c r="DG51" s="58">
        <v>900</v>
      </c>
      <c r="DH51" s="58">
        <v>810</v>
      </c>
      <c r="DI51" s="58">
        <v>2700</v>
      </c>
      <c r="DJ51" s="58">
        <v>630</v>
      </c>
      <c r="DK51" s="107"/>
      <c r="DL51" s="107"/>
      <c r="DM51" s="107"/>
      <c r="DN51" s="107"/>
      <c r="DO51" s="107"/>
      <c r="DP51" s="107"/>
      <c r="DQ51" s="107"/>
      <c r="DR51" s="107"/>
      <c r="DS51" s="107"/>
      <c r="DT51" s="107"/>
      <c r="DU51" s="107"/>
      <c r="DV51" s="107"/>
      <c r="DW51" s="107"/>
      <c r="DX51" s="107"/>
      <c r="DY51" s="107"/>
      <c r="DZ51" s="107"/>
      <c r="EA51" s="107"/>
      <c r="EB51" s="107"/>
      <c r="EC51" s="107"/>
      <c r="ED51" s="107"/>
      <c r="EE51" s="107"/>
      <c r="EF51" s="107"/>
      <c r="EG51" s="107"/>
      <c r="EH51" s="107"/>
      <c r="EI51" s="107"/>
      <c r="EJ51" s="107"/>
      <c r="EK51" s="107"/>
      <c r="EL51" s="107"/>
      <c r="EM51" s="107"/>
      <c r="EN51" s="107"/>
      <c r="EO51" s="107"/>
      <c r="EP51" s="107"/>
      <c r="EQ51" s="107"/>
      <c r="ER51" s="107"/>
      <c r="ES51" s="107"/>
      <c r="ET51" s="107"/>
      <c r="EU51" s="107"/>
      <c r="EV51" s="107"/>
      <c r="EW51" s="107"/>
      <c r="EX51" s="107"/>
      <c r="EY51" s="107"/>
      <c r="EZ51" s="107"/>
      <c r="FA51" s="107"/>
      <c r="FB51" s="107"/>
      <c r="FC51" s="107"/>
      <c r="FD51" s="107"/>
      <c r="FE51" s="107"/>
      <c r="FF51" s="107"/>
      <c r="FG51" s="107"/>
      <c r="FH51" s="107"/>
      <c r="FI51" s="107"/>
      <c r="FJ51" s="107"/>
      <c r="FK51" s="107"/>
      <c r="FL51" s="107"/>
      <c r="FM51" s="107"/>
      <c r="FN51" s="107"/>
      <c r="FO51" s="107"/>
      <c r="FP51" s="107"/>
      <c r="FQ51" s="107"/>
      <c r="FR51" s="107"/>
      <c r="FS51" s="107"/>
      <c r="FT51" s="107"/>
    </row>
    <row r="52" spans="1:176" x14ac:dyDescent="0.25">
      <c r="A52" s="107"/>
      <c r="B52" s="107"/>
      <c r="C52" s="107"/>
      <c r="D52" s="107"/>
      <c r="E52" s="107"/>
      <c r="F52" s="107"/>
      <c r="G52" s="147" t="str">
        <f>IF(_ibpOfflineCondition_,"000000000000564483-1", _xll.EPMOlapMemberO("[PRDID].[].[000000000000564483-1]","","000000000000564483-1","","000"))</f>
        <v>000000000000564483-1</v>
      </c>
      <c r="H52" s="147" t="str">
        <f>IF(_ibpOfflineCondition_,"FGR+ FIG.PLUS 5/280+40 ROT MONIER WB", _xll.EPMOlapMemberO("[PRDDESCR].[].[FGR+ FIG.PLUS 5/280+40 ROT MONIER WB]","","FGR+ FIG.PLUS 5/280+40 ROT MONIER WB","","000"))</f>
        <v>FGR+ FIG.PLUS 5/280+40 ROT MONIER WB</v>
      </c>
      <c r="I52" s="147" t="str">
        <f>IF(_ibpOfflineCondition_,"X0", _xll.EPMOlapMemberO("[MRPTYPE].[].[X0]","","X0","","000"))</f>
        <v>X0</v>
      </c>
      <c r="J52" s="147" t="str">
        <f>IF(_ibpOfflineCondition_,"GSCRM Actuals and Future Production", _xll.EPMOlapMemberO("[KEY_FIGURES].[].[ZGSCRMACTUALSPRODUCTION]","","GSCRM Actuals and Future Production","","000"))</f>
        <v>GSCRM Actuals and Future Production</v>
      </c>
      <c r="K52" s="58">
        <v>0</v>
      </c>
      <c r="L52" s="58">
        <v>0</v>
      </c>
      <c r="M52" s="58">
        <v>2530</v>
      </c>
      <c r="N52" s="58">
        <v>0</v>
      </c>
      <c r="O52" s="58">
        <v>0</v>
      </c>
      <c r="P52" s="58">
        <v>0</v>
      </c>
      <c r="Q52" s="58">
        <v>0</v>
      </c>
      <c r="R52" s="58">
        <v>4680</v>
      </c>
      <c r="S52" s="58">
        <v>630</v>
      </c>
      <c r="T52" s="58">
        <v>1890</v>
      </c>
      <c r="U52" s="58">
        <v>0</v>
      </c>
      <c r="V52" s="58">
        <v>0</v>
      </c>
      <c r="W52" s="58">
        <v>0</v>
      </c>
      <c r="X52" s="58">
        <v>3780</v>
      </c>
      <c r="Y52" s="58">
        <v>0</v>
      </c>
      <c r="Z52" s="58">
        <v>0</v>
      </c>
      <c r="AA52" s="58">
        <v>0</v>
      </c>
      <c r="AB52" s="58">
        <v>0</v>
      </c>
      <c r="AC52" s="58">
        <v>1260</v>
      </c>
      <c r="AD52" s="58">
        <v>0</v>
      </c>
      <c r="AE52" s="58">
        <v>0</v>
      </c>
      <c r="AF52" s="58">
        <v>1260</v>
      </c>
      <c r="AG52" s="58">
        <v>0</v>
      </c>
      <c r="AH52" s="58">
        <v>3420</v>
      </c>
      <c r="AI52" s="58">
        <v>1260</v>
      </c>
      <c r="AJ52" s="58">
        <v>0</v>
      </c>
      <c r="AK52" s="58">
        <v>0</v>
      </c>
      <c r="AL52" s="58">
        <v>0</v>
      </c>
      <c r="AM52" s="58"/>
      <c r="AN52" s="58">
        <v>0</v>
      </c>
      <c r="AO52" s="58">
        <v>0</v>
      </c>
      <c r="AP52" s="58">
        <v>0</v>
      </c>
      <c r="AQ52" s="58">
        <v>2520</v>
      </c>
      <c r="AR52" s="58">
        <v>0</v>
      </c>
      <c r="AS52" s="58">
        <v>0</v>
      </c>
      <c r="AT52" s="58">
        <v>1260</v>
      </c>
      <c r="AU52" s="58">
        <v>0</v>
      </c>
      <c r="AV52" s="58">
        <v>0</v>
      </c>
      <c r="AW52" s="58">
        <v>2610</v>
      </c>
      <c r="AX52" s="58">
        <v>2250</v>
      </c>
      <c r="AY52" s="58">
        <v>0</v>
      </c>
      <c r="AZ52" s="58"/>
      <c r="BA52" s="58">
        <v>0</v>
      </c>
      <c r="BB52" s="58">
        <v>0</v>
      </c>
      <c r="BC52" s="58">
        <v>0</v>
      </c>
      <c r="BD52" s="58"/>
      <c r="BE52" s="58"/>
      <c r="BF52" s="58"/>
      <c r="BG52" s="58">
        <v>0</v>
      </c>
      <c r="BH52" s="58">
        <v>0</v>
      </c>
      <c r="BI52" s="58"/>
      <c r="BJ52" s="58">
        <v>0</v>
      </c>
      <c r="BK52" s="58">
        <v>0</v>
      </c>
      <c r="BL52" s="58">
        <v>0</v>
      </c>
      <c r="BM52" s="58">
        <v>0</v>
      </c>
      <c r="BN52" s="58">
        <v>2160</v>
      </c>
      <c r="BO52" s="58">
        <v>0</v>
      </c>
      <c r="BP52" s="58">
        <v>0</v>
      </c>
      <c r="BQ52" s="58">
        <v>4500</v>
      </c>
      <c r="BR52" s="58">
        <v>0</v>
      </c>
      <c r="BS52" s="58">
        <v>1800</v>
      </c>
      <c r="BT52" s="58">
        <v>3240</v>
      </c>
      <c r="BU52" s="58">
        <v>0</v>
      </c>
      <c r="BV52" s="58">
        <v>0</v>
      </c>
      <c r="BW52" s="58"/>
      <c r="BX52" s="58">
        <v>1800</v>
      </c>
      <c r="BY52" s="58">
        <v>0</v>
      </c>
      <c r="BZ52" s="58"/>
      <c r="CA52" s="58">
        <v>0</v>
      </c>
      <c r="CB52" s="58">
        <v>1260</v>
      </c>
      <c r="CC52" s="58">
        <v>1260</v>
      </c>
      <c r="CD52" s="58">
        <v>1080</v>
      </c>
      <c r="CE52" s="58">
        <v>1080</v>
      </c>
      <c r="CF52" s="58"/>
      <c r="CG52" s="58"/>
      <c r="CH52" s="58">
        <v>0</v>
      </c>
      <c r="CI52" s="58">
        <v>0</v>
      </c>
      <c r="CJ52" s="58"/>
      <c r="CK52" s="58">
        <v>0</v>
      </c>
      <c r="CL52" s="58"/>
      <c r="CM52" s="58">
        <v>0</v>
      </c>
      <c r="CN52" s="58">
        <v>0</v>
      </c>
      <c r="CO52" s="58">
        <v>0</v>
      </c>
      <c r="CP52" s="58">
        <v>0</v>
      </c>
      <c r="CQ52" s="58">
        <v>0</v>
      </c>
      <c r="CR52" s="58"/>
      <c r="CS52" s="58"/>
      <c r="CT52" s="58"/>
      <c r="CU52" s="58">
        <v>0</v>
      </c>
      <c r="CV52" s="58">
        <v>0</v>
      </c>
      <c r="CW52" s="58">
        <v>0</v>
      </c>
      <c r="CX52" s="58"/>
      <c r="CY52" s="58"/>
      <c r="CZ52" s="58"/>
      <c r="DA52" s="58">
        <v>0</v>
      </c>
      <c r="DB52" s="58"/>
      <c r="DC52" s="58">
        <v>0</v>
      </c>
      <c r="DD52" s="58">
        <v>0</v>
      </c>
      <c r="DE52" s="58"/>
      <c r="DF52" s="58"/>
      <c r="DG52" s="58">
        <v>3780</v>
      </c>
      <c r="DH52" s="58">
        <v>0</v>
      </c>
      <c r="DI52" s="58">
        <v>0</v>
      </c>
      <c r="DJ52" s="58">
        <v>0</v>
      </c>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c r="FG52" s="107"/>
      <c r="FH52" s="107"/>
      <c r="FI52" s="107"/>
      <c r="FJ52" s="107"/>
      <c r="FK52" s="107"/>
      <c r="FL52" s="107"/>
      <c r="FM52" s="107"/>
      <c r="FN52" s="107"/>
      <c r="FO52" s="107"/>
      <c r="FP52" s="107"/>
      <c r="FQ52" s="107"/>
      <c r="FR52" s="107"/>
      <c r="FS52" s="107"/>
      <c r="FT52" s="107"/>
    </row>
    <row r="53" spans="1:176" x14ac:dyDescent="0.25">
      <c r="A53" s="107"/>
      <c r="B53" s="107"/>
      <c r="C53" s="107"/>
      <c r="D53" s="107"/>
      <c r="E53" s="107"/>
      <c r="F53" s="107"/>
      <c r="G53" s="147" t="str">
        <f>IF(_ibpOfflineCondition_,"000000000000564483-1", _xll.EPMOlapMemberO("[PRDID].[].[000000000000564483-1]","","000000000000564483-1","","000"))</f>
        <v>000000000000564483-1</v>
      </c>
      <c r="H53" s="147" t="str">
        <f>IF(_ibpOfflineCondition_,"FGR+ FIG.PLUS 5/280+40 ROT MONIER WB", _xll.EPMOlapMemberO("[PRDDESCR].[].[FGR+ FIG.PLUS 5/280+40 ROT MONIER WB]","","FGR+ FIG.PLUS 5/280+40 ROT MONIER WB","","000"))</f>
        <v>FGR+ FIG.PLUS 5/280+40 ROT MONIER WB</v>
      </c>
      <c r="I53" s="147" t="str">
        <f>IF(_ibpOfflineCondition_,"X0", _xll.EPMOlapMemberO("[MRPTYPE].[].[X0]","","X0","","000"))</f>
        <v>X0</v>
      </c>
      <c r="J53" s="147" t="str">
        <f>IF(_ibpOfflineCondition_,"GSCRM Projected Stock (Unconstrained Demand)", _xll.EPMOlapMemberO("[KEY_FIGURES].[].[ZGSCRMUNCONSINVENTORY]","","GSCRM Projected Stock (Unconstrained Demand)","","000"))</f>
        <v>GSCRM Projected Stock (Unconstrained Demand)</v>
      </c>
      <c r="K53" s="58">
        <v>804</v>
      </c>
      <c r="L53" s="58">
        <v>264</v>
      </c>
      <c r="M53" s="58">
        <v>2614</v>
      </c>
      <c r="N53" s="58">
        <v>2434</v>
      </c>
      <c r="O53" s="58">
        <v>724</v>
      </c>
      <c r="P53" s="58">
        <v>364</v>
      </c>
      <c r="Q53" s="58">
        <v>364</v>
      </c>
      <c r="R53" s="58">
        <v>4774</v>
      </c>
      <c r="S53" s="58"/>
      <c r="T53" s="58">
        <v>6034</v>
      </c>
      <c r="U53" s="58">
        <v>5674</v>
      </c>
      <c r="V53" s="58">
        <v>3424</v>
      </c>
      <c r="W53" s="58">
        <v>2974</v>
      </c>
      <c r="X53" s="58">
        <v>6574</v>
      </c>
      <c r="Y53" s="58">
        <v>5854</v>
      </c>
      <c r="Z53" s="58">
        <v>5224</v>
      </c>
      <c r="AA53" s="58">
        <v>4774</v>
      </c>
      <c r="AB53" s="58">
        <v>4684</v>
      </c>
      <c r="AC53" s="58">
        <v>5404</v>
      </c>
      <c r="AD53" s="58">
        <v>4504</v>
      </c>
      <c r="AE53" s="58">
        <v>3694</v>
      </c>
      <c r="AF53" s="58">
        <v>2434</v>
      </c>
      <c r="AG53" s="58">
        <v>1804</v>
      </c>
      <c r="AH53" s="58">
        <v>4324</v>
      </c>
      <c r="AI53" s="58">
        <v>5224</v>
      </c>
      <c r="AJ53" s="58">
        <v>5044</v>
      </c>
      <c r="AK53" s="58">
        <v>4864</v>
      </c>
      <c r="AL53" s="58">
        <v>4594</v>
      </c>
      <c r="AM53" s="58">
        <v>4594</v>
      </c>
      <c r="AN53" s="58">
        <v>3604</v>
      </c>
      <c r="AO53" s="58">
        <v>3424</v>
      </c>
      <c r="AP53" s="58">
        <v>2704</v>
      </c>
      <c r="AQ53" s="58">
        <v>4954</v>
      </c>
      <c r="AR53" s="58">
        <v>4864</v>
      </c>
      <c r="AS53" s="58">
        <v>4684</v>
      </c>
      <c r="AT53" s="58">
        <v>5944</v>
      </c>
      <c r="AU53" s="58">
        <v>4594</v>
      </c>
      <c r="AV53" s="58">
        <v>4324</v>
      </c>
      <c r="AW53" s="58">
        <v>6934</v>
      </c>
      <c r="AX53" s="58">
        <v>9184</v>
      </c>
      <c r="AY53" s="58">
        <v>8914</v>
      </c>
      <c r="AZ53" s="58">
        <v>8914</v>
      </c>
      <c r="BA53" s="58">
        <v>8824</v>
      </c>
      <c r="BB53" s="58">
        <v>8464</v>
      </c>
      <c r="BC53" s="58">
        <v>8374</v>
      </c>
      <c r="BD53" s="58">
        <v>8374</v>
      </c>
      <c r="BE53" s="58">
        <v>8374</v>
      </c>
      <c r="BF53" s="58">
        <v>8374</v>
      </c>
      <c r="BG53" s="58">
        <v>7474</v>
      </c>
      <c r="BH53" s="58">
        <v>4144</v>
      </c>
      <c r="BI53" s="58">
        <v>4144</v>
      </c>
      <c r="BJ53" s="58">
        <v>2974</v>
      </c>
      <c r="BK53" s="58">
        <v>2614</v>
      </c>
      <c r="BL53" s="58">
        <v>2164</v>
      </c>
      <c r="BM53" s="58">
        <v>1624</v>
      </c>
      <c r="BN53" s="58">
        <v>3334</v>
      </c>
      <c r="BO53" s="58">
        <v>3154</v>
      </c>
      <c r="BP53" s="58">
        <v>2164</v>
      </c>
      <c r="BQ53" s="58">
        <v>6304</v>
      </c>
      <c r="BR53" s="58">
        <v>4414</v>
      </c>
      <c r="BS53" s="58">
        <v>6214</v>
      </c>
      <c r="BT53" s="58">
        <v>8914</v>
      </c>
      <c r="BU53" s="58">
        <v>8464</v>
      </c>
      <c r="BV53" s="58">
        <v>7654</v>
      </c>
      <c r="BW53" s="58">
        <v>7654</v>
      </c>
      <c r="BX53" s="58">
        <v>9364</v>
      </c>
      <c r="BY53" s="58">
        <v>9094</v>
      </c>
      <c r="BZ53" s="58">
        <v>9094</v>
      </c>
      <c r="CA53" s="58">
        <v>8824</v>
      </c>
      <c r="CB53" s="58">
        <v>9454</v>
      </c>
      <c r="CC53" s="58">
        <v>10174</v>
      </c>
      <c r="CD53" s="58">
        <v>10264</v>
      </c>
      <c r="CE53" s="58">
        <v>11254</v>
      </c>
      <c r="CF53" s="58">
        <v>11254</v>
      </c>
      <c r="CG53" s="58">
        <v>11254</v>
      </c>
      <c r="CH53" s="58">
        <v>9544</v>
      </c>
      <c r="CI53" s="58">
        <v>8734</v>
      </c>
      <c r="CJ53" s="58">
        <v>8734</v>
      </c>
      <c r="CK53" s="58">
        <v>8374</v>
      </c>
      <c r="CL53" s="58">
        <v>7924</v>
      </c>
      <c r="CM53" s="58">
        <v>7924</v>
      </c>
      <c r="CN53" s="58">
        <v>7744</v>
      </c>
      <c r="CO53" s="58">
        <v>7294</v>
      </c>
      <c r="CP53" s="58">
        <v>7294</v>
      </c>
      <c r="CQ53" s="58">
        <v>6934</v>
      </c>
      <c r="CR53" s="58">
        <v>6934</v>
      </c>
      <c r="CS53" s="58">
        <v>6934</v>
      </c>
      <c r="CT53" s="58">
        <v>6934</v>
      </c>
      <c r="CU53" s="58">
        <v>6574</v>
      </c>
      <c r="CV53" s="58">
        <v>5224</v>
      </c>
      <c r="CW53" s="58">
        <v>4054</v>
      </c>
      <c r="CX53" s="58">
        <v>4054</v>
      </c>
      <c r="CY53" s="58">
        <v>4054</v>
      </c>
      <c r="CZ53" s="58">
        <v>3784</v>
      </c>
      <c r="DA53" s="58">
        <v>3784</v>
      </c>
      <c r="DB53" s="58">
        <v>3784</v>
      </c>
      <c r="DC53" s="58">
        <v>3694</v>
      </c>
      <c r="DD53" s="58">
        <v>3604</v>
      </c>
      <c r="DE53" s="58">
        <v>3604</v>
      </c>
      <c r="DF53" s="58">
        <v>3604</v>
      </c>
      <c r="DG53" s="58">
        <v>6484</v>
      </c>
      <c r="DH53" s="58">
        <v>5674</v>
      </c>
      <c r="DI53" s="58">
        <v>2974</v>
      </c>
      <c r="DJ53" s="58">
        <v>2344</v>
      </c>
      <c r="DK53" s="107"/>
      <c r="DL53" s="107"/>
      <c r="DM53" s="107"/>
      <c r="DN53" s="107"/>
      <c r="DO53" s="107"/>
      <c r="DP53" s="107"/>
      <c r="DQ53" s="107"/>
      <c r="DR53" s="107"/>
      <c r="DS53" s="107"/>
      <c r="DT53" s="107"/>
      <c r="DU53" s="107"/>
      <c r="DV53" s="107"/>
      <c r="DW53" s="107"/>
      <c r="DX53" s="107"/>
      <c r="DY53" s="107"/>
      <c r="DZ53" s="107"/>
      <c r="EA53" s="107"/>
      <c r="EB53" s="107"/>
      <c r="EC53" s="107"/>
      <c r="ED53" s="107"/>
      <c r="EE53" s="107"/>
      <c r="EF53" s="107"/>
      <c r="EG53" s="107"/>
      <c r="EH53" s="107"/>
      <c r="EI53" s="107"/>
      <c r="EJ53" s="107"/>
      <c r="EK53" s="107"/>
      <c r="EL53" s="107"/>
      <c r="EM53" s="107"/>
      <c r="EN53" s="107"/>
      <c r="EO53" s="107"/>
      <c r="EP53" s="107"/>
      <c r="EQ53" s="107"/>
      <c r="ER53" s="107"/>
      <c r="ES53" s="107"/>
      <c r="ET53" s="107"/>
      <c r="EU53" s="107"/>
      <c r="EV53" s="107"/>
      <c r="EW53" s="107"/>
      <c r="EX53" s="107"/>
      <c r="EY53" s="107"/>
      <c r="EZ53" s="107"/>
      <c r="FA53" s="107"/>
      <c r="FB53" s="107"/>
      <c r="FC53" s="107"/>
      <c r="FD53" s="107"/>
      <c r="FE53" s="107"/>
      <c r="FF53" s="107"/>
      <c r="FG53" s="107"/>
      <c r="FH53" s="107"/>
      <c r="FI53" s="107"/>
      <c r="FJ53" s="107"/>
      <c r="FK53" s="107"/>
      <c r="FL53" s="107"/>
      <c r="FM53" s="107"/>
      <c r="FN53" s="107"/>
      <c r="FO53" s="107"/>
      <c r="FP53" s="107"/>
      <c r="FQ53" s="107"/>
      <c r="FR53" s="107"/>
      <c r="FS53" s="107"/>
      <c r="FT53" s="107"/>
    </row>
    <row r="54" spans="1:176" x14ac:dyDescent="0.25">
      <c r="A54" s="107"/>
      <c r="B54" s="107"/>
      <c r="C54" s="107"/>
      <c r="D54" s="107"/>
      <c r="E54" s="107"/>
      <c r="F54" s="107"/>
      <c r="G54" s="147" t="str">
        <f>IF(_ibpOfflineCondition_,"000000000000564551-1", _xll.EPMOlapMemberO("[PRDID].[].[000000000000564551-1]","","000000000000564551-1","","000"))</f>
        <v>000000000000564551-1</v>
      </c>
      <c r="H54" s="147" t="str">
        <f>IF(_ibpOfflineCondition_,"FGR+ FIGAROLLPLUS 5/340+40 BRAUN MONIER", _xll.EPMOlapMemberO("[PRDDESCR].[].[FGR+ FIGAROLLPLUS 5/340+40 BRAUN MONIER]","","FGR+ FIGAROLLPLUS 5/340+40 BRAUN MONIER","","000"))</f>
        <v>FGR+ FIGAROLLPLUS 5/340+40 BRAUN MONIER</v>
      </c>
      <c r="I54" s="147" t="str">
        <f>IF(_ibpOfflineCondition_,"X0", _xll.EPMOlapMemberO("[MRPTYPE].[].[X0]","","X0","","000"))</f>
        <v>X0</v>
      </c>
      <c r="J54" s="147" t="str">
        <f>IF(_ibpOfflineCondition_,"GSCRM Actual Sales and Unconstrained Demand", _xll.EPMOlapMemberO("[KEY_FIGURES].[].[ZGSCRMACTUALUNCONSDEMAND]","","GSCRM Actual Sales and Unconstrained Demand","","000"))</f>
        <v>GSCRM Actual Sales and Unconstrained Demand</v>
      </c>
      <c r="K54" s="58">
        <v>90</v>
      </c>
      <c r="L54" s="58"/>
      <c r="M54" s="58"/>
      <c r="N54" s="58"/>
      <c r="O54" s="58"/>
      <c r="P54" s="58"/>
      <c r="Q54" s="58"/>
      <c r="R54" s="58"/>
      <c r="S54" s="58"/>
      <c r="T54" s="58"/>
      <c r="U54" s="58"/>
      <c r="V54" s="58"/>
      <c r="W54" s="58"/>
      <c r="X54" s="58">
        <v>90</v>
      </c>
      <c r="Y54" s="58"/>
      <c r="Z54" s="58"/>
      <c r="AA54" s="58"/>
      <c r="AB54" s="58"/>
      <c r="AC54" s="58">
        <v>90</v>
      </c>
      <c r="AD54" s="58"/>
      <c r="AE54" s="58">
        <v>270</v>
      </c>
      <c r="AF54" s="58">
        <v>180</v>
      </c>
      <c r="AG54" s="58">
        <v>90</v>
      </c>
      <c r="AH54" s="58"/>
      <c r="AI54" s="58"/>
      <c r="AJ54" s="58">
        <v>90</v>
      </c>
      <c r="AK54" s="58"/>
      <c r="AL54" s="58"/>
      <c r="AM54" s="58"/>
      <c r="AN54" s="58"/>
      <c r="AO54" s="58"/>
      <c r="AP54" s="58">
        <v>270</v>
      </c>
      <c r="AQ54" s="58">
        <v>90</v>
      </c>
      <c r="AR54" s="58"/>
      <c r="AS54" s="58"/>
      <c r="AT54" s="58"/>
      <c r="AU54" s="58"/>
      <c r="AV54" s="58"/>
      <c r="AW54" s="58"/>
      <c r="AX54" s="58"/>
      <c r="AY54" s="58"/>
      <c r="AZ54" s="58"/>
      <c r="BA54" s="58"/>
      <c r="BB54" s="58"/>
      <c r="BC54" s="58"/>
      <c r="BD54" s="58"/>
      <c r="BE54" s="58"/>
      <c r="BF54" s="58"/>
      <c r="BG54" s="58"/>
      <c r="BH54" s="58"/>
      <c r="BI54" s="58"/>
      <c r="BJ54" s="58"/>
      <c r="BK54" s="58">
        <v>360</v>
      </c>
      <c r="BL54" s="58"/>
      <c r="BM54" s="58"/>
      <c r="BN54" s="58">
        <v>90</v>
      </c>
      <c r="BO54" s="58"/>
      <c r="BP54" s="58"/>
      <c r="BQ54" s="58"/>
      <c r="BR54" s="58"/>
      <c r="BS54" s="58"/>
      <c r="BT54" s="58"/>
      <c r="BU54" s="58"/>
      <c r="BV54" s="58">
        <v>180</v>
      </c>
      <c r="BW54" s="58"/>
      <c r="BX54" s="58">
        <v>90</v>
      </c>
      <c r="BY54" s="58"/>
      <c r="BZ54" s="58">
        <v>450</v>
      </c>
      <c r="CA54" s="58"/>
      <c r="CB54" s="58"/>
      <c r="CC54" s="58"/>
      <c r="CD54" s="58"/>
      <c r="CE54" s="58"/>
      <c r="CF54" s="58"/>
      <c r="CG54" s="58">
        <v>90</v>
      </c>
      <c r="CH54" s="58">
        <v>90</v>
      </c>
      <c r="CI54" s="58"/>
      <c r="CJ54" s="58"/>
      <c r="CK54" s="58"/>
      <c r="CL54" s="58"/>
      <c r="CM54" s="58">
        <v>270</v>
      </c>
      <c r="CN54" s="58"/>
      <c r="CO54" s="58"/>
      <c r="CP54" s="58"/>
      <c r="CQ54" s="58"/>
      <c r="CR54" s="58"/>
      <c r="CS54" s="58">
        <v>90</v>
      </c>
      <c r="CT54" s="58">
        <v>90</v>
      </c>
      <c r="CU54" s="58"/>
      <c r="CV54" s="58"/>
      <c r="CW54" s="58">
        <v>270</v>
      </c>
      <c r="CX54" s="58"/>
      <c r="CY54" s="58"/>
      <c r="CZ54" s="58"/>
      <c r="DA54" s="58"/>
      <c r="DB54" s="58"/>
      <c r="DC54" s="58"/>
      <c r="DD54" s="58">
        <v>90</v>
      </c>
      <c r="DE54" s="58"/>
      <c r="DF54" s="58"/>
      <c r="DG54" s="58"/>
      <c r="DH54" s="58">
        <v>180</v>
      </c>
      <c r="DI54" s="58"/>
      <c r="DJ54" s="58"/>
      <c r="DK54" s="107"/>
      <c r="DL54" s="107"/>
      <c r="DM54" s="107"/>
      <c r="DN54" s="107"/>
      <c r="DO54" s="107"/>
      <c r="DP54" s="107"/>
      <c r="DQ54" s="107"/>
      <c r="DR54" s="107"/>
      <c r="DS54" s="107"/>
      <c r="DT54" s="107"/>
      <c r="DU54" s="107"/>
      <c r="DV54" s="107"/>
      <c r="DW54" s="107"/>
      <c r="DX54" s="107"/>
      <c r="DY54" s="107"/>
      <c r="DZ54" s="107"/>
      <c r="EA54" s="107"/>
      <c r="EB54" s="107"/>
      <c r="EC54" s="107"/>
      <c r="ED54" s="107"/>
      <c r="EE54" s="107"/>
      <c r="EF54" s="107"/>
      <c r="EG54" s="107"/>
      <c r="EH54" s="107"/>
      <c r="EI54" s="107"/>
      <c r="EJ54" s="107"/>
      <c r="EK54" s="107"/>
      <c r="EL54" s="107"/>
      <c r="EM54" s="107"/>
      <c r="EN54" s="107"/>
      <c r="EO54" s="107"/>
      <c r="EP54" s="107"/>
      <c r="EQ54" s="107"/>
      <c r="ER54" s="107"/>
      <c r="ES54" s="107"/>
      <c r="ET54" s="107"/>
      <c r="EU54" s="107"/>
      <c r="EV54" s="107"/>
      <c r="EW54" s="107"/>
      <c r="EX54" s="107"/>
      <c r="EY54" s="107"/>
      <c r="EZ54" s="107"/>
      <c r="FA54" s="107"/>
      <c r="FB54" s="107"/>
      <c r="FC54" s="107"/>
      <c r="FD54" s="107"/>
      <c r="FE54" s="107"/>
      <c r="FF54" s="107"/>
      <c r="FG54" s="107"/>
      <c r="FH54" s="107"/>
      <c r="FI54" s="107"/>
      <c r="FJ54" s="107"/>
      <c r="FK54" s="107"/>
      <c r="FL54" s="107"/>
      <c r="FM54" s="107"/>
      <c r="FN54" s="107"/>
      <c r="FO54" s="107"/>
      <c r="FP54" s="107"/>
      <c r="FQ54" s="107"/>
      <c r="FR54" s="107"/>
      <c r="FS54" s="107"/>
      <c r="FT54" s="107"/>
    </row>
    <row r="55" spans="1:176" x14ac:dyDescent="0.25">
      <c r="A55" s="107"/>
      <c r="B55" s="107"/>
      <c r="C55" s="107"/>
      <c r="D55" s="107"/>
      <c r="E55" s="107"/>
      <c r="F55" s="107"/>
      <c r="G55" s="147" t="str">
        <f>IF(_ibpOfflineCondition_,"000000000000564551-1", _xll.EPMOlapMemberO("[PRDID].[].[000000000000564551-1]","","000000000000564551-1","","000"))</f>
        <v>000000000000564551-1</v>
      </c>
      <c r="H55" s="147" t="str">
        <f>IF(_ibpOfflineCondition_,"FGR+ FIGAROLLPLUS 5/340+40 BRAUN MONIER", _xll.EPMOlapMemberO("[PRDDESCR].[].[FGR+ FIGAROLLPLUS 5/340+40 BRAUN MONIER]","","FGR+ FIGAROLLPLUS 5/340+40 BRAUN MONIER","","000"))</f>
        <v>FGR+ FIGAROLLPLUS 5/340+40 BRAUN MONIER</v>
      </c>
      <c r="I55" s="147" t="str">
        <f>IF(_ibpOfflineCondition_,"X0", _xll.EPMOlapMemberO("[MRPTYPE].[].[X0]","","X0","","000"))</f>
        <v>X0</v>
      </c>
      <c r="J55" s="147" t="str">
        <f>IF(_ibpOfflineCondition_,"GSCRM Actuals and Future Production", _xll.EPMOlapMemberO("[KEY_FIGURES].[].[ZGSCRMACTUALSPRODUCTION]","","GSCRM Actuals and Future Production","","000"))</f>
        <v>GSCRM Actuals and Future Production</v>
      </c>
      <c r="K55" s="58">
        <v>0</v>
      </c>
      <c r="L55" s="58">
        <v>0</v>
      </c>
      <c r="M55" s="58">
        <v>0</v>
      </c>
      <c r="N55" s="58">
        <v>0</v>
      </c>
      <c r="O55" s="58"/>
      <c r="P55" s="58"/>
      <c r="Q55" s="58"/>
      <c r="R55" s="58"/>
      <c r="S55" s="58"/>
      <c r="T55" s="58"/>
      <c r="U55" s="58"/>
      <c r="V55" s="58"/>
      <c r="W55" s="58"/>
      <c r="X55" s="58">
        <v>0</v>
      </c>
      <c r="Y55" s="58"/>
      <c r="Z55" s="58"/>
      <c r="AA55" s="58"/>
      <c r="AB55" s="58"/>
      <c r="AC55" s="58">
        <v>0</v>
      </c>
      <c r="AD55" s="58">
        <v>360</v>
      </c>
      <c r="AE55" s="58">
        <v>0</v>
      </c>
      <c r="AF55" s="58">
        <v>0</v>
      </c>
      <c r="AG55" s="58">
        <v>0</v>
      </c>
      <c r="AH55" s="58"/>
      <c r="AI55" s="58">
        <v>180</v>
      </c>
      <c r="AJ55" s="58">
        <v>0</v>
      </c>
      <c r="AK55" s="58"/>
      <c r="AL55" s="58"/>
      <c r="AM55" s="58"/>
      <c r="AN55" s="58"/>
      <c r="AO55" s="58"/>
      <c r="AP55" s="58">
        <v>0</v>
      </c>
      <c r="AQ55" s="58">
        <v>360</v>
      </c>
      <c r="AR55" s="58"/>
      <c r="AS55" s="58"/>
      <c r="AT55" s="58"/>
      <c r="AU55" s="58"/>
      <c r="AV55" s="58"/>
      <c r="AW55" s="58"/>
      <c r="AX55" s="58"/>
      <c r="AY55" s="58"/>
      <c r="AZ55" s="58"/>
      <c r="BA55" s="58"/>
      <c r="BB55" s="58"/>
      <c r="BC55" s="58"/>
      <c r="BD55" s="58"/>
      <c r="BE55" s="58"/>
      <c r="BF55" s="58"/>
      <c r="BG55" s="58"/>
      <c r="BH55" s="58"/>
      <c r="BI55" s="58"/>
      <c r="BJ55" s="58"/>
      <c r="BK55" s="58">
        <v>270</v>
      </c>
      <c r="BL55" s="58"/>
      <c r="BM55" s="58"/>
      <c r="BN55" s="58">
        <v>0</v>
      </c>
      <c r="BO55" s="58"/>
      <c r="BP55" s="58"/>
      <c r="BQ55" s="58"/>
      <c r="BR55" s="58"/>
      <c r="BS55" s="58"/>
      <c r="BT55" s="58">
        <v>360</v>
      </c>
      <c r="BU55" s="58"/>
      <c r="BV55" s="58">
        <v>0</v>
      </c>
      <c r="BW55" s="58"/>
      <c r="BX55" s="58">
        <v>360</v>
      </c>
      <c r="BY55" s="58"/>
      <c r="BZ55" s="58">
        <v>0</v>
      </c>
      <c r="CA55" s="58"/>
      <c r="CB55" s="58"/>
      <c r="CC55" s="58"/>
      <c r="CD55" s="58"/>
      <c r="CE55" s="58"/>
      <c r="CF55" s="58"/>
      <c r="CG55" s="58">
        <v>0</v>
      </c>
      <c r="CH55" s="58">
        <v>360</v>
      </c>
      <c r="CI55" s="58"/>
      <c r="CJ55" s="58"/>
      <c r="CK55" s="58"/>
      <c r="CL55" s="58"/>
      <c r="CM55" s="58">
        <v>0</v>
      </c>
      <c r="CN55" s="58"/>
      <c r="CO55" s="58"/>
      <c r="CP55" s="58"/>
      <c r="CQ55" s="58">
        <v>270</v>
      </c>
      <c r="CR55" s="58">
        <v>360</v>
      </c>
      <c r="CS55" s="58">
        <v>0</v>
      </c>
      <c r="CT55" s="58">
        <v>0</v>
      </c>
      <c r="CU55" s="58"/>
      <c r="CV55" s="58"/>
      <c r="CW55" s="58">
        <v>0</v>
      </c>
      <c r="CX55" s="58"/>
      <c r="CY55" s="58"/>
      <c r="CZ55" s="58"/>
      <c r="DA55" s="58"/>
      <c r="DB55" s="58"/>
      <c r="DC55" s="58"/>
      <c r="DD55" s="58">
        <v>0</v>
      </c>
      <c r="DE55" s="58"/>
      <c r="DF55" s="58"/>
      <c r="DG55" s="58"/>
      <c r="DH55" s="58">
        <v>0</v>
      </c>
      <c r="DI55" s="58"/>
      <c r="DJ55" s="58"/>
      <c r="DK55" s="107"/>
      <c r="DL55" s="107"/>
      <c r="DM55" s="107"/>
      <c r="DN55" s="107"/>
      <c r="DO55" s="107"/>
      <c r="DP55" s="107"/>
      <c r="DQ55" s="107"/>
      <c r="DR55" s="107"/>
      <c r="DS55" s="107"/>
      <c r="DT55" s="107"/>
      <c r="DU55" s="107"/>
      <c r="DV55" s="107"/>
      <c r="DW55" s="107"/>
      <c r="DX55" s="107"/>
      <c r="DY55" s="107"/>
      <c r="DZ55" s="107"/>
      <c r="EA55" s="107"/>
      <c r="EB55" s="107"/>
      <c r="EC55" s="107"/>
      <c r="ED55" s="107"/>
      <c r="EE55" s="107"/>
      <c r="EF55" s="107"/>
      <c r="EG55" s="107"/>
      <c r="EH55" s="107"/>
      <c r="EI55" s="107"/>
      <c r="EJ55" s="107"/>
      <c r="EK55" s="107"/>
      <c r="EL55" s="107"/>
      <c r="EM55" s="107"/>
      <c r="EN55" s="107"/>
      <c r="EO55" s="107"/>
      <c r="EP55" s="107"/>
      <c r="EQ55" s="107"/>
      <c r="ER55" s="107"/>
      <c r="ES55" s="107"/>
      <c r="ET55" s="107"/>
      <c r="EU55" s="107"/>
      <c r="EV55" s="107"/>
      <c r="EW55" s="107"/>
      <c r="EX55" s="107"/>
      <c r="EY55" s="107"/>
      <c r="EZ55" s="107"/>
      <c r="FA55" s="107"/>
      <c r="FB55" s="107"/>
      <c r="FC55" s="107"/>
      <c r="FD55" s="107"/>
      <c r="FE55" s="107"/>
      <c r="FF55" s="107"/>
      <c r="FG55" s="107"/>
      <c r="FH55" s="107"/>
      <c r="FI55" s="107"/>
      <c r="FJ55" s="107"/>
      <c r="FK55" s="107"/>
      <c r="FL55" s="107"/>
      <c r="FM55" s="107"/>
      <c r="FN55" s="107"/>
      <c r="FO55" s="107"/>
      <c r="FP55" s="107"/>
      <c r="FQ55" s="107"/>
      <c r="FR55" s="107"/>
      <c r="FS55" s="107"/>
      <c r="FT55" s="107"/>
    </row>
    <row r="56" spans="1:176" x14ac:dyDescent="0.25">
      <c r="A56" s="107"/>
      <c r="B56" s="107"/>
      <c r="C56" s="107"/>
      <c r="D56" s="107"/>
      <c r="E56" s="107"/>
      <c r="F56" s="107"/>
      <c r="G56" s="147" t="str">
        <f>IF(_ibpOfflineCondition_,"000000000000564551-1", _xll.EPMOlapMemberO("[PRDID].[].[000000000000564551-1]","","000000000000564551-1","","000"))</f>
        <v>000000000000564551-1</v>
      </c>
      <c r="H56" s="147" t="str">
        <f>IF(_ibpOfflineCondition_,"FGR+ FIGAROLLPLUS 5/340+40 BRAUN MONIER", _xll.EPMOlapMemberO("[PRDDESCR].[].[FGR+ FIGAROLLPLUS 5/340+40 BRAUN MONIER]","","FGR+ FIGAROLLPLUS 5/340+40 BRAUN MONIER","","000"))</f>
        <v>FGR+ FIGAROLLPLUS 5/340+40 BRAUN MONIER</v>
      </c>
      <c r="I56" s="147" t="str">
        <f>IF(_ibpOfflineCondition_,"X0", _xll.EPMOlapMemberO("[MRPTYPE].[].[X0]","","X0","","000"))</f>
        <v>X0</v>
      </c>
      <c r="J56" s="147" t="str">
        <f>IF(_ibpOfflineCondition_,"GSCRM Projected Stock (Unconstrained Demand)", _xll.EPMOlapMemberO("[KEY_FIGURES].[].[ZGSCRMUNCONSINVENTORY]","","GSCRM Projected Stock (Unconstrained Demand)","","000"))</f>
        <v>GSCRM Projected Stock (Unconstrained Demand)</v>
      </c>
      <c r="K56" s="58">
        <v>450</v>
      </c>
      <c r="L56" s="58">
        <v>450</v>
      </c>
      <c r="M56" s="58">
        <v>450</v>
      </c>
      <c r="N56" s="58">
        <v>450</v>
      </c>
      <c r="O56" s="58">
        <v>450</v>
      </c>
      <c r="P56" s="58">
        <v>450</v>
      </c>
      <c r="Q56" s="58">
        <v>450</v>
      </c>
      <c r="R56" s="58">
        <v>450</v>
      </c>
      <c r="S56" s="58"/>
      <c r="T56" s="58">
        <v>450</v>
      </c>
      <c r="U56" s="58">
        <v>450</v>
      </c>
      <c r="V56" s="58">
        <v>450</v>
      </c>
      <c r="W56" s="58">
        <v>450</v>
      </c>
      <c r="X56" s="58">
        <v>360</v>
      </c>
      <c r="Y56" s="58">
        <v>360</v>
      </c>
      <c r="Z56" s="58">
        <v>360</v>
      </c>
      <c r="AA56" s="58">
        <v>360</v>
      </c>
      <c r="AB56" s="58">
        <v>360</v>
      </c>
      <c r="AC56" s="58">
        <v>270</v>
      </c>
      <c r="AD56" s="58">
        <v>630</v>
      </c>
      <c r="AE56" s="58">
        <v>540</v>
      </c>
      <c r="AF56" s="58">
        <v>360</v>
      </c>
      <c r="AG56" s="58">
        <v>270</v>
      </c>
      <c r="AH56" s="58">
        <v>270</v>
      </c>
      <c r="AI56" s="58">
        <v>450</v>
      </c>
      <c r="AJ56" s="58">
        <v>360</v>
      </c>
      <c r="AK56" s="58">
        <v>360</v>
      </c>
      <c r="AL56" s="58">
        <v>360</v>
      </c>
      <c r="AM56" s="58">
        <v>360</v>
      </c>
      <c r="AN56" s="58">
        <v>360</v>
      </c>
      <c r="AO56" s="58">
        <v>360</v>
      </c>
      <c r="AP56" s="58">
        <v>90</v>
      </c>
      <c r="AQ56" s="58">
        <v>360</v>
      </c>
      <c r="AR56" s="58">
        <v>360</v>
      </c>
      <c r="AS56" s="58">
        <v>360</v>
      </c>
      <c r="AT56" s="58">
        <v>360</v>
      </c>
      <c r="AU56" s="58">
        <v>360</v>
      </c>
      <c r="AV56" s="58">
        <v>360</v>
      </c>
      <c r="AW56" s="58">
        <v>360</v>
      </c>
      <c r="AX56" s="58">
        <v>360</v>
      </c>
      <c r="AY56" s="58">
        <v>360</v>
      </c>
      <c r="AZ56" s="58">
        <v>360</v>
      </c>
      <c r="BA56" s="58">
        <v>360</v>
      </c>
      <c r="BB56" s="58">
        <v>360</v>
      </c>
      <c r="BC56" s="58">
        <v>360</v>
      </c>
      <c r="BD56" s="58">
        <v>360</v>
      </c>
      <c r="BE56" s="58">
        <v>360</v>
      </c>
      <c r="BF56" s="58">
        <v>360</v>
      </c>
      <c r="BG56" s="58">
        <v>360</v>
      </c>
      <c r="BH56" s="58">
        <v>360</v>
      </c>
      <c r="BI56" s="58">
        <v>360</v>
      </c>
      <c r="BJ56" s="58">
        <v>270</v>
      </c>
      <c r="BK56" s="58">
        <v>270</v>
      </c>
      <c r="BL56" s="58">
        <v>270</v>
      </c>
      <c r="BM56" s="58">
        <v>180</v>
      </c>
      <c r="BN56" s="58">
        <v>180</v>
      </c>
      <c r="BO56" s="58">
        <v>180</v>
      </c>
      <c r="BP56" s="58">
        <v>180</v>
      </c>
      <c r="BQ56" s="58">
        <v>180</v>
      </c>
      <c r="BR56" s="58">
        <v>180</v>
      </c>
      <c r="BS56" s="58">
        <v>180</v>
      </c>
      <c r="BT56" s="58">
        <v>540</v>
      </c>
      <c r="BU56" s="58">
        <v>540</v>
      </c>
      <c r="BV56" s="58">
        <v>360</v>
      </c>
      <c r="BW56" s="58">
        <v>630</v>
      </c>
      <c r="BX56" s="58">
        <v>630</v>
      </c>
      <c r="BY56" s="58">
        <v>630</v>
      </c>
      <c r="BZ56" s="58">
        <v>180</v>
      </c>
      <c r="CA56" s="58">
        <v>180</v>
      </c>
      <c r="CB56" s="58">
        <v>180</v>
      </c>
      <c r="CC56" s="58">
        <v>180</v>
      </c>
      <c r="CD56" s="58">
        <v>180</v>
      </c>
      <c r="CE56" s="58">
        <v>180</v>
      </c>
      <c r="CF56" s="58">
        <v>180</v>
      </c>
      <c r="CG56" s="58">
        <v>450</v>
      </c>
      <c r="CH56" s="58">
        <v>360</v>
      </c>
      <c r="CI56" s="58">
        <v>360</v>
      </c>
      <c r="CJ56" s="58">
        <v>360</v>
      </c>
      <c r="CK56" s="58">
        <v>360</v>
      </c>
      <c r="CL56" s="58">
        <v>360</v>
      </c>
      <c r="CM56" s="58">
        <v>90</v>
      </c>
      <c r="CN56" s="58">
        <v>90</v>
      </c>
      <c r="CO56" s="58">
        <v>90</v>
      </c>
      <c r="CP56" s="58">
        <v>360</v>
      </c>
      <c r="CQ56" s="58">
        <v>360</v>
      </c>
      <c r="CR56" s="58">
        <v>720</v>
      </c>
      <c r="CS56" s="58">
        <v>630</v>
      </c>
      <c r="CT56" s="58">
        <v>540</v>
      </c>
      <c r="CU56" s="58">
        <v>540</v>
      </c>
      <c r="CV56" s="58">
        <v>540</v>
      </c>
      <c r="CW56" s="58">
        <v>270</v>
      </c>
      <c r="CX56" s="58">
        <v>270</v>
      </c>
      <c r="CY56" s="58">
        <v>270</v>
      </c>
      <c r="CZ56" s="58">
        <v>270</v>
      </c>
      <c r="DA56" s="58">
        <v>270</v>
      </c>
      <c r="DB56" s="58">
        <v>270</v>
      </c>
      <c r="DC56" s="58">
        <v>270</v>
      </c>
      <c r="DD56" s="58">
        <v>180</v>
      </c>
      <c r="DE56" s="58">
        <v>180</v>
      </c>
      <c r="DF56" s="58">
        <v>180</v>
      </c>
      <c r="DG56" s="58">
        <v>180</v>
      </c>
      <c r="DH56" s="58"/>
      <c r="DI56" s="58"/>
      <c r="DJ56" s="58"/>
      <c r="DK56" s="107"/>
      <c r="DL56" s="107"/>
      <c r="DM56" s="107"/>
      <c r="DN56" s="107"/>
      <c r="DO56" s="107"/>
      <c r="DP56" s="107"/>
      <c r="DQ56" s="107"/>
      <c r="DR56" s="107"/>
      <c r="DS56" s="107"/>
      <c r="DT56" s="107"/>
      <c r="DU56" s="107"/>
      <c r="DV56" s="107"/>
      <c r="DW56" s="107"/>
      <c r="DX56" s="107"/>
      <c r="DY56" s="107"/>
      <c r="DZ56" s="107"/>
      <c r="EA56" s="107"/>
      <c r="EB56" s="107"/>
      <c r="EC56" s="107"/>
      <c r="ED56" s="107"/>
      <c r="EE56" s="107"/>
      <c r="EF56" s="107"/>
      <c r="EG56" s="107"/>
      <c r="EH56" s="107"/>
      <c r="EI56" s="107"/>
      <c r="EJ56" s="107"/>
      <c r="EK56" s="107"/>
      <c r="EL56" s="107"/>
      <c r="EM56" s="107"/>
      <c r="EN56" s="107"/>
      <c r="EO56" s="107"/>
      <c r="EP56" s="107"/>
      <c r="EQ56" s="107"/>
      <c r="ER56" s="107"/>
      <c r="ES56" s="107"/>
      <c r="ET56" s="107"/>
      <c r="EU56" s="107"/>
      <c r="EV56" s="107"/>
      <c r="EW56" s="107"/>
      <c r="EX56" s="107"/>
      <c r="EY56" s="107"/>
      <c r="EZ56" s="107"/>
      <c r="FA56" s="107"/>
      <c r="FB56" s="107"/>
      <c r="FC56" s="107"/>
      <c r="FD56" s="107"/>
      <c r="FE56" s="107"/>
      <c r="FF56" s="107"/>
      <c r="FG56" s="107"/>
      <c r="FH56" s="107"/>
      <c r="FI56" s="107"/>
      <c r="FJ56" s="107"/>
      <c r="FK56" s="107"/>
      <c r="FL56" s="107"/>
      <c r="FM56" s="107"/>
      <c r="FN56" s="107"/>
      <c r="FO56" s="107"/>
      <c r="FP56" s="107"/>
      <c r="FQ56" s="107"/>
      <c r="FR56" s="107"/>
      <c r="FS56" s="107"/>
      <c r="FT56" s="107"/>
    </row>
    <row r="57" spans="1:176" x14ac:dyDescent="0.25">
      <c r="A57" s="107"/>
      <c r="B57" s="107"/>
      <c r="C57" s="107"/>
      <c r="D57" s="107"/>
      <c r="E57" s="107"/>
      <c r="F57" s="107"/>
      <c r="G57" s="147" t="str">
        <f>IF(_ibpOfflineCondition_,"000000000000564552-1", _xll.EPMOlapMemberO("[PRDID].[].[000000000000564552-1]","","000000000000564552-1","","000"))</f>
        <v>000000000000564552-1</v>
      </c>
      <c r="H57" s="147" t="str">
        <f>IF(_ibpOfflineCondition_,"FGR+ FIGAROLLPLUS 5/340+40 ANTHR MONIER", _xll.EPMOlapMemberO("[PRDDESCR].[].[FGR+ FIGAROLLPLUS 5/340+40 ANTHR MONIER]","","FGR+ FIGAROLLPLUS 5/340+40 ANTHR MONIER","","000"))</f>
        <v>FGR+ FIGAROLLPLUS 5/340+40 ANTHR MONIER</v>
      </c>
      <c r="I57" s="147" t="str">
        <f>IF(_ibpOfflineCondition_,"X0", _xll.EPMOlapMemberO("[MRPTYPE].[].[X0]","","X0","","000"))</f>
        <v>X0</v>
      </c>
      <c r="J57" s="147" t="str">
        <f>IF(_ibpOfflineCondition_,"GSCRM Actual Sales and Unconstrained Demand", _xll.EPMOlapMemberO("[KEY_FIGURES].[].[ZGSCRMACTUALUNCONSDEMAND]","","GSCRM Actual Sales and Unconstrained Demand","","000"))</f>
        <v>GSCRM Actual Sales and Unconstrained Demand</v>
      </c>
      <c r="K57" s="58"/>
      <c r="L57" s="58"/>
      <c r="M57" s="58"/>
      <c r="N57" s="58">
        <v>360</v>
      </c>
      <c r="O57" s="58"/>
      <c r="P57" s="58"/>
      <c r="Q57" s="58"/>
      <c r="R57" s="58"/>
      <c r="S57" s="58"/>
      <c r="T57" s="58"/>
      <c r="U57" s="58"/>
      <c r="V57" s="58"/>
      <c r="W57" s="58"/>
      <c r="X57" s="58">
        <v>90</v>
      </c>
      <c r="Y57" s="58">
        <v>180</v>
      </c>
      <c r="Z57" s="58"/>
      <c r="AA57" s="58"/>
      <c r="AB57" s="58"/>
      <c r="AC57" s="58"/>
      <c r="AD57" s="58"/>
      <c r="AE57" s="58">
        <v>90</v>
      </c>
      <c r="AF57" s="58">
        <v>180</v>
      </c>
      <c r="AG57" s="58"/>
      <c r="AH57" s="58"/>
      <c r="AI57" s="58"/>
      <c r="AJ57" s="58">
        <v>180</v>
      </c>
      <c r="AK57" s="58">
        <v>90</v>
      </c>
      <c r="AL57" s="58"/>
      <c r="AM57" s="58"/>
      <c r="AN57" s="58"/>
      <c r="AO57" s="58"/>
      <c r="AP57" s="58">
        <v>180</v>
      </c>
      <c r="AQ57" s="58"/>
      <c r="AR57" s="58"/>
      <c r="AS57" s="58"/>
      <c r="AT57" s="58">
        <v>90</v>
      </c>
      <c r="AU57" s="58"/>
      <c r="AV57" s="58"/>
      <c r="AW57" s="58"/>
      <c r="AX57" s="58"/>
      <c r="AY57" s="58"/>
      <c r="AZ57" s="58">
        <v>90</v>
      </c>
      <c r="BA57" s="58"/>
      <c r="BB57" s="58"/>
      <c r="BC57" s="58"/>
      <c r="BD57" s="58"/>
      <c r="BE57" s="58"/>
      <c r="BF57" s="58"/>
      <c r="BG57" s="58"/>
      <c r="BH57" s="58"/>
      <c r="BI57" s="58"/>
      <c r="BJ57" s="58"/>
      <c r="BK57" s="58">
        <v>360</v>
      </c>
      <c r="BL57" s="58">
        <v>90</v>
      </c>
      <c r="BM57" s="58"/>
      <c r="BN57" s="58"/>
      <c r="BO57" s="58"/>
      <c r="BP57" s="58"/>
      <c r="BQ57" s="58"/>
      <c r="BR57" s="58"/>
      <c r="BS57" s="58">
        <v>180</v>
      </c>
      <c r="BT57" s="58"/>
      <c r="BU57" s="58">
        <v>90</v>
      </c>
      <c r="BV57" s="58">
        <v>180</v>
      </c>
      <c r="BW57" s="58"/>
      <c r="BX57" s="58"/>
      <c r="BY57" s="58"/>
      <c r="BZ57" s="58">
        <v>90</v>
      </c>
      <c r="CA57" s="58"/>
      <c r="CB57" s="58"/>
      <c r="CC57" s="58"/>
      <c r="CD57" s="58"/>
      <c r="CE57" s="58"/>
      <c r="CF57" s="58"/>
      <c r="CG57" s="58">
        <v>360</v>
      </c>
      <c r="CH57" s="58"/>
      <c r="CI57" s="58"/>
      <c r="CJ57" s="58"/>
      <c r="CK57" s="58"/>
      <c r="CL57" s="58"/>
      <c r="CM57" s="58"/>
      <c r="CN57" s="58"/>
      <c r="CO57" s="58"/>
      <c r="CP57" s="58"/>
      <c r="CQ57" s="58"/>
      <c r="CR57" s="58"/>
      <c r="CS57" s="58"/>
      <c r="CT57" s="58">
        <v>270</v>
      </c>
      <c r="CU57" s="58"/>
      <c r="CV57" s="58"/>
      <c r="CW57" s="58">
        <v>270</v>
      </c>
      <c r="CX57" s="58"/>
      <c r="CY57" s="58"/>
      <c r="CZ57" s="58"/>
      <c r="DA57" s="58"/>
      <c r="DB57" s="58">
        <v>90</v>
      </c>
      <c r="DC57" s="58"/>
      <c r="DD57" s="58">
        <v>90</v>
      </c>
      <c r="DE57" s="58"/>
      <c r="DF57" s="58"/>
      <c r="DG57" s="58"/>
      <c r="DH57" s="58"/>
      <c r="DI57" s="58"/>
      <c r="DJ57" s="58">
        <v>90</v>
      </c>
      <c r="DK57" s="107"/>
      <c r="DL57" s="107"/>
      <c r="DM57" s="107"/>
      <c r="DN57" s="107"/>
      <c r="DO57" s="107"/>
      <c r="DP57" s="107"/>
      <c r="DQ57" s="107"/>
      <c r="DR57" s="107"/>
      <c r="DS57" s="107"/>
      <c r="DT57" s="107"/>
      <c r="DU57" s="107"/>
      <c r="DV57" s="107"/>
      <c r="DW57" s="107"/>
      <c r="DX57" s="107"/>
      <c r="DY57" s="107"/>
      <c r="DZ57" s="107"/>
      <c r="EA57" s="107"/>
      <c r="EB57" s="107"/>
      <c r="EC57" s="107"/>
      <c r="ED57" s="107"/>
      <c r="EE57" s="107"/>
      <c r="EF57" s="107"/>
      <c r="EG57" s="107"/>
      <c r="EH57" s="107"/>
      <c r="EI57" s="107"/>
      <c r="EJ57" s="107"/>
      <c r="EK57" s="107"/>
      <c r="EL57" s="107"/>
      <c r="EM57" s="107"/>
      <c r="EN57" s="107"/>
      <c r="EO57" s="107"/>
      <c r="EP57" s="107"/>
      <c r="EQ57" s="107"/>
      <c r="ER57" s="107"/>
      <c r="ES57" s="107"/>
      <c r="ET57" s="107"/>
      <c r="EU57" s="107"/>
      <c r="EV57" s="107"/>
      <c r="EW57" s="107"/>
      <c r="EX57" s="107"/>
      <c r="EY57" s="107"/>
      <c r="EZ57" s="107"/>
      <c r="FA57" s="107"/>
      <c r="FB57" s="107"/>
      <c r="FC57" s="107"/>
      <c r="FD57" s="107"/>
      <c r="FE57" s="107"/>
      <c r="FF57" s="107"/>
      <c r="FG57" s="107"/>
      <c r="FH57" s="107"/>
      <c r="FI57" s="107"/>
      <c r="FJ57" s="107"/>
      <c r="FK57" s="107"/>
      <c r="FL57" s="107"/>
      <c r="FM57" s="107"/>
      <c r="FN57" s="107"/>
      <c r="FO57" s="107"/>
      <c r="FP57" s="107"/>
      <c r="FQ57" s="107"/>
      <c r="FR57" s="107"/>
      <c r="FS57" s="107"/>
      <c r="FT57" s="107"/>
    </row>
    <row r="58" spans="1:176" x14ac:dyDescent="0.25">
      <c r="A58" s="107"/>
      <c r="B58" s="107"/>
      <c r="C58" s="107"/>
      <c r="D58" s="107"/>
      <c r="E58" s="107"/>
      <c r="F58" s="107"/>
      <c r="G58" s="147" t="str">
        <f>IF(_ibpOfflineCondition_,"000000000000564552-1", _xll.EPMOlapMemberO("[PRDID].[].[000000000000564552-1]","","000000000000564552-1","","000"))</f>
        <v>000000000000564552-1</v>
      </c>
      <c r="H58" s="147" t="str">
        <f>IF(_ibpOfflineCondition_,"FGR+ FIGAROLLPLUS 5/340+40 ANTHR MONIER", _xll.EPMOlapMemberO("[PRDDESCR].[].[FGR+ FIGAROLLPLUS 5/340+40 ANTHR MONIER]","","FGR+ FIGAROLLPLUS 5/340+40 ANTHR MONIER","","000"))</f>
        <v>FGR+ FIGAROLLPLUS 5/340+40 ANTHR MONIER</v>
      </c>
      <c r="I58" s="147" t="str">
        <f>IF(_ibpOfflineCondition_,"X0", _xll.EPMOlapMemberO("[MRPTYPE].[].[X0]","","X0","","000"))</f>
        <v>X0</v>
      </c>
      <c r="J58" s="147" t="str">
        <f>IF(_ibpOfflineCondition_,"GSCRM Actuals and Future Production", _xll.EPMOlapMemberO("[KEY_FIGURES].[].[ZGSCRMACTUALSPRODUCTION]","","GSCRM Actuals and Future Production","","000"))</f>
        <v>GSCRM Actuals and Future Production</v>
      </c>
      <c r="K58" s="58">
        <v>360</v>
      </c>
      <c r="L58" s="58"/>
      <c r="M58" s="58"/>
      <c r="N58" s="58">
        <v>0</v>
      </c>
      <c r="O58" s="58">
        <v>0</v>
      </c>
      <c r="P58" s="58">
        <v>0</v>
      </c>
      <c r="Q58" s="58">
        <v>0</v>
      </c>
      <c r="R58" s="58">
        <v>0</v>
      </c>
      <c r="S58" s="58"/>
      <c r="T58" s="58"/>
      <c r="U58" s="58"/>
      <c r="V58" s="58"/>
      <c r="W58" s="58">
        <v>270</v>
      </c>
      <c r="X58" s="58">
        <v>0</v>
      </c>
      <c r="Y58" s="58">
        <v>0</v>
      </c>
      <c r="Z58" s="58"/>
      <c r="AA58" s="58"/>
      <c r="AB58" s="58"/>
      <c r="AC58" s="58"/>
      <c r="AD58" s="58">
        <v>360</v>
      </c>
      <c r="AE58" s="58">
        <v>0</v>
      </c>
      <c r="AF58" s="58">
        <v>0</v>
      </c>
      <c r="AG58" s="58"/>
      <c r="AH58" s="58"/>
      <c r="AI58" s="58">
        <v>540</v>
      </c>
      <c r="AJ58" s="58">
        <v>0</v>
      </c>
      <c r="AK58" s="58">
        <v>180</v>
      </c>
      <c r="AL58" s="58"/>
      <c r="AM58" s="58"/>
      <c r="AN58" s="58"/>
      <c r="AO58" s="58"/>
      <c r="AP58" s="58">
        <v>0</v>
      </c>
      <c r="AQ58" s="58">
        <v>270</v>
      </c>
      <c r="AR58" s="58"/>
      <c r="AS58" s="58"/>
      <c r="AT58" s="58">
        <v>0</v>
      </c>
      <c r="AU58" s="58"/>
      <c r="AV58" s="58"/>
      <c r="AW58" s="58"/>
      <c r="AX58" s="58"/>
      <c r="AY58" s="58">
        <v>360</v>
      </c>
      <c r="AZ58" s="58">
        <v>0</v>
      </c>
      <c r="BA58" s="58"/>
      <c r="BB58" s="58"/>
      <c r="BC58" s="58"/>
      <c r="BD58" s="58"/>
      <c r="BE58" s="58"/>
      <c r="BF58" s="58"/>
      <c r="BG58" s="58"/>
      <c r="BH58" s="58"/>
      <c r="BI58" s="58"/>
      <c r="BJ58" s="58"/>
      <c r="BK58" s="58">
        <v>0</v>
      </c>
      <c r="BL58" s="58">
        <v>0</v>
      </c>
      <c r="BM58" s="58"/>
      <c r="BN58" s="58"/>
      <c r="BO58" s="58"/>
      <c r="BP58" s="58"/>
      <c r="BQ58" s="58"/>
      <c r="BR58" s="58"/>
      <c r="BS58" s="58">
        <v>0</v>
      </c>
      <c r="BT58" s="58">
        <v>180</v>
      </c>
      <c r="BU58" s="58">
        <v>0</v>
      </c>
      <c r="BV58" s="58">
        <v>0</v>
      </c>
      <c r="BW58" s="58"/>
      <c r="BX58" s="58">
        <v>180</v>
      </c>
      <c r="BY58" s="58"/>
      <c r="BZ58" s="58">
        <v>0</v>
      </c>
      <c r="CA58" s="58">
        <v>180</v>
      </c>
      <c r="CB58" s="58"/>
      <c r="CC58" s="58"/>
      <c r="CD58" s="58"/>
      <c r="CE58" s="58"/>
      <c r="CF58" s="58"/>
      <c r="CG58" s="58">
        <v>0</v>
      </c>
      <c r="CH58" s="58"/>
      <c r="CI58" s="58"/>
      <c r="CJ58" s="58"/>
      <c r="CK58" s="58">
        <v>450</v>
      </c>
      <c r="CL58" s="58"/>
      <c r="CM58" s="58"/>
      <c r="CN58" s="58"/>
      <c r="CO58" s="58"/>
      <c r="CP58" s="58"/>
      <c r="CQ58" s="58"/>
      <c r="CR58" s="58"/>
      <c r="CS58" s="58"/>
      <c r="CT58" s="58">
        <v>0</v>
      </c>
      <c r="CU58" s="58"/>
      <c r="CV58" s="58"/>
      <c r="CW58" s="58">
        <v>360</v>
      </c>
      <c r="CX58" s="58"/>
      <c r="CY58" s="58"/>
      <c r="CZ58" s="58"/>
      <c r="DA58" s="58"/>
      <c r="DB58" s="58">
        <v>0</v>
      </c>
      <c r="DC58" s="58"/>
      <c r="DD58" s="58">
        <v>0</v>
      </c>
      <c r="DE58" s="58"/>
      <c r="DF58" s="58"/>
      <c r="DG58" s="58"/>
      <c r="DH58" s="58"/>
      <c r="DI58" s="58"/>
      <c r="DJ58" s="58">
        <v>270</v>
      </c>
      <c r="DK58" s="107"/>
      <c r="DL58" s="107"/>
      <c r="DM58" s="107"/>
      <c r="DN58" s="107"/>
      <c r="DO58" s="107"/>
      <c r="DP58" s="107"/>
      <c r="DQ58" s="107"/>
      <c r="DR58" s="107"/>
      <c r="DS58" s="107"/>
      <c r="DT58" s="107"/>
      <c r="DU58" s="107"/>
      <c r="DV58" s="107"/>
      <c r="DW58" s="107"/>
      <c r="DX58" s="107"/>
      <c r="DY58" s="107"/>
      <c r="DZ58" s="107"/>
      <c r="EA58" s="107"/>
      <c r="EB58" s="107"/>
      <c r="EC58" s="107"/>
      <c r="ED58" s="107"/>
      <c r="EE58" s="107"/>
      <c r="EF58" s="107"/>
      <c r="EG58" s="107"/>
      <c r="EH58" s="107"/>
      <c r="EI58" s="107"/>
      <c r="EJ58" s="107"/>
      <c r="EK58" s="107"/>
      <c r="EL58" s="107"/>
      <c r="EM58" s="107"/>
      <c r="EN58" s="107"/>
      <c r="EO58" s="107"/>
      <c r="EP58" s="107"/>
      <c r="EQ58" s="107"/>
      <c r="ER58" s="107"/>
      <c r="ES58" s="107"/>
      <c r="ET58" s="107"/>
      <c r="EU58" s="107"/>
      <c r="EV58" s="107"/>
      <c r="EW58" s="107"/>
      <c r="EX58" s="107"/>
      <c r="EY58" s="107"/>
      <c r="EZ58" s="107"/>
      <c r="FA58" s="107"/>
      <c r="FB58" s="107"/>
      <c r="FC58" s="107"/>
      <c r="FD58" s="107"/>
      <c r="FE58" s="107"/>
      <c r="FF58" s="107"/>
      <c r="FG58" s="107"/>
      <c r="FH58" s="107"/>
      <c r="FI58" s="107"/>
      <c r="FJ58" s="107"/>
      <c r="FK58" s="107"/>
      <c r="FL58" s="107"/>
      <c r="FM58" s="107"/>
      <c r="FN58" s="107"/>
      <c r="FO58" s="107"/>
      <c r="FP58" s="107"/>
      <c r="FQ58" s="107"/>
      <c r="FR58" s="107"/>
      <c r="FS58" s="107"/>
      <c r="FT58" s="107"/>
    </row>
    <row r="59" spans="1:176" x14ac:dyDescent="0.25">
      <c r="A59" s="107"/>
      <c r="B59" s="107"/>
      <c r="C59" s="107"/>
      <c r="D59" s="107"/>
      <c r="E59" s="107"/>
      <c r="F59" s="107"/>
      <c r="G59" s="147" t="str">
        <f>IF(_ibpOfflineCondition_,"000000000000564552-1", _xll.EPMOlapMemberO("[PRDID].[].[000000000000564552-1]","","000000000000564552-1","","000"))</f>
        <v>000000000000564552-1</v>
      </c>
      <c r="H59" s="147" t="str">
        <f>IF(_ibpOfflineCondition_,"FGR+ FIGAROLLPLUS 5/340+40 ANTHR MONIER", _xll.EPMOlapMemberO("[PRDDESCR].[].[FGR+ FIGAROLLPLUS 5/340+40 ANTHR MONIER]","","FGR+ FIGAROLLPLUS 5/340+40 ANTHR MONIER","","000"))</f>
        <v>FGR+ FIGAROLLPLUS 5/340+40 ANTHR MONIER</v>
      </c>
      <c r="I59" s="147" t="str">
        <f>IF(_ibpOfflineCondition_,"X0", _xll.EPMOlapMemberO("[MRPTYPE].[].[X0]","","X0","","000"))</f>
        <v>X0</v>
      </c>
      <c r="J59" s="147" t="str">
        <f>IF(_ibpOfflineCondition_,"GSCRM Projected Stock (Unconstrained Demand)", _xll.EPMOlapMemberO("[KEY_FIGURES].[].[ZGSCRMUNCONSINVENTORY]","","GSCRM Projected Stock (Unconstrained Demand)","","000"))</f>
        <v>GSCRM Projected Stock (Unconstrained Demand)</v>
      </c>
      <c r="K59" s="58">
        <v>360</v>
      </c>
      <c r="L59" s="58">
        <v>360</v>
      </c>
      <c r="M59" s="58">
        <v>360</v>
      </c>
      <c r="N59" s="58"/>
      <c r="O59" s="58"/>
      <c r="P59" s="58"/>
      <c r="Q59" s="58"/>
      <c r="R59" s="58"/>
      <c r="S59" s="58"/>
      <c r="T59" s="58"/>
      <c r="U59" s="58"/>
      <c r="V59" s="58"/>
      <c r="W59" s="58">
        <v>270</v>
      </c>
      <c r="X59" s="58">
        <v>180</v>
      </c>
      <c r="Y59" s="58"/>
      <c r="Z59" s="58"/>
      <c r="AA59" s="58"/>
      <c r="AB59" s="58"/>
      <c r="AC59" s="58"/>
      <c r="AD59" s="58">
        <v>360</v>
      </c>
      <c r="AE59" s="58">
        <v>360</v>
      </c>
      <c r="AF59" s="58">
        <v>180</v>
      </c>
      <c r="AG59" s="58">
        <v>180</v>
      </c>
      <c r="AH59" s="58">
        <v>180</v>
      </c>
      <c r="AI59" s="58">
        <v>720</v>
      </c>
      <c r="AJ59" s="58">
        <v>540</v>
      </c>
      <c r="AK59" s="58">
        <v>630</v>
      </c>
      <c r="AL59" s="58">
        <v>630</v>
      </c>
      <c r="AM59" s="58">
        <v>630</v>
      </c>
      <c r="AN59" s="58">
        <v>630</v>
      </c>
      <c r="AO59" s="58">
        <v>630</v>
      </c>
      <c r="AP59" s="58">
        <v>450</v>
      </c>
      <c r="AQ59" s="58">
        <v>720</v>
      </c>
      <c r="AR59" s="58">
        <v>720</v>
      </c>
      <c r="AS59" s="58">
        <v>720</v>
      </c>
      <c r="AT59" s="58">
        <v>630</v>
      </c>
      <c r="AU59" s="58">
        <v>630</v>
      </c>
      <c r="AV59" s="58">
        <v>630</v>
      </c>
      <c r="AW59" s="58">
        <v>630</v>
      </c>
      <c r="AX59" s="58">
        <v>990</v>
      </c>
      <c r="AY59" s="58">
        <v>990</v>
      </c>
      <c r="AZ59" s="58">
        <v>900</v>
      </c>
      <c r="BA59" s="58">
        <v>900</v>
      </c>
      <c r="BB59" s="58">
        <v>900</v>
      </c>
      <c r="BC59" s="58">
        <v>900</v>
      </c>
      <c r="BD59" s="58">
        <v>900</v>
      </c>
      <c r="BE59" s="58">
        <v>900</v>
      </c>
      <c r="BF59" s="58">
        <v>900</v>
      </c>
      <c r="BG59" s="58">
        <v>900</v>
      </c>
      <c r="BH59" s="58">
        <v>900</v>
      </c>
      <c r="BI59" s="58">
        <v>900</v>
      </c>
      <c r="BJ59" s="58">
        <v>900</v>
      </c>
      <c r="BK59" s="58">
        <v>540</v>
      </c>
      <c r="BL59" s="58">
        <v>450</v>
      </c>
      <c r="BM59" s="58">
        <v>450</v>
      </c>
      <c r="BN59" s="58">
        <v>450</v>
      </c>
      <c r="BO59" s="58">
        <v>450</v>
      </c>
      <c r="BP59" s="58">
        <v>450</v>
      </c>
      <c r="BQ59" s="58">
        <v>450</v>
      </c>
      <c r="BR59" s="58">
        <v>450</v>
      </c>
      <c r="BS59" s="58">
        <v>270</v>
      </c>
      <c r="BT59" s="58">
        <v>450</v>
      </c>
      <c r="BU59" s="58">
        <v>360</v>
      </c>
      <c r="BV59" s="58">
        <v>180</v>
      </c>
      <c r="BW59" s="58">
        <v>180</v>
      </c>
      <c r="BX59" s="58">
        <v>360</v>
      </c>
      <c r="BY59" s="58">
        <v>360</v>
      </c>
      <c r="BZ59" s="58">
        <v>270</v>
      </c>
      <c r="CA59" s="58">
        <v>450</v>
      </c>
      <c r="CB59" s="58">
        <v>450</v>
      </c>
      <c r="CC59" s="58">
        <v>450</v>
      </c>
      <c r="CD59" s="58">
        <v>450</v>
      </c>
      <c r="CE59" s="58">
        <v>450</v>
      </c>
      <c r="CF59" s="58">
        <v>450</v>
      </c>
      <c r="CG59" s="58">
        <v>90</v>
      </c>
      <c r="CH59" s="58">
        <v>90</v>
      </c>
      <c r="CI59" s="58">
        <v>90</v>
      </c>
      <c r="CJ59" s="58">
        <v>90</v>
      </c>
      <c r="CK59" s="58">
        <v>540</v>
      </c>
      <c r="CL59" s="58">
        <v>540</v>
      </c>
      <c r="CM59" s="58">
        <v>540</v>
      </c>
      <c r="CN59" s="58">
        <v>540</v>
      </c>
      <c r="CO59" s="58">
        <v>540</v>
      </c>
      <c r="CP59" s="58">
        <v>540</v>
      </c>
      <c r="CQ59" s="58">
        <v>540</v>
      </c>
      <c r="CR59" s="58">
        <v>540</v>
      </c>
      <c r="CS59" s="58">
        <v>540</v>
      </c>
      <c r="CT59" s="58">
        <v>270</v>
      </c>
      <c r="CU59" s="58">
        <v>270</v>
      </c>
      <c r="CV59" s="58">
        <v>270</v>
      </c>
      <c r="CW59" s="58">
        <v>360</v>
      </c>
      <c r="CX59" s="58">
        <v>360</v>
      </c>
      <c r="CY59" s="58">
        <v>360</v>
      </c>
      <c r="CZ59" s="58">
        <v>360</v>
      </c>
      <c r="DA59" s="58">
        <v>360</v>
      </c>
      <c r="DB59" s="58">
        <v>270</v>
      </c>
      <c r="DC59" s="58">
        <v>270</v>
      </c>
      <c r="DD59" s="58">
        <v>180</v>
      </c>
      <c r="DE59" s="58">
        <v>180</v>
      </c>
      <c r="DF59" s="58">
        <v>180</v>
      </c>
      <c r="DG59" s="58">
        <v>180</v>
      </c>
      <c r="DH59" s="58">
        <v>180</v>
      </c>
      <c r="DI59" s="58">
        <v>180</v>
      </c>
      <c r="DJ59" s="58">
        <v>360</v>
      </c>
      <c r="DK59" s="107"/>
      <c r="DL59" s="107"/>
      <c r="DM59" s="107"/>
      <c r="DN59" s="107"/>
      <c r="DO59" s="107"/>
      <c r="DP59" s="107"/>
      <c r="DQ59" s="107"/>
      <c r="DR59" s="107"/>
      <c r="DS59" s="107"/>
      <c r="DT59" s="107"/>
      <c r="DU59" s="107"/>
      <c r="DV59" s="107"/>
      <c r="DW59" s="107"/>
      <c r="DX59" s="107"/>
      <c r="DY59" s="107"/>
      <c r="DZ59" s="107"/>
      <c r="EA59" s="107"/>
      <c r="EB59" s="107"/>
      <c r="EC59" s="107"/>
      <c r="ED59" s="107"/>
      <c r="EE59" s="107"/>
      <c r="EF59" s="107"/>
      <c r="EG59" s="107"/>
      <c r="EH59" s="107"/>
      <c r="EI59" s="107"/>
      <c r="EJ59" s="107"/>
      <c r="EK59" s="107"/>
      <c r="EL59" s="107"/>
      <c r="EM59" s="107"/>
      <c r="EN59" s="107"/>
      <c r="EO59" s="107"/>
      <c r="EP59" s="107"/>
      <c r="EQ59" s="107"/>
      <c r="ER59" s="107"/>
      <c r="ES59" s="107"/>
      <c r="ET59" s="107"/>
      <c r="EU59" s="107"/>
      <c r="EV59" s="107"/>
      <c r="EW59" s="107"/>
      <c r="EX59" s="107"/>
      <c r="EY59" s="107"/>
      <c r="EZ59" s="107"/>
      <c r="FA59" s="107"/>
      <c r="FB59" s="107"/>
      <c r="FC59" s="107"/>
      <c r="FD59" s="107"/>
      <c r="FE59" s="107"/>
      <c r="FF59" s="107"/>
      <c r="FG59" s="107"/>
      <c r="FH59" s="107"/>
      <c r="FI59" s="107"/>
      <c r="FJ59" s="107"/>
      <c r="FK59" s="107"/>
      <c r="FL59" s="107"/>
      <c r="FM59" s="107"/>
      <c r="FN59" s="107"/>
      <c r="FO59" s="107"/>
      <c r="FP59" s="107"/>
      <c r="FQ59" s="107"/>
      <c r="FR59" s="107"/>
      <c r="FS59" s="107"/>
      <c r="FT59" s="107"/>
    </row>
    <row r="60" spans="1:176" x14ac:dyDescent="0.25">
      <c r="A60" s="107"/>
      <c r="B60" s="107"/>
      <c r="C60" s="107"/>
      <c r="D60" s="107"/>
      <c r="E60" s="107"/>
      <c r="F60" s="107"/>
      <c r="G60" s="147" t="str">
        <f>IF(_ibpOfflineCondition_,"000000000000564553-1", _xll.EPMOlapMemberO("[PRDID].[].[000000000000564553-1]","","000000000000564553-1","","000"))</f>
        <v>000000000000564553-1</v>
      </c>
      <c r="H60" s="147" t="str">
        <f>IF(_ibpOfflineCondition_,"FGR+ FIGAROLLPLUS 5/340+40 ROT MONIER", _xll.EPMOlapMemberO("[PRDDESCR].[].[FGR+ FIGAROLLPLUS 5/340+40 ROT MONIER]","","FGR+ FIGAROLLPLUS 5/340+40 ROT MONIER","","000"))</f>
        <v>FGR+ FIGAROLLPLUS 5/340+40 ROT MONIER</v>
      </c>
      <c r="I60" s="147" t="str">
        <f>IF(_ibpOfflineCondition_,"X0", _xll.EPMOlapMemberO("[MRPTYPE].[].[X0]","","X0","","000"))</f>
        <v>X0</v>
      </c>
      <c r="J60" s="147" t="str">
        <f>IF(_ibpOfflineCondition_,"GSCRM Actual Sales and Unconstrained Demand", _xll.EPMOlapMemberO("[KEY_FIGURES].[].[ZGSCRMACTUALUNCONSDEMAND]","","GSCRM Actual Sales and Unconstrained Demand","","000"))</f>
        <v>GSCRM Actual Sales and Unconstrained Demand</v>
      </c>
      <c r="K60" s="58">
        <v>810</v>
      </c>
      <c r="L60" s="58">
        <v>1980</v>
      </c>
      <c r="M60" s="58">
        <v>2610</v>
      </c>
      <c r="N60" s="58">
        <v>3060</v>
      </c>
      <c r="O60" s="58"/>
      <c r="P60" s="58"/>
      <c r="Q60" s="58">
        <v>180</v>
      </c>
      <c r="R60" s="58"/>
      <c r="S60" s="58">
        <v>360</v>
      </c>
      <c r="T60" s="58"/>
      <c r="U60" s="58">
        <v>1080</v>
      </c>
      <c r="V60" s="58"/>
      <c r="W60" s="58"/>
      <c r="X60" s="58">
        <v>990</v>
      </c>
      <c r="Y60" s="58">
        <v>540</v>
      </c>
      <c r="Z60" s="58"/>
      <c r="AA60" s="58"/>
      <c r="AB60" s="58">
        <v>540</v>
      </c>
      <c r="AC60" s="58"/>
      <c r="AD60" s="58"/>
      <c r="AE60" s="58">
        <v>3150</v>
      </c>
      <c r="AF60" s="58">
        <v>3870</v>
      </c>
      <c r="AG60" s="58">
        <v>630</v>
      </c>
      <c r="AH60" s="58"/>
      <c r="AI60" s="58">
        <v>90</v>
      </c>
      <c r="AJ60" s="58">
        <v>1350</v>
      </c>
      <c r="AK60" s="58">
        <v>1080</v>
      </c>
      <c r="AL60" s="58"/>
      <c r="AM60" s="58">
        <v>180</v>
      </c>
      <c r="AN60" s="58">
        <v>900</v>
      </c>
      <c r="AO60" s="58"/>
      <c r="AP60" s="58">
        <v>1080</v>
      </c>
      <c r="AQ60" s="58">
        <v>450</v>
      </c>
      <c r="AR60" s="58">
        <v>990</v>
      </c>
      <c r="AS60" s="58">
        <v>2250</v>
      </c>
      <c r="AT60" s="58"/>
      <c r="AU60" s="58"/>
      <c r="AV60" s="58"/>
      <c r="AW60" s="58"/>
      <c r="AX60" s="58">
        <v>1080</v>
      </c>
      <c r="AY60" s="58">
        <v>720</v>
      </c>
      <c r="AZ60" s="58"/>
      <c r="BA60" s="58"/>
      <c r="BB60" s="58"/>
      <c r="BC60" s="58"/>
      <c r="BD60" s="58"/>
      <c r="BE60" s="58"/>
      <c r="BF60" s="58"/>
      <c r="BG60" s="58"/>
      <c r="BH60" s="58">
        <v>7470</v>
      </c>
      <c r="BI60" s="58">
        <v>720</v>
      </c>
      <c r="BJ60" s="58"/>
      <c r="BK60" s="58">
        <v>2340</v>
      </c>
      <c r="BL60" s="58">
        <v>720</v>
      </c>
      <c r="BM60" s="58"/>
      <c r="BN60" s="58"/>
      <c r="BO60" s="58"/>
      <c r="BP60" s="58"/>
      <c r="BQ60" s="58">
        <v>3420</v>
      </c>
      <c r="BR60" s="58">
        <v>180</v>
      </c>
      <c r="BS60" s="58">
        <v>1440</v>
      </c>
      <c r="BT60" s="58">
        <v>3510</v>
      </c>
      <c r="BU60" s="58"/>
      <c r="BV60" s="58">
        <v>540</v>
      </c>
      <c r="BW60" s="58"/>
      <c r="BX60" s="58"/>
      <c r="BY60" s="58">
        <v>900</v>
      </c>
      <c r="BZ60" s="58"/>
      <c r="CA60" s="58"/>
      <c r="CB60" s="58">
        <v>450</v>
      </c>
      <c r="CC60" s="58">
        <v>1800</v>
      </c>
      <c r="CD60" s="58"/>
      <c r="CE60" s="58"/>
      <c r="CF60" s="58">
        <v>1260</v>
      </c>
      <c r="CG60" s="58">
        <v>450</v>
      </c>
      <c r="CH60" s="58">
        <v>1440</v>
      </c>
      <c r="CI60" s="58"/>
      <c r="CJ60" s="58"/>
      <c r="CK60" s="58">
        <v>1980</v>
      </c>
      <c r="CL60" s="58"/>
      <c r="CM60" s="58">
        <v>810</v>
      </c>
      <c r="CN60" s="58">
        <v>90</v>
      </c>
      <c r="CO60" s="58"/>
      <c r="CP60" s="58"/>
      <c r="CQ60" s="58">
        <v>360</v>
      </c>
      <c r="CR60" s="58">
        <v>270</v>
      </c>
      <c r="CS60" s="58">
        <v>630</v>
      </c>
      <c r="CT60" s="58"/>
      <c r="CU60" s="58">
        <v>720</v>
      </c>
      <c r="CV60" s="58">
        <v>90</v>
      </c>
      <c r="CW60" s="58">
        <v>2880</v>
      </c>
      <c r="CX60" s="58"/>
      <c r="CY60" s="58">
        <v>1890</v>
      </c>
      <c r="CZ60" s="58"/>
      <c r="DA60" s="58">
        <v>360</v>
      </c>
      <c r="DB60" s="58"/>
      <c r="DC60" s="58"/>
      <c r="DD60" s="58">
        <v>90</v>
      </c>
      <c r="DE60" s="58"/>
      <c r="DF60" s="58"/>
      <c r="DG60" s="58">
        <v>3960</v>
      </c>
      <c r="DH60" s="58">
        <v>2070</v>
      </c>
      <c r="DI60" s="58">
        <v>360</v>
      </c>
      <c r="DJ60" s="58">
        <v>2430</v>
      </c>
      <c r="DK60" s="107"/>
      <c r="DL60" s="107"/>
      <c r="DM60" s="107"/>
      <c r="DN60" s="107"/>
      <c r="DO60" s="107"/>
      <c r="DP60" s="107"/>
      <c r="DQ60" s="107"/>
      <c r="DR60" s="107"/>
      <c r="DS60" s="107"/>
      <c r="DT60" s="107"/>
      <c r="DU60" s="107"/>
      <c r="DV60" s="107"/>
      <c r="DW60" s="107"/>
      <c r="DX60" s="107"/>
      <c r="DY60" s="107"/>
      <c r="DZ60" s="107"/>
      <c r="EA60" s="107"/>
      <c r="EB60" s="107"/>
      <c r="EC60" s="107"/>
      <c r="ED60" s="107"/>
      <c r="EE60" s="107"/>
      <c r="EF60" s="107"/>
      <c r="EG60" s="107"/>
      <c r="EH60" s="107"/>
      <c r="EI60" s="107"/>
      <c r="EJ60" s="107"/>
      <c r="EK60" s="107"/>
      <c r="EL60" s="107"/>
      <c r="EM60" s="107"/>
      <c r="EN60" s="107"/>
      <c r="EO60" s="107"/>
      <c r="EP60" s="107"/>
      <c r="EQ60" s="107"/>
      <c r="ER60" s="107"/>
      <c r="ES60" s="107"/>
      <c r="ET60" s="107"/>
      <c r="EU60" s="107"/>
      <c r="EV60" s="107"/>
      <c r="EW60" s="107"/>
      <c r="EX60" s="107"/>
      <c r="EY60" s="107"/>
      <c r="EZ60" s="107"/>
      <c r="FA60" s="107"/>
      <c r="FB60" s="107"/>
      <c r="FC60" s="107"/>
      <c r="FD60" s="107"/>
      <c r="FE60" s="107"/>
      <c r="FF60" s="107"/>
      <c r="FG60" s="107"/>
      <c r="FH60" s="107"/>
      <c r="FI60" s="107"/>
      <c r="FJ60" s="107"/>
      <c r="FK60" s="107"/>
      <c r="FL60" s="107"/>
      <c r="FM60" s="107"/>
      <c r="FN60" s="107"/>
      <c r="FO60" s="107"/>
      <c r="FP60" s="107"/>
      <c r="FQ60" s="107"/>
      <c r="FR60" s="107"/>
      <c r="FS60" s="107"/>
      <c r="FT60" s="107"/>
    </row>
    <row r="61" spans="1:176" x14ac:dyDescent="0.25">
      <c r="A61" s="107"/>
      <c r="B61" s="107"/>
      <c r="C61" s="107"/>
      <c r="D61" s="107"/>
      <c r="E61" s="107"/>
      <c r="F61" s="107"/>
      <c r="G61" s="147" t="str">
        <f>IF(_ibpOfflineCondition_,"000000000000564553-1", _xll.EPMOlapMemberO("[PRDID].[].[000000000000564553-1]","","000000000000564553-1","","000"))</f>
        <v>000000000000564553-1</v>
      </c>
      <c r="H61" s="147" t="str">
        <f>IF(_ibpOfflineCondition_,"FGR+ FIGAROLLPLUS 5/340+40 ROT MONIER", _xll.EPMOlapMemberO("[PRDDESCR].[].[FGR+ FIGAROLLPLUS 5/340+40 ROT MONIER]","","FGR+ FIGAROLLPLUS 5/340+40 ROT MONIER","","000"))</f>
        <v>FGR+ FIGAROLLPLUS 5/340+40 ROT MONIER</v>
      </c>
      <c r="I61" s="147" t="str">
        <f>IF(_ibpOfflineCondition_,"X0", _xll.EPMOlapMemberO("[MRPTYPE].[].[X0]","","X0","","000"))</f>
        <v>X0</v>
      </c>
      <c r="J61" s="147" t="str">
        <f>IF(_ibpOfflineCondition_,"GSCRM Actuals and Future Production", _xll.EPMOlapMemberO("[KEY_FIGURES].[].[ZGSCRMACTUALSPRODUCTION]","","GSCRM Actuals and Future Production","","000"))</f>
        <v>GSCRM Actuals and Future Production</v>
      </c>
      <c r="K61" s="58">
        <v>4050</v>
      </c>
      <c r="L61" s="58">
        <v>4050</v>
      </c>
      <c r="M61" s="58">
        <v>0</v>
      </c>
      <c r="N61" s="58">
        <v>0</v>
      </c>
      <c r="O61" s="58">
        <v>0</v>
      </c>
      <c r="P61" s="58">
        <v>0</v>
      </c>
      <c r="Q61" s="58">
        <v>0</v>
      </c>
      <c r="R61" s="58">
        <v>0</v>
      </c>
      <c r="S61" s="58">
        <v>0</v>
      </c>
      <c r="T61" s="58">
        <v>0</v>
      </c>
      <c r="U61" s="58">
        <v>0</v>
      </c>
      <c r="V61" s="58">
        <v>1800</v>
      </c>
      <c r="W61" s="58">
        <v>4680</v>
      </c>
      <c r="X61" s="58">
        <v>0</v>
      </c>
      <c r="Y61" s="58">
        <v>0</v>
      </c>
      <c r="Z61" s="58"/>
      <c r="AA61" s="58"/>
      <c r="AB61" s="58">
        <v>0</v>
      </c>
      <c r="AC61" s="58"/>
      <c r="AD61" s="58">
        <v>5040</v>
      </c>
      <c r="AE61" s="58">
        <v>0</v>
      </c>
      <c r="AF61" s="58">
        <v>0</v>
      </c>
      <c r="AG61" s="58">
        <v>0</v>
      </c>
      <c r="AH61" s="58"/>
      <c r="AI61" s="58">
        <v>4500</v>
      </c>
      <c r="AJ61" s="58">
        <v>0</v>
      </c>
      <c r="AK61" s="58">
        <v>3780</v>
      </c>
      <c r="AL61" s="58"/>
      <c r="AM61" s="58">
        <v>0</v>
      </c>
      <c r="AN61" s="58">
        <v>0</v>
      </c>
      <c r="AO61" s="58"/>
      <c r="AP61" s="58">
        <v>450</v>
      </c>
      <c r="AQ61" s="58">
        <v>3870</v>
      </c>
      <c r="AR61" s="58">
        <v>0</v>
      </c>
      <c r="AS61" s="58">
        <v>0</v>
      </c>
      <c r="AT61" s="58"/>
      <c r="AU61" s="58"/>
      <c r="AV61" s="58"/>
      <c r="AW61" s="58"/>
      <c r="AX61" s="58">
        <v>0</v>
      </c>
      <c r="AY61" s="58">
        <v>5850</v>
      </c>
      <c r="AZ61" s="58">
        <v>630</v>
      </c>
      <c r="BA61" s="58"/>
      <c r="BB61" s="58"/>
      <c r="BC61" s="58"/>
      <c r="BD61" s="58"/>
      <c r="BE61" s="58"/>
      <c r="BF61" s="58"/>
      <c r="BG61" s="58">
        <v>2430</v>
      </c>
      <c r="BH61" s="58">
        <v>1350</v>
      </c>
      <c r="BI61" s="58">
        <v>0</v>
      </c>
      <c r="BJ61" s="58"/>
      <c r="BK61" s="58">
        <v>1980</v>
      </c>
      <c r="BL61" s="58">
        <v>0</v>
      </c>
      <c r="BM61" s="58"/>
      <c r="BN61" s="58"/>
      <c r="BO61" s="58"/>
      <c r="BP61" s="58"/>
      <c r="BQ61" s="58">
        <v>0</v>
      </c>
      <c r="BR61" s="58">
        <v>4860</v>
      </c>
      <c r="BS61" s="58">
        <v>0</v>
      </c>
      <c r="BT61" s="58">
        <v>1350</v>
      </c>
      <c r="BU61" s="58">
        <v>990</v>
      </c>
      <c r="BV61" s="58">
        <v>0</v>
      </c>
      <c r="BW61" s="58">
        <v>90</v>
      </c>
      <c r="BX61" s="58">
        <v>1890</v>
      </c>
      <c r="BY61" s="58">
        <v>0</v>
      </c>
      <c r="BZ61" s="58"/>
      <c r="CA61" s="58">
        <v>5400</v>
      </c>
      <c r="CB61" s="58">
        <v>0</v>
      </c>
      <c r="CC61" s="58">
        <v>0</v>
      </c>
      <c r="CD61" s="58"/>
      <c r="CE61" s="58"/>
      <c r="CF61" s="58">
        <v>0</v>
      </c>
      <c r="CG61" s="58">
        <v>0</v>
      </c>
      <c r="CH61" s="58">
        <v>1980</v>
      </c>
      <c r="CI61" s="58"/>
      <c r="CJ61" s="58"/>
      <c r="CK61" s="58">
        <v>3780</v>
      </c>
      <c r="CL61" s="58">
        <v>180</v>
      </c>
      <c r="CM61" s="58">
        <v>0</v>
      </c>
      <c r="CN61" s="58">
        <v>0</v>
      </c>
      <c r="CO61" s="58"/>
      <c r="CP61" s="58"/>
      <c r="CQ61" s="58">
        <v>0</v>
      </c>
      <c r="CR61" s="58">
        <v>0</v>
      </c>
      <c r="CS61" s="58">
        <v>0</v>
      </c>
      <c r="CT61" s="58"/>
      <c r="CU61" s="58">
        <v>0</v>
      </c>
      <c r="CV61" s="58">
        <v>0</v>
      </c>
      <c r="CW61" s="58">
        <v>2610</v>
      </c>
      <c r="CX61" s="58"/>
      <c r="CY61" s="58">
        <v>0</v>
      </c>
      <c r="CZ61" s="58"/>
      <c r="DA61" s="58">
        <v>3060</v>
      </c>
      <c r="DB61" s="58">
        <v>8820</v>
      </c>
      <c r="DC61" s="58"/>
      <c r="DD61" s="58">
        <v>0</v>
      </c>
      <c r="DE61" s="58"/>
      <c r="DF61" s="58"/>
      <c r="DG61" s="58">
        <v>0</v>
      </c>
      <c r="DH61" s="58">
        <v>0</v>
      </c>
      <c r="DI61" s="58">
        <v>0</v>
      </c>
      <c r="DJ61" s="58">
        <v>4860</v>
      </c>
      <c r="DK61" s="107"/>
      <c r="DL61" s="107"/>
      <c r="DM61" s="107"/>
      <c r="DN61" s="107"/>
      <c r="DO61" s="107"/>
      <c r="DP61" s="107"/>
      <c r="DQ61" s="107"/>
      <c r="DR61" s="107"/>
      <c r="DS61" s="107"/>
      <c r="DT61" s="107"/>
      <c r="DU61" s="107"/>
      <c r="DV61" s="107"/>
      <c r="DW61" s="107"/>
      <c r="DX61" s="107"/>
      <c r="DY61" s="107"/>
      <c r="DZ61" s="107"/>
      <c r="EA61" s="107"/>
      <c r="EB61" s="107"/>
      <c r="EC61" s="107"/>
      <c r="ED61" s="107"/>
      <c r="EE61" s="107"/>
      <c r="EF61" s="107"/>
      <c r="EG61" s="107"/>
      <c r="EH61" s="107"/>
      <c r="EI61" s="107"/>
      <c r="EJ61" s="107"/>
      <c r="EK61" s="107"/>
      <c r="EL61" s="107"/>
      <c r="EM61" s="107"/>
      <c r="EN61" s="107"/>
      <c r="EO61" s="107"/>
      <c r="EP61" s="107"/>
      <c r="EQ61" s="107"/>
      <c r="ER61" s="107"/>
      <c r="ES61" s="107"/>
      <c r="ET61" s="107"/>
      <c r="EU61" s="107"/>
      <c r="EV61" s="107"/>
      <c r="EW61" s="107"/>
      <c r="EX61" s="107"/>
      <c r="EY61" s="107"/>
      <c r="EZ61" s="107"/>
      <c r="FA61" s="107"/>
      <c r="FB61" s="107"/>
      <c r="FC61" s="107"/>
      <c r="FD61" s="107"/>
      <c r="FE61" s="107"/>
      <c r="FF61" s="107"/>
      <c r="FG61" s="107"/>
      <c r="FH61" s="107"/>
      <c r="FI61" s="107"/>
      <c r="FJ61" s="107"/>
      <c r="FK61" s="107"/>
      <c r="FL61" s="107"/>
      <c r="FM61" s="107"/>
      <c r="FN61" s="107"/>
      <c r="FO61" s="107"/>
      <c r="FP61" s="107"/>
      <c r="FQ61" s="107"/>
      <c r="FR61" s="107"/>
      <c r="FS61" s="107"/>
      <c r="FT61" s="107"/>
    </row>
    <row r="62" spans="1:176" x14ac:dyDescent="0.25">
      <c r="A62" s="107"/>
      <c r="B62" s="107"/>
      <c r="C62" s="107"/>
      <c r="D62" s="107"/>
      <c r="E62" s="107"/>
      <c r="F62" s="107"/>
      <c r="G62" s="147" t="str">
        <f>IF(_ibpOfflineCondition_,"000000000000564553-1", _xll.EPMOlapMemberO("[PRDID].[].[000000000000564553-1]","","000000000000564553-1","","000"))</f>
        <v>000000000000564553-1</v>
      </c>
      <c r="H62" s="147" t="str">
        <f>IF(_ibpOfflineCondition_,"FGR+ FIGAROLLPLUS 5/340+40 ROT MONIER", _xll.EPMOlapMemberO("[PRDDESCR].[].[FGR+ FIGAROLLPLUS 5/340+40 ROT MONIER]","","FGR+ FIGAROLLPLUS 5/340+40 ROT MONIER","","000"))</f>
        <v>FGR+ FIGAROLLPLUS 5/340+40 ROT MONIER</v>
      </c>
      <c r="I62" s="147" t="str">
        <f>IF(_ibpOfflineCondition_,"X0", _xll.EPMOlapMemberO("[MRPTYPE].[].[X0]","","X0","","000"))</f>
        <v>X0</v>
      </c>
      <c r="J62" s="147" t="str">
        <f>IF(_ibpOfflineCondition_,"GSCRM Projected Stock (Unconstrained Demand)", _xll.EPMOlapMemberO("[KEY_FIGURES].[].[ZGSCRMUNCONSINVENTORY]","","GSCRM Projected Stock (Unconstrained Demand)","","000"))</f>
        <v>GSCRM Projected Stock (Unconstrained Demand)</v>
      </c>
      <c r="K62" s="58">
        <v>5220</v>
      </c>
      <c r="L62" s="58">
        <v>7290</v>
      </c>
      <c r="M62" s="58">
        <v>4680</v>
      </c>
      <c r="N62" s="58">
        <v>1620</v>
      </c>
      <c r="O62" s="58">
        <v>1620</v>
      </c>
      <c r="P62" s="58">
        <v>1620</v>
      </c>
      <c r="Q62" s="58">
        <v>1440</v>
      </c>
      <c r="R62" s="58">
        <v>1440</v>
      </c>
      <c r="S62" s="58"/>
      <c r="T62" s="58">
        <v>1080</v>
      </c>
      <c r="U62" s="58"/>
      <c r="V62" s="58">
        <v>2970</v>
      </c>
      <c r="W62" s="58">
        <v>6480</v>
      </c>
      <c r="X62" s="58">
        <v>5490</v>
      </c>
      <c r="Y62" s="58">
        <v>4950</v>
      </c>
      <c r="Z62" s="58">
        <v>4950</v>
      </c>
      <c r="AA62" s="58">
        <v>4680</v>
      </c>
      <c r="AB62" s="58">
        <v>4410</v>
      </c>
      <c r="AC62" s="58">
        <v>4410</v>
      </c>
      <c r="AD62" s="58">
        <v>9450</v>
      </c>
      <c r="AE62" s="58">
        <v>6390</v>
      </c>
      <c r="AF62" s="58">
        <v>2520</v>
      </c>
      <c r="AG62" s="58">
        <v>1890</v>
      </c>
      <c r="AH62" s="58">
        <v>1890</v>
      </c>
      <c r="AI62" s="58">
        <v>6300</v>
      </c>
      <c r="AJ62" s="58">
        <v>4950</v>
      </c>
      <c r="AK62" s="58">
        <v>7650</v>
      </c>
      <c r="AL62" s="58">
        <v>7650</v>
      </c>
      <c r="AM62" s="58">
        <v>7470</v>
      </c>
      <c r="AN62" s="58">
        <v>6570</v>
      </c>
      <c r="AO62" s="58">
        <v>6570</v>
      </c>
      <c r="AP62" s="58">
        <v>7020</v>
      </c>
      <c r="AQ62" s="58">
        <v>8370</v>
      </c>
      <c r="AR62" s="58">
        <v>8370</v>
      </c>
      <c r="AS62" s="58">
        <v>6120</v>
      </c>
      <c r="AT62" s="58">
        <v>6120</v>
      </c>
      <c r="AU62" s="58">
        <v>6120</v>
      </c>
      <c r="AV62" s="58">
        <v>6120</v>
      </c>
      <c r="AW62" s="58">
        <v>6120</v>
      </c>
      <c r="AX62" s="58">
        <v>5040</v>
      </c>
      <c r="AY62" s="58">
        <v>10170</v>
      </c>
      <c r="AZ62" s="58">
        <v>10800</v>
      </c>
      <c r="BA62" s="58">
        <v>10800</v>
      </c>
      <c r="BB62" s="58">
        <v>10800</v>
      </c>
      <c r="BC62" s="58">
        <v>10800</v>
      </c>
      <c r="BD62" s="58">
        <v>10800</v>
      </c>
      <c r="BE62" s="58">
        <v>10800</v>
      </c>
      <c r="BF62" s="58">
        <v>10800</v>
      </c>
      <c r="BG62" s="58">
        <v>13230</v>
      </c>
      <c r="BH62" s="58">
        <v>7110</v>
      </c>
      <c r="BI62" s="58">
        <v>6390</v>
      </c>
      <c r="BJ62" s="58">
        <v>5130</v>
      </c>
      <c r="BK62" s="58">
        <v>6030</v>
      </c>
      <c r="BL62" s="58">
        <v>5310</v>
      </c>
      <c r="BM62" s="58">
        <v>5310</v>
      </c>
      <c r="BN62" s="58">
        <v>5310</v>
      </c>
      <c r="BO62" s="58">
        <v>5310</v>
      </c>
      <c r="BP62" s="58">
        <v>5310</v>
      </c>
      <c r="BQ62" s="58">
        <v>1890</v>
      </c>
      <c r="BR62" s="58">
        <v>5130</v>
      </c>
      <c r="BS62" s="58">
        <v>5130</v>
      </c>
      <c r="BT62" s="58">
        <v>3960</v>
      </c>
      <c r="BU62" s="58">
        <v>3960</v>
      </c>
      <c r="BV62" s="58">
        <v>3420</v>
      </c>
      <c r="BW62" s="58">
        <v>5400</v>
      </c>
      <c r="BX62" s="58">
        <v>5220</v>
      </c>
      <c r="BY62" s="58">
        <v>4500</v>
      </c>
      <c r="BZ62" s="58">
        <v>4500</v>
      </c>
      <c r="CA62" s="58">
        <v>9900</v>
      </c>
      <c r="CB62" s="58">
        <v>9450</v>
      </c>
      <c r="CC62" s="58">
        <v>7650</v>
      </c>
      <c r="CD62" s="58">
        <v>7650</v>
      </c>
      <c r="CE62" s="58">
        <v>7650</v>
      </c>
      <c r="CF62" s="58">
        <v>6390</v>
      </c>
      <c r="CG62" s="58">
        <v>6210</v>
      </c>
      <c r="CH62" s="58">
        <v>6480</v>
      </c>
      <c r="CI62" s="58">
        <v>6480</v>
      </c>
      <c r="CJ62" s="58">
        <v>6480</v>
      </c>
      <c r="CK62" s="58">
        <v>8280</v>
      </c>
      <c r="CL62" s="58">
        <v>8460</v>
      </c>
      <c r="CM62" s="58">
        <v>7650</v>
      </c>
      <c r="CN62" s="58">
        <v>7560</v>
      </c>
      <c r="CO62" s="58">
        <v>7560</v>
      </c>
      <c r="CP62" s="58">
        <v>7560</v>
      </c>
      <c r="CQ62" s="58">
        <v>7200</v>
      </c>
      <c r="CR62" s="58">
        <v>6930</v>
      </c>
      <c r="CS62" s="58">
        <v>6300</v>
      </c>
      <c r="CT62" s="58">
        <v>5580</v>
      </c>
      <c r="CU62" s="58">
        <v>5580</v>
      </c>
      <c r="CV62" s="58">
        <v>4320</v>
      </c>
      <c r="CW62" s="58">
        <v>2610</v>
      </c>
      <c r="CX62" s="58">
        <v>5220</v>
      </c>
      <c r="CY62" s="58">
        <v>3330</v>
      </c>
      <c r="CZ62" s="58">
        <v>3330</v>
      </c>
      <c r="DA62" s="58">
        <v>7110</v>
      </c>
      <c r="DB62" s="58">
        <v>14850</v>
      </c>
      <c r="DC62" s="58">
        <v>14850</v>
      </c>
      <c r="DD62" s="58">
        <v>14760</v>
      </c>
      <c r="DE62" s="58">
        <v>14760</v>
      </c>
      <c r="DF62" s="58">
        <v>14760</v>
      </c>
      <c r="DG62" s="58">
        <v>10800</v>
      </c>
      <c r="DH62" s="58">
        <v>8730</v>
      </c>
      <c r="DI62" s="58">
        <v>8370</v>
      </c>
      <c r="DJ62" s="58">
        <v>10800</v>
      </c>
      <c r="DK62" s="107"/>
      <c r="DL62" s="107"/>
      <c r="DM62" s="107"/>
      <c r="DN62" s="107"/>
      <c r="DO62" s="107"/>
      <c r="DP62" s="107"/>
      <c r="DQ62" s="107"/>
      <c r="DR62" s="107"/>
      <c r="DS62" s="107"/>
      <c r="DT62" s="107"/>
      <c r="DU62" s="107"/>
      <c r="DV62" s="107"/>
      <c r="DW62" s="107"/>
      <c r="DX62" s="107"/>
      <c r="DY62" s="107"/>
      <c r="DZ62" s="107"/>
      <c r="EA62" s="107"/>
      <c r="EB62" s="107"/>
      <c r="EC62" s="107"/>
      <c r="ED62" s="107"/>
      <c r="EE62" s="107"/>
      <c r="EF62" s="107"/>
      <c r="EG62" s="107"/>
      <c r="EH62" s="107"/>
      <c r="EI62" s="107"/>
      <c r="EJ62" s="107"/>
      <c r="EK62" s="107"/>
      <c r="EL62" s="107"/>
      <c r="EM62" s="107"/>
      <c r="EN62" s="107"/>
      <c r="EO62" s="107"/>
      <c r="EP62" s="107"/>
      <c r="EQ62" s="107"/>
      <c r="ER62" s="107"/>
      <c r="ES62" s="107"/>
      <c r="ET62" s="107"/>
      <c r="EU62" s="107"/>
      <c r="EV62" s="107"/>
      <c r="EW62" s="107"/>
      <c r="EX62" s="107"/>
      <c r="EY62" s="107"/>
      <c r="EZ62" s="107"/>
      <c r="FA62" s="107"/>
      <c r="FB62" s="107"/>
      <c r="FC62" s="107"/>
      <c r="FD62" s="107"/>
      <c r="FE62" s="107"/>
      <c r="FF62" s="107"/>
      <c r="FG62" s="107"/>
      <c r="FH62" s="107"/>
      <c r="FI62" s="107"/>
      <c r="FJ62" s="107"/>
      <c r="FK62" s="107"/>
      <c r="FL62" s="107"/>
      <c r="FM62" s="107"/>
      <c r="FN62" s="107"/>
      <c r="FO62" s="107"/>
      <c r="FP62" s="107"/>
      <c r="FQ62" s="107"/>
      <c r="FR62" s="107"/>
      <c r="FS62" s="107"/>
      <c r="FT62" s="107"/>
    </row>
    <row r="63" spans="1:176" x14ac:dyDescent="0.25">
      <c r="A63" s="107"/>
      <c r="B63" s="107"/>
      <c r="C63" s="107"/>
      <c r="D63" s="107"/>
      <c r="E63" s="107"/>
      <c r="F63" s="107"/>
      <c r="G63" s="147" t="str">
        <f>IF(_ibpOfflineCondition_,"000000000000564691-1", _xll.EPMOlapMemberO("[PRDID].[].[000000000000564691-1]","","000000000000564691-1","","000"))</f>
        <v>000000000000564691-1</v>
      </c>
      <c r="H63" s="147" t="str">
        <f>IF(_ibpOfflineCondition_,"FGR+ FIGAROLLPLUS 5/340+40 ROSE MFR", _xll.EPMOlapMemberO("[PRDDESCR].[].[FGR+ FIGAROLLPLUS 5/340+40 ROSE MFR]","","FGR+ FIGAROLLPLUS 5/340+40 ROSE MFR","","000"))</f>
        <v>FGR+ FIGAROLLPLUS 5/340+40 ROSE MFR</v>
      </c>
      <c r="I63" s="147" t="str">
        <f>IF(_ibpOfflineCondition_,"X7", _xll.EPMOlapMemberO("[MRPTYPE].[].[X7]","","X7","","000"))</f>
        <v>X7</v>
      </c>
      <c r="J63" s="147" t="str">
        <f>IF(_ibpOfflineCondition_,"GSCRM Actual Sales and Unconstrained Demand", _xll.EPMOlapMemberO("[KEY_FIGURES].[].[ZGSCRMACTUALUNCONSDEMAND]","","GSCRM Actual Sales and Unconstrained Demand","","000"))</f>
        <v>GSCRM Actual Sales and Unconstrained Demand</v>
      </c>
      <c r="K63" s="58">
        <v>450</v>
      </c>
      <c r="L63" s="58"/>
      <c r="M63" s="58">
        <v>1080</v>
      </c>
      <c r="N63" s="58">
        <v>450</v>
      </c>
      <c r="O63" s="58"/>
      <c r="P63" s="58"/>
      <c r="Q63" s="58">
        <v>180</v>
      </c>
      <c r="R63" s="58">
        <v>270</v>
      </c>
      <c r="S63" s="58"/>
      <c r="T63" s="58"/>
      <c r="U63" s="58"/>
      <c r="V63" s="58"/>
      <c r="W63" s="58"/>
      <c r="X63" s="58"/>
      <c r="Y63" s="58"/>
      <c r="Z63" s="58"/>
      <c r="AA63" s="58"/>
      <c r="AB63" s="58"/>
      <c r="AC63" s="58"/>
      <c r="AD63" s="58"/>
      <c r="AE63" s="58">
        <v>900</v>
      </c>
      <c r="AF63" s="58"/>
      <c r="AG63" s="58"/>
      <c r="AH63" s="58"/>
      <c r="AI63" s="58"/>
      <c r="AJ63" s="58"/>
      <c r="AK63" s="58"/>
      <c r="AL63" s="58"/>
      <c r="AM63" s="58"/>
      <c r="AN63" s="58">
        <v>1350</v>
      </c>
      <c r="AO63" s="58"/>
      <c r="AP63" s="58"/>
      <c r="AQ63" s="58"/>
      <c r="AR63" s="58"/>
      <c r="AS63" s="58"/>
      <c r="AT63" s="58"/>
      <c r="AU63" s="58"/>
      <c r="AV63" s="58"/>
      <c r="AW63" s="58"/>
      <c r="AX63" s="58"/>
      <c r="AY63" s="58"/>
      <c r="AZ63" s="58"/>
      <c r="BA63" s="58"/>
      <c r="BB63" s="58"/>
      <c r="BC63" s="58"/>
      <c r="BD63" s="58"/>
      <c r="BE63" s="58"/>
      <c r="BF63" s="58"/>
      <c r="BG63" s="58"/>
      <c r="BH63" s="58">
        <v>2070</v>
      </c>
      <c r="BI63" s="58"/>
      <c r="BJ63" s="58"/>
      <c r="BK63" s="58">
        <v>720</v>
      </c>
      <c r="BL63" s="58"/>
      <c r="BM63" s="58"/>
      <c r="BN63" s="58"/>
      <c r="BO63" s="58"/>
      <c r="BP63" s="58">
        <v>180</v>
      </c>
      <c r="BQ63" s="58">
        <v>540</v>
      </c>
      <c r="BR63" s="58"/>
      <c r="BS63" s="58"/>
      <c r="BT63" s="58"/>
      <c r="BU63" s="58"/>
      <c r="BV63" s="58"/>
      <c r="BW63" s="58"/>
      <c r="BX63" s="58"/>
      <c r="BY63" s="58"/>
      <c r="BZ63" s="58"/>
      <c r="CA63" s="58"/>
      <c r="CB63" s="58"/>
      <c r="CC63" s="58"/>
      <c r="CD63" s="58"/>
      <c r="CE63" s="58"/>
      <c r="CF63" s="58"/>
      <c r="CG63" s="58"/>
      <c r="CH63" s="58"/>
      <c r="CI63" s="58"/>
      <c r="CJ63" s="58"/>
      <c r="CK63" s="58"/>
      <c r="CL63" s="58"/>
      <c r="CM63" s="58"/>
      <c r="CN63" s="58"/>
      <c r="CO63" s="58"/>
      <c r="CP63" s="58"/>
      <c r="CQ63" s="58"/>
      <c r="CR63" s="58"/>
      <c r="CS63" s="58"/>
      <c r="CT63" s="58"/>
      <c r="CU63" s="58"/>
      <c r="CV63" s="58"/>
      <c r="CW63" s="58">
        <v>630</v>
      </c>
      <c r="CX63" s="58"/>
      <c r="CY63" s="58"/>
      <c r="CZ63" s="58"/>
      <c r="DA63" s="58"/>
      <c r="DB63" s="58"/>
      <c r="DC63" s="58"/>
      <c r="DD63" s="58"/>
      <c r="DE63" s="58"/>
      <c r="DF63" s="58"/>
      <c r="DG63" s="58"/>
      <c r="DH63" s="58"/>
      <c r="DI63" s="58">
        <v>270</v>
      </c>
      <c r="DJ63" s="58">
        <v>540</v>
      </c>
      <c r="DK63" s="107"/>
      <c r="DL63" s="107"/>
      <c r="DM63" s="107"/>
      <c r="DN63" s="107"/>
      <c r="DO63" s="107"/>
      <c r="DP63" s="107"/>
      <c r="DQ63" s="107"/>
      <c r="DR63" s="107"/>
      <c r="DS63" s="107"/>
      <c r="DT63" s="107"/>
      <c r="DU63" s="107"/>
      <c r="DV63" s="107"/>
      <c r="DW63" s="107"/>
      <c r="DX63" s="107"/>
      <c r="DY63" s="107"/>
      <c r="DZ63" s="107"/>
      <c r="EA63" s="107"/>
      <c r="EB63" s="107"/>
      <c r="EC63" s="107"/>
      <c r="ED63" s="107"/>
      <c r="EE63" s="107"/>
      <c r="EF63" s="107"/>
      <c r="EG63" s="107"/>
      <c r="EH63" s="107"/>
      <c r="EI63" s="107"/>
      <c r="EJ63" s="107"/>
      <c r="EK63" s="107"/>
      <c r="EL63" s="107"/>
      <c r="EM63" s="107"/>
      <c r="EN63" s="107"/>
      <c r="EO63" s="107"/>
      <c r="EP63" s="107"/>
      <c r="EQ63" s="107"/>
      <c r="ER63" s="107"/>
      <c r="ES63" s="107"/>
      <c r="ET63" s="107"/>
      <c r="EU63" s="107"/>
      <c r="EV63" s="107"/>
      <c r="EW63" s="107"/>
      <c r="EX63" s="107"/>
      <c r="EY63" s="107"/>
      <c r="EZ63" s="107"/>
      <c r="FA63" s="107"/>
      <c r="FB63" s="107"/>
      <c r="FC63" s="107"/>
      <c r="FD63" s="107"/>
      <c r="FE63" s="107"/>
      <c r="FF63" s="107"/>
      <c r="FG63" s="107"/>
      <c r="FH63" s="107"/>
      <c r="FI63" s="107"/>
      <c r="FJ63" s="107"/>
      <c r="FK63" s="107"/>
      <c r="FL63" s="107"/>
      <c r="FM63" s="107"/>
      <c r="FN63" s="107"/>
      <c r="FO63" s="107"/>
      <c r="FP63" s="107"/>
      <c r="FQ63" s="107"/>
      <c r="FR63" s="107"/>
      <c r="FS63" s="107"/>
      <c r="FT63" s="107"/>
    </row>
    <row r="64" spans="1:176" x14ac:dyDescent="0.25">
      <c r="A64" s="107"/>
      <c r="B64" s="107"/>
      <c r="C64" s="107"/>
      <c r="D64" s="107"/>
      <c r="E64" s="107"/>
      <c r="F64" s="107"/>
      <c r="G64" s="147" t="str">
        <f>IF(_ibpOfflineCondition_,"000000000000564691-1", _xll.EPMOlapMemberO("[PRDID].[].[000000000000564691-1]","","000000000000564691-1","","000"))</f>
        <v>000000000000564691-1</v>
      </c>
      <c r="H64" s="147" t="str">
        <f>IF(_ibpOfflineCondition_,"FGR+ FIGAROLLPLUS 5/340+40 ROSE MFR", _xll.EPMOlapMemberO("[PRDDESCR].[].[FGR+ FIGAROLLPLUS 5/340+40 ROSE MFR]","","FGR+ FIGAROLLPLUS 5/340+40 ROSE MFR","","000"))</f>
        <v>FGR+ FIGAROLLPLUS 5/340+40 ROSE MFR</v>
      </c>
      <c r="I64" s="147" t="str">
        <f>IF(_ibpOfflineCondition_,"X7", _xll.EPMOlapMemberO("[MRPTYPE].[].[X7]","","X7","","000"))</f>
        <v>X7</v>
      </c>
      <c r="J64" s="147" t="str">
        <f>IF(_ibpOfflineCondition_,"GSCRM Actuals and Future Production", _xll.EPMOlapMemberO("[KEY_FIGURES].[].[ZGSCRMACTUALSPRODUCTION]","","GSCRM Actuals and Future Production","","000"))</f>
        <v>GSCRM Actuals and Future Production</v>
      </c>
      <c r="K64" s="58">
        <v>0</v>
      </c>
      <c r="L64" s="58">
        <v>900</v>
      </c>
      <c r="M64" s="58">
        <v>0</v>
      </c>
      <c r="N64" s="58">
        <v>0</v>
      </c>
      <c r="O64" s="58">
        <v>0</v>
      </c>
      <c r="P64" s="58">
        <v>0</v>
      </c>
      <c r="Q64" s="58">
        <v>0</v>
      </c>
      <c r="R64" s="58">
        <v>0</v>
      </c>
      <c r="S64" s="58"/>
      <c r="T64" s="58"/>
      <c r="U64" s="58"/>
      <c r="V64" s="58"/>
      <c r="W64" s="58">
        <v>900</v>
      </c>
      <c r="X64" s="58"/>
      <c r="Y64" s="58"/>
      <c r="Z64" s="58"/>
      <c r="AA64" s="58"/>
      <c r="AB64" s="58"/>
      <c r="AC64" s="58"/>
      <c r="AD64" s="58">
        <v>270</v>
      </c>
      <c r="AE64" s="58">
        <v>810</v>
      </c>
      <c r="AF64" s="58"/>
      <c r="AG64" s="58"/>
      <c r="AH64" s="58"/>
      <c r="AI64" s="58">
        <v>1350</v>
      </c>
      <c r="AJ64" s="58"/>
      <c r="AK64" s="58">
        <v>450</v>
      </c>
      <c r="AL64" s="58"/>
      <c r="AM64" s="58"/>
      <c r="AN64" s="58">
        <v>0</v>
      </c>
      <c r="AO64" s="58"/>
      <c r="AP64" s="58"/>
      <c r="AQ64" s="58"/>
      <c r="AR64" s="58"/>
      <c r="AS64" s="58"/>
      <c r="AT64" s="58"/>
      <c r="AU64" s="58"/>
      <c r="AV64" s="58"/>
      <c r="AW64" s="58"/>
      <c r="AX64" s="58"/>
      <c r="AY64" s="58">
        <v>630</v>
      </c>
      <c r="AZ64" s="58"/>
      <c r="BA64" s="58"/>
      <c r="BB64" s="58"/>
      <c r="BC64" s="58"/>
      <c r="BD64" s="58"/>
      <c r="BE64" s="58"/>
      <c r="BF64" s="58"/>
      <c r="BG64" s="58"/>
      <c r="BH64" s="58">
        <v>900</v>
      </c>
      <c r="BI64" s="58"/>
      <c r="BJ64" s="58"/>
      <c r="BK64" s="58">
        <v>1440</v>
      </c>
      <c r="BL64" s="58"/>
      <c r="BM64" s="58"/>
      <c r="BN64" s="58"/>
      <c r="BO64" s="58"/>
      <c r="BP64" s="58">
        <v>0</v>
      </c>
      <c r="BQ64" s="58">
        <v>0</v>
      </c>
      <c r="BR64" s="58">
        <v>90</v>
      </c>
      <c r="BS64" s="58">
        <v>630</v>
      </c>
      <c r="BT64" s="58"/>
      <c r="BU64" s="58"/>
      <c r="BV64" s="58"/>
      <c r="BW64" s="58"/>
      <c r="BX64" s="58"/>
      <c r="BY64" s="58"/>
      <c r="BZ64" s="58"/>
      <c r="CA64" s="58"/>
      <c r="CB64" s="58"/>
      <c r="CC64" s="58"/>
      <c r="CD64" s="58"/>
      <c r="CE64" s="58"/>
      <c r="CF64" s="58"/>
      <c r="CG64" s="58"/>
      <c r="CH64" s="58"/>
      <c r="CI64" s="58"/>
      <c r="CJ64" s="58"/>
      <c r="CK64" s="58"/>
      <c r="CL64" s="58"/>
      <c r="CM64" s="58"/>
      <c r="CN64" s="58"/>
      <c r="CO64" s="58"/>
      <c r="CP64" s="58"/>
      <c r="CQ64" s="58"/>
      <c r="CR64" s="58"/>
      <c r="CS64" s="58"/>
      <c r="CT64" s="58"/>
      <c r="CU64" s="58"/>
      <c r="CV64" s="58"/>
      <c r="CW64" s="58">
        <v>0</v>
      </c>
      <c r="CX64" s="58"/>
      <c r="CY64" s="58"/>
      <c r="CZ64" s="58"/>
      <c r="DA64" s="58"/>
      <c r="DB64" s="58"/>
      <c r="DC64" s="58"/>
      <c r="DD64" s="58"/>
      <c r="DE64" s="58"/>
      <c r="DF64" s="58"/>
      <c r="DG64" s="58"/>
      <c r="DH64" s="58"/>
      <c r="DI64" s="58">
        <v>0</v>
      </c>
      <c r="DJ64" s="58">
        <v>0</v>
      </c>
      <c r="DK64" s="107"/>
      <c r="DL64" s="107"/>
      <c r="DM64" s="107"/>
      <c r="DN64" s="107"/>
      <c r="DO64" s="107"/>
      <c r="DP64" s="107"/>
      <c r="DQ64" s="107"/>
      <c r="DR64" s="107"/>
      <c r="DS64" s="107"/>
      <c r="DT64" s="107"/>
      <c r="DU64" s="107"/>
      <c r="DV64" s="107"/>
      <c r="DW64" s="107"/>
      <c r="DX64" s="107"/>
      <c r="DY64" s="107"/>
      <c r="DZ64" s="107"/>
      <c r="EA64" s="107"/>
      <c r="EB64" s="107"/>
      <c r="EC64" s="107"/>
      <c r="ED64" s="107"/>
      <c r="EE64" s="107"/>
      <c r="EF64" s="107"/>
      <c r="EG64" s="107"/>
      <c r="EH64" s="107"/>
      <c r="EI64" s="107"/>
      <c r="EJ64" s="107"/>
      <c r="EK64" s="107"/>
      <c r="EL64" s="107"/>
      <c r="EM64" s="107"/>
      <c r="EN64" s="107"/>
      <c r="EO64" s="107"/>
      <c r="EP64" s="107"/>
      <c r="EQ64" s="107"/>
      <c r="ER64" s="107"/>
      <c r="ES64" s="107"/>
      <c r="ET64" s="107"/>
      <c r="EU64" s="107"/>
      <c r="EV64" s="107"/>
      <c r="EW64" s="107"/>
      <c r="EX64" s="107"/>
      <c r="EY64" s="107"/>
      <c r="EZ64" s="107"/>
      <c r="FA64" s="107"/>
      <c r="FB64" s="107"/>
      <c r="FC64" s="107"/>
      <c r="FD64" s="107"/>
      <c r="FE64" s="107"/>
      <c r="FF64" s="107"/>
      <c r="FG64" s="107"/>
      <c r="FH64" s="107"/>
      <c r="FI64" s="107"/>
      <c r="FJ64" s="107"/>
      <c r="FK64" s="107"/>
      <c r="FL64" s="107"/>
      <c r="FM64" s="107"/>
      <c r="FN64" s="107"/>
      <c r="FO64" s="107"/>
      <c r="FP64" s="107"/>
      <c r="FQ64" s="107"/>
      <c r="FR64" s="107"/>
      <c r="FS64" s="107"/>
      <c r="FT64" s="107"/>
    </row>
    <row r="65" spans="1:176" x14ac:dyDescent="0.25">
      <c r="A65" s="107"/>
      <c r="B65" s="107"/>
      <c r="C65" s="107"/>
      <c r="D65" s="107"/>
      <c r="E65" s="107"/>
      <c r="F65" s="107"/>
      <c r="G65" s="147" t="str">
        <f>IF(_ibpOfflineCondition_,"000000000000564691-1", _xll.EPMOlapMemberO("[PRDID].[].[000000000000564691-1]","","000000000000564691-1","","000"))</f>
        <v>000000000000564691-1</v>
      </c>
      <c r="H65" s="147" t="str">
        <f>IF(_ibpOfflineCondition_,"FGR+ FIGAROLLPLUS 5/340+40 ROSE MFR", _xll.EPMOlapMemberO("[PRDDESCR].[].[FGR+ FIGAROLLPLUS 5/340+40 ROSE MFR]","","FGR+ FIGAROLLPLUS 5/340+40 ROSE MFR","","000"))</f>
        <v>FGR+ FIGAROLLPLUS 5/340+40 ROSE MFR</v>
      </c>
      <c r="I65" s="147" t="str">
        <f>IF(_ibpOfflineCondition_,"X7", _xll.EPMOlapMemberO("[MRPTYPE].[].[X7]","","X7","","000"))</f>
        <v>X7</v>
      </c>
      <c r="J65" s="147" t="str">
        <f>IF(_ibpOfflineCondition_,"GSCRM Projected Stock (Unconstrained Demand)", _xll.EPMOlapMemberO("[KEY_FIGURES].[].[ZGSCRMUNCONSINVENTORY]","","GSCRM Projected Stock (Unconstrained Demand)","","000"))</f>
        <v>GSCRM Projected Stock (Unconstrained Demand)</v>
      </c>
      <c r="K65" s="58">
        <v>1080</v>
      </c>
      <c r="L65" s="58">
        <v>1980</v>
      </c>
      <c r="M65" s="58">
        <v>900</v>
      </c>
      <c r="N65" s="58">
        <v>450</v>
      </c>
      <c r="O65" s="58">
        <v>450</v>
      </c>
      <c r="P65" s="58">
        <v>450</v>
      </c>
      <c r="Q65" s="58">
        <v>270</v>
      </c>
      <c r="R65" s="58"/>
      <c r="S65" s="58"/>
      <c r="T65" s="58"/>
      <c r="U65" s="58"/>
      <c r="V65" s="58"/>
      <c r="W65" s="58">
        <v>900</v>
      </c>
      <c r="X65" s="58">
        <v>900</v>
      </c>
      <c r="Y65" s="58">
        <v>900</v>
      </c>
      <c r="Z65" s="58">
        <v>900</v>
      </c>
      <c r="AA65" s="58">
        <v>900</v>
      </c>
      <c r="AB65" s="58">
        <v>900</v>
      </c>
      <c r="AC65" s="58">
        <v>900</v>
      </c>
      <c r="AD65" s="58">
        <v>1440</v>
      </c>
      <c r="AE65" s="58">
        <v>1080</v>
      </c>
      <c r="AF65" s="58">
        <v>1080</v>
      </c>
      <c r="AG65" s="58">
        <v>1080</v>
      </c>
      <c r="AH65" s="58">
        <v>1080</v>
      </c>
      <c r="AI65" s="58">
        <v>2430</v>
      </c>
      <c r="AJ65" s="58">
        <v>2430</v>
      </c>
      <c r="AK65" s="58">
        <v>2880</v>
      </c>
      <c r="AL65" s="58">
        <v>2880</v>
      </c>
      <c r="AM65" s="58">
        <v>2880</v>
      </c>
      <c r="AN65" s="58">
        <v>1530</v>
      </c>
      <c r="AO65" s="58">
        <v>1530</v>
      </c>
      <c r="AP65" s="58">
        <v>1530</v>
      </c>
      <c r="AQ65" s="58">
        <v>1530</v>
      </c>
      <c r="AR65" s="58">
        <v>1530</v>
      </c>
      <c r="AS65" s="58">
        <v>1530</v>
      </c>
      <c r="AT65" s="58">
        <v>1530</v>
      </c>
      <c r="AU65" s="58">
        <v>1530</v>
      </c>
      <c r="AV65" s="58">
        <v>1530</v>
      </c>
      <c r="AW65" s="58">
        <v>1530</v>
      </c>
      <c r="AX65" s="58">
        <v>1980</v>
      </c>
      <c r="AY65" s="58">
        <v>2160</v>
      </c>
      <c r="AZ65" s="58">
        <v>2160</v>
      </c>
      <c r="BA65" s="58">
        <v>2160</v>
      </c>
      <c r="BB65" s="58">
        <v>2160</v>
      </c>
      <c r="BC65" s="58">
        <v>2160</v>
      </c>
      <c r="BD65" s="58">
        <v>2160</v>
      </c>
      <c r="BE65" s="58">
        <v>2160</v>
      </c>
      <c r="BF65" s="58">
        <v>2160</v>
      </c>
      <c r="BG65" s="58">
        <v>2160</v>
      </c>
      <c r="BH65" s="58">
        <v>990</v>
      </c>
      <c r="BI65" s="58">
        <v>990</v>
      </c>
      <c r="BJ65" s="58">
        <v>270</v>
      </c>
      <c r="BK65" s="58">
        <v>1710</v>
      </c>
      <c r="BL65" s="58">
        <v>1710</v>
      </c>
      <c r="BM65" s="58">
        <v>1710</v>
      </c>
      <c r="BN65" s="58">
        <v>1710</v>
      </c>
      <c r="BO65" s="58">
        <v>1710</v>
      </c>
      <c r="BP65" s="58">
        <v>1530</v>
      </c>
      <c r="BQ65" s="58">
        <v>990</v>
      </c>
      <c r="BR65" s="58">
        <v>1710</v>
      </c>
      <c r="BS65" s="58">
        <v>1710</v>
      </c>
      <c r="BT65" s="58">
        <v>1710</v>
      </c>
      <c r="BU65" s="58">
        <v>1710</v>
      </c>
      <c r="BV65" s="58">
        <v>1710</v>
      </c>
      <c r="BW65" s="58">
        <v>1710</v>
      </c>
      <c r="BX65" s="58">
        <v>1710</v>
      </c>
      <c r="BY65" s="58">
        <v>1710</v>
      </c>
      <c r="BZ65" s="58">
        <v>1710</v>
      </c>
      <c r="CA65" s="58">
        <v>1710</v>
      </c>
      <c r="CB65" s="58">
        <v>1710</v>
      </c>
      <c r="CC65" s="58">
        <v>1710</v>
      </c>
      <c r="CD65" s="58">
        <v>1710</v>
      </c>
      <c r="CE65" s="58">
        <v>1710</v>
      </c>
      <c r="CF65" s="58">
        <v>1710</v>
      </c>
      <c r="CG65" s="58">
        <v>1710</v>
      </c>
      <c r="CH65" s="58">
        <v>1710</v>
      </c>
      <c r="CI65" s="58">
        <v>1710</v>
      </c>
      <c r="CJ65" s="58">
        <v>1710</v>
      </c>
      <c r="CK65" s="58">
        <v>1710</v>
      </c>
      <c r="CL65" s="58">
        <v>1710</v>
      </c>
      <c r="CM65" s="58">
        <v>1710</v>
      </c>
      <c r="CN65" s="58">
        <v>1710</v>
      </c>
      <c r="CO65" s="58">
        <v>1710</v>
      </c>
      <c r="CP65" s="58">
        <v>1710</v>
      </c>
      <c r="CQ65" s="58">
        <v>1710</v>
      </c>
      <c r="CR65" s="58">
        <v>1710</v>
      </c>
      <c r="CS65" s="58">
        <v>1710</v>
      </c>
      <c r="CT65" s="58">
        <v>1710</v>
      </c>
      <c r="CU65" s="58">
        <v>1710</v>
      </c>
      <c r="CV65" s="58">
        <v>1080</v>
      </c>
      <c r="CW65" s="58">
        <v>1079</v>
      </c>
      <c r="CX65" s="58">
        <v>1079</v>
      </c>
      <c r="CY65" s="58">
        <v>1079</v>
      </c>
      <c r="CZ65" s="58">
        <v>1079</v>
      </c>
      <c r="DA65" s="58">
        <v>1079</v>
      </c>
      <c r="DB65" s="58">
        <v>1079</v>
      </c>
      <c r="DC65" s="58">
        <v>1079</v>
      </c>
      <c r="DD65" s="58">
        <v>1079</v>
      </c>
      <c r="DE65" s="58">
        <v>1079</v>
      </c>
      <c r="DF65" s="58">
        <v>1079</v>
      </c>
      <c r="DG65" s="58">
        <v>1079</v>
      </c>
      <c r="DH65" s="58">
        <v>1079</v>
      </c>
      <c r="DI65" s="58">
        <v>809</v>
      </c>
      <c r="DJ65" s="58">
        <v>269</v>
      </c>
      <c r="DK65" s="107"/>
      <c r="DL65" s="107"/>
      <c r="DM65" s="107"/>
      <c r="DN65" s="107"/>
      <c r="DO65" s="107"/>
      <c r="DP65" s="107"/>
      <c r="DQ65" s="107"/>
      <c r="DR65" s="107"/>
      <c r="DS65" s="107"/>
      <c r="DT65" s="107"/>
      <c r="DU65" s="107"/>
      <c r="DV65" s="107"/>
      <c r="DW65" s="107"/>
      <c r="DX65" s="107"/>
      <c r="DY65" s="107"/>
      <c r="DZ65" s="107"/>
      <c r="EA65" s="107"/>
      <c r="EB65" s="107"/>
      <c r="EC65" s="107"/>
      <c r="ED65" s="107"/>
      <c r="EE65" s="107"/>
      <c r="EF65" s="107"/>
      <c r="EG65" s="107"/>
      <c r="EH65" s="107"/>
      <c r="EI65" s="107"/>
      <c r="EJ65" s="107"/>
      <c r="EK65" s="107"/>
      <c r="EL65" s="107"/>
      <c r="EM65" s="107"/>
      <c r="EN65" s="107"/>
      <c r="EO65" s="107"/>
      <c r="EP65" s="107"/>
      <c r="EQ65" s="107"/>
      <c r="ER65" s="107"/>
      <c r="ES65" s="107"/>
      <c r="ET65" s="107"/>
      <c r="EU65" s="107"/>
      <c r="EV65" s="107"/>
      <c r="EW65" s="107"/>
      <c r="EX65" s="107"/>
      <c r="EY65" s="107"/>
      <c r="EZ65" s="107"/>
      <c r="FA65" s="107"/>
      <c r="FB65" s="107"/>
      <c r="FC65" s="107"/>
      <c r="FD65" s="107"/>
      <c r="FE65" s="107"/>
      <c r="FF65" s="107"/>
      <c r="FG65" s="107"/>
      <c r="FH65" s="107"/>
      <c r="FI65" s="107"/>
      <c r="FJ65" s="107"/>
      <c r="FK65" s="107"/>
      <c r="FL65" s="107"/>
      <c r="FM65" s="107"/>
      <c r="FN65" s="107"/>
      <c r="FO65" s="107"/>
      <c r="FP65" s="107"/>
      <c r="FQ65" s="107"/>
      <c r="FR65" s="107"/>
      <c r="FS65" s="107"/>
      <c r="FT65" s="107"/>
    </row>
    <row r="66" spans="1:176" x14ac:dyDescent="0.25">
      <c r="A66" s="107"/>
      <c r="B66" s="107"/>
      <c r="C66" s="107"/>
      <c r="D66" s="107"/>
      <c r="E66" s="107"/>
      <c r="F66" s="107"/>
      <c r="G66" s="147" t="str">
        <f>IF(_ibpOfflineCondition_,"000000000000564701-1", _xll.EPMOlapMemberO("[PRDID].[].[000000000000564701-1]","","000000000000564701-1","","000"))</f>
        <v>000000000000564701-1</v>
      </c>
      <c r="H66" s="147" t="str">
        <f>IF(_ibpOfflineCondition_,"FGR+ FIGAROLLPLUS 10/280+40 BRAUN BRAAS", _xll.EPMOlapMemberO("[PRDDESCR].[].[FGR+ FIGAROLLPLUS 10/280+40 BRAUN BRAAS]","","FGR+ FIGAROLLPLUS 10/280+40 BRAUN BRAAS","","000"))</f>
        <v>FGR+ FIGAROLLPLUS 10/280+40 BRAUN BRAAS</v>
      </c>
      <c r="I66" s="147" t="str">
        <f>IF(_ibpOfflineCondition_,"X0", _xll.EPMOlapMemberO("[MRPTYPE].[].[X0]","","X0","","000"))</f>
        <v>X0</v>
      </c>
      <c r="J66" s="147" t="str">
        <f>IF(_ibpOfflineCondition_,"GSCRM Actual Sales and Unconstrained Demand", _xll.EPMOlapMemberO("[KEY_FIGURES].[].[ZGSCRMACTUALUNCONSDEMAND]","","GSCRM Actual Sales and Unconstrained Demand","","000"))</f>
        <v>GSCRM Actual Sales and Unconstrained Demand</v>
      </c>
      <c r="K66" s="58"/>
      <c r="L66" s="58"/>
      <c r="M66" s="58">
        <v>135</v>
      </c>
      <c r="N66" s="58">
        <v>45</v>
      </c>
      <c r="O66" s="58">
        <v>45</v>
      </c>
      <c r="P66" s="58"/>
      <c r="Q66" s="58"/>
      <c r="R66" s="58">
        <v>360</v>
      </c>
      <c r="S66" s="58"/>
      <c r="T66" s="58"/>
      <c r="U66" s="58"/>
      <c r="V66" s="58">
        <v>45</v>
      </c>
      <c r="W66" s="58"/>
      <c r="X66" s="58"/>
      <c r="Y66" s="58"/>
      <c r="Z66" s="58"/>
      <c r="AA66" s="58">
        <v>45</v>
      </c>
      <c r="AB66" s="58"/>
      <c r="AC66" s="58">
        <v>45</v>
      </c>
      <c r="AD66" s="58">
        <v>45</v>
      </c>
      <c r="AE66" s="58"/>
      <c r="AF66" s="58">
        <v>45</v>
      </c>
      <c r="AG66" s="58"/>
      <c r="AH66" s="58"/>
      <c r="AI66" s="58"/>
      <c r="AJ66" s="58"/>
      <c r="AK66" s="58"/>
      <c r="AL66" s="58"/>
      <c r="AM66" s="58"/>
      <c r="AN66" s="58"/>
      <c r="AO66" s="58"/>
      <c r="AP66" s="58"/>
      <c r="AQ66" s="58"/>
      <c r="AR66" s="58"/>
      <c r="AS66" s="58"/>
      <c r="AT66" s="58"/>
      <c r="AU66" s="58"/>
      <c r="AV66" s="58">
        <v>90</v>
      </c>
      <c r="AW66" s="58">
        <v>45</v>
      </c>
      <c r="AX66" s="58"/>
      <c r="AY66" s="58">
        <v>45</v>
      </c>
      <c r="AZ66" s="58"/>
      <c r="BA66" s="58"/>
      <c r="BB66" s="58"/>
      <c r="BC66" s="58"/>
      <c r="BD66" s="58"/>
      <c r="BE66" s="58"/>
      <c r="BF66" s="58"/>
      <c r="BG66" s="58"/>
      <c r="BH66" s="58">
        <v>45</v>
      </c>
      <c r="BI66" s="58">
        <v>45</v>
      </c>
      <c r="BJ66" s="58">
        <v>90</v>
      </c>
      <c r="BK66" s="58"/>
      <c r="BL66" s="58">
        <v>45</v>
      </c>
      <c r="BM66" s="58">
        <v>135</v>
      </c>
      <c r="BN66" s="58"/>
      <c r="BO66" s="58"/>
      <c r="BP66" s="58">
        <v>45</v>
      </c>
      <c r="BQ66" s="58"/>
      <c r="BR66" s="58">
        <v>90</v>
      </c>
      <c r="BS66" s="58">
        <v>45</v>
      </c>
      <c r="BT66" s="58"/>
      <c r="BU66" s="58"/>
      <c r="BV66" s="58"/>
      <c r="BW66" s="58"/>
      <c r="BX66" s="58">
        <v>45</v>
      </c>
      <c r="BY66" s="58"/>
      <c r="BZ66" s="58">
        <v>45</v>
      </c>
      <c r="CA66" s="58">
        <v>45</v>
      </c>
      <c r="CB66" s="58"/>
      <c r="CC66" s="58">
        <v>45</v>
      </c>
      <c r="CD66" s="58"/>
      <c r="CE66" s="58"/>
      <c r="CF66" s="58">
        <v>45</v>
      </c>
      <c r="CG66" s="58">
        <v>45</v>
      </c>
      <c r="CH66" s="58"/>
      <c r="CI66" s="58">
        <v>45</v>
      </c>
      <c r="CJ66" s="58"/>
      <c r="CK66" s="58"/>
      <c r="CL66" s="58">
        <v>45</v>
      </c>
      <c r="CM66" s="58"/>
      <c r="CN66" s="58"/>
      <c r="CO66" s="58"/>
      <c r="CP66" s="58">
        <v>135</v>
      </c>
      <c r="CQ66" s="58">
        <v>45</v>
      </c>
      <c r="CR66" s="58"/>
      <c r="CS66" s="58">
        <v>135</v>
      </c>
      <c r="CT66" s="58">
        <v>45</v>
      </c>
      <c r="CU66" s="58"/>
      <c r="CV66" s="58"/>
      <c r="CW66" s="58"/>
      <c r="CX66" s="58">
        <v>45</v>
      </c>
      <c r="CY66" s="58"/>
      <c r="CZ66" s="58"/>
      <c r="DA66" s="58"/>
      <c r="DB66" s="58"/>
      <c r="DC66" s="58"/>
      <c r="DD66" s="58">
        <v>45</v>
      </c>
      <c r="DE66" s="58"/>
      <c r="DF66" s="58"/>
      <c r="DG66" s="58"/>
      <c r="DH66" s="58">
        <v>45</v>
      </c>
      <c r="DI66" s="58"/>
      <c r="DJ66" s="58">
        <v>45</v>
      </c>
      <c r="DK66" s="107"/>
      <c r="DL66" s="107"/>
      <c r="DM66" s="107"/>
      <c r="DN66" s="107"/>
      <c r="DO66" s="107"/>
      <c r="DP66" s="107"/>
      <c r="DQ66" s="107"/>
      <c r="DR66" s="107"/>
      <c r="DS66" s="107"/>
      <c r="DT66" s="107"/>
      <c r="DU66" s="107"/>
      <c r="DV66" s="107"/>
      <c r="DW66" s="107"/>
      <c r="DX66" s="107"/>
      <c r="DY66" s="107"/>
      <c r="DZ66" s="107"/>
      <c r="EA66" s="107"/>
      <c r="EB66" s="107"/>
      <c r="EC66" s="107"/>
      <c r="ED66" s="107"/>
      <c r="EE66" s="107"/>
      <c r="EF66" s="107"/>
      <c r="EG66" s="107"/>
      <c r="EH66" s="107"/>
      <c r="EI66" s="107"/>
      <c r="EJ66" s="107"/>
      <c r="EK66" s="107"/>
      <c r="EL66" s="107"/>
      <c r="EM66" s="107"/>
      <c r="EN66" s="107"/>
      <c r="EO66" s="107"/>
      <c r="EP66" s="107"/>
      <c r="EQ66" s="107"/>
      <c r="ER66" s="107"/>
      <c r="ES66" s="107"/>
      <c r="ET66" s="107"/>
      <c r="EU66" s="107"/>
      <c r="EV66" s="107"/>
      <c r="EW66" s="107"/>
      <c r="EX66" s="107"/>
      <c r="EY66" s="107"/>
      <c r="EZ66" s="107"/>
      <c r="FA66" s="107"/>
      <c r="FB66" s="107"/>
      <c r="FC66" s="107"/>
      <c r="FD66" s="107"/>
      <c r="FE66" s="107"/>
      <c r="FF66" s="107"/>
      <c r="FG66" s="107"/>
      <c r="FH66" s="107"/>
      <c r="FI66" s="107"/>
      <c r="FJ66" s="107"/>
      <c r="FK66" s="107"/>
      <c r="FL66" s="107"/>
      <c r="FM66" s="107"/>
      <c r="FN66" s="107"/>
      <c r="FO66" s="107"/>
      <c r="FP66" s="107"/>
      <c r="FQ66" s="107"/>
      <c r="FR66" s="107"/>
      <c r="FS66" s="107"/>
      <c r="FT66" s="107"/>
    </row>
    <row r="67" spans="1:176" x14ac:dyDescent="0.25">
      <c r="A67" s="107"/>
      <c r="B67" s="107"/>
      <c r="C67" s="107"/>
      <c r="D67" s="107"/>
      <c r="E67" s="107"/>
      <c r="F67" s="107"/>
      <c r="G67" s="147" t="str">
        <f>IF(_ibpOfflineCondition_,"000000000000564701-1", _xll.EPMOlapMemberO("[PRDID].[].[000000000000564701-1]","","000000000000564701-1","","000"))</f>
        <v>000000000000564701-1</v>
      </c>
      <c r="H67" s="147" t="str">
        <f>IF(_ibpOfflineCondition_,"FGR+ FIGAROLLPLUS 10/280+40 BRAUN BRAAS", _xll.EPMOlapMemberO("[PRDDESCR].[].[FGR+ FIGAROLLPLUS 10/280+40 BRAUN BRAAS]","","FGR+ FIGAROLLPLUS 10/280+40 BRAUN BRAAS","","000"))</f>
        <v>FGR+ FIGAROLLPLUS 10/280+40 BRAUN BRAAS</v>
      </c>
      <c r="I67" s="147" t="str">
        <f>IF(_ibpOfflineCondition_,"X0", _xll.EPMOlapMemberO("[MRPTYPE].[].[X0]","","X0","","000"))</f>
        <v>X0</v>
      </c>
      <c r="J67" s="147" t="str">
        <f>IF(_ibpOfflineCondition_,"GSCRM Actuals and Future Production", _xll.EPMOlapMemberO("[KEY_FIGURES].[].[ZGSCRMACTUALSPRODUCTION]","","GSCRM Actuals and Future Production","","000"))</f>
        <v>GSCRM Actuals and Future Production</v>
      </c>
      <c r="K67" s="58">
        <v>0</v>
      </c>
      <c r="L67" s="58">
        <v>0</v>
      </c>
      <c r="M67" s="58">
        <v>0</v>
      </c>
      <c r="N67" s="58">
        <v>0</v>
      </c>
      <c r="O67" s="58">
        <v>0</v>
      </c>
      <c r="P67" s="58">
        <v>360</v>
      </c>
      <c r="Q67" s="58">
        <v>0</v>
      </c>
      <c r="R67" s="58">
        <v>0</v>
      </c>
      <c r="S67" s="58">
        <v>0</v>
      </c>
      <c r="T67" s="58">
        <v>180</v>
      </c>
      <c r="U67" s="58">
        <v>0</v>
      </c>
      <c r="V67" s="58">
        <v>0</v>
      </c>
      <c r="W67" s="58">
        <v>0</v>
      </c>
      <c r="X67" s="58"/>
      <c r="Y67" s="58"/>
      <c r="Z67" s="58"/>
      <c r="AA67" s="58">
        <v>0</v>
      </c>
      <c r="AB67" s="58"/>
      <c r="AC67" s="58">
        <v>0</v>
      </c>
      <c r="AD67" s="58">
        <v>0</v>
      </c>
      <c r="AE67" s="58"/>
      <c r="AF67" s="58">
        <v>0</v>
      </c>
      <c r="AG67" s="58"/>
      <c r="AH67" s="58">
        <v>180</v>
      </c>
      <c r="AI67" s="58"/>
      <c r="AJ67" s="58"/>
      <c r="AK67" s="58"/>
      <c r="AL67" s="58"/>
      <c r="AM67" s="58"/>
      <c r="AN67" s="58"/>
      <c r="AO67" s="58"/>
      <c r="AP67" s="58"/>
      <c r="AQ67" s="58"/>
      <c r="AR67" s="58"/>
      <c r="AS67" s="58"/>
      <c r="AT67" s="58"/>
      <c r="AU67" s="58"/>
      <c r="AV67" s="58">
        <v>0</v>
      </c>
      <c r="AW67" s="58">
        <v>0</v>
      </c>
      <c r="AX67" s="58"/>
      <c r="AY67" s="58">
        <v>0</v>
      </c>
      <c r="AZ67" s="58">
        <v>270</v>
      </c>
      <c r="BA67" s="58"/>
      <c r="BB67" s="58"/>
      <c r="BC67" s="58"/>
      <c r="BD67" s="58">
        <v>270</v>
      </c>
      <c r="BE67" s="58"/>
      <c r="BF67" s="58"/>
      <c r="BG67" s="58"/>
      <c r="BH67" s="58">
        <v>0</v>
      </c>
      <c r="BI67" s="58">
        <v>0</v>
      </c>
      <c r="BJ67" s="58">
        <v>0</v>
      </c>
      <c r="BK67" s="58"/>
      <c r="BL67" s="58">
        <v>0</v>
      </c>
      <c r="BM67" s="58">
        <v>0</v>
      </c>
      <c r="BN67" s="58"/>
      <c r="BO67" s="58"/>
      <c r="BP67" s="58">
        <v>0</v>
      </c>
      <c r="BQ67" s="58">
        <v>180</v>
      </c>
      <c r="BR67" s="58">
        <v>0</v>
      </c>
      <c r="BS67" s="58">
        <v>90</v>
      </c>
      <c r="BT67" s="58"/>
      <c r="BU67" s="58"/>
      <c r="BV67" s="58"/>
      <c r="BW67" s="58"/>
      <c r="BX67" s="58">
        <v>0</v>
      </c>
      <c r="BY67" s="58"/>
      <c r="BZ67" s="58">
        <v>0</v>
      </c>
      <c r="CA67" s="58">
        <v>0</v>
      </c>
      <c r="CB67" s="58">
        <v>180</v>
      </c>
      <c r="CC67" s="58">
        <v>0</v>
      </c>
      <c r="CD67" s="58"/>
      <c r="CE67" s="58">
        <v>270</v>
      </c>
      <c r="CF67" s="58">
        <v>0</v>
      </c>
      <c r="CG67" s="58">
        <v>0</v>
      </c>
      <c r="CH67" s="58"/>
      <c r="CI67" s="58">
        <v>0</v>
      </c>
      <c r="CJ67" s="58"/>
      <c r="CK67" s="58"/>
      <c r="CL67" s="58">
        <v>0</v>
      </c>
      <c r="CM67" s="58"/>
      <c r="CN67" s="58"/>
      <c r="CO67" s="58"/>
      <c r="CP67" s="58">
        <v>0</v>
      </c>
      <c r="CQ67" s="58">
        <v>0</v>
      </c>
      <c r="CR67" s="58">
        <v>405</v>
      </c>
      <c r="CS67" s="58">
        <v>0</v>
      </c>
      <c r="CT67" s="58">
        <v>0</v>
      </c>
      <c r="CU67" s="58"/>
      <c r="CV67" s="58"/>
      <c r="CW67" s="58"/>
      <c r="CX67" s="58">
        <v>0</v>
      </c>
      <c r="CY67" s="58"/>
      <c r="CZ67" s="58"/>
      <c r="DA67" s="58"/>
      <c r="DB67" s="58"/>
      <c r="DC67" s="58"/>
      <c r="DD67" s="58">
        <v>0</v>
      </c>
      <c r="DE67" s="58"/>
      <c r="DF67" s="58"/>
      <c r="DG67" s="58"/>
      <c r="DH67" s="58">
        <v>0</v>
      </c>
      <c r="DI67" s="58"/>
      <c r="DJ67" s="58">
        <v>0</v>
      </c>
      <c r="DK67" s="107"/>
      <c r="DL67" s="107"/>
      <c r="DM67" s="107"/>
      <c r="DN67" s="107"/>
      <c r="DO67" s="107"/>
      <c r="DP67" s="107"/>
      <c r="DQ67" s="107"/>
      <c r="DR67" s="107"/>
      <c r="DS67" s="107"/>
      <c r="DT67" s="107"/>
      <c r="DU67" s="107"/>
      <c r="DV67" s="107"/>
      <c r="DW67" s="107"/>
      <c r="DX67" s="107"/>
      <c r="DY67" s="107"/>
      <c r="DZ67" s="107"/>
      <c r="EA67" s="107"/>
      <c r="EB67" s="107"/>
      <c r="EC67" s="107"/>
      <c r="ED67" s="107"/>
      <c r="EE67" s="107"/>
      <c r="EF67" s="107"/>
      <c r="EG67" s="107"/>
      <c r="EH67" s="107"/>
      <c r="EI67" s="107"/>
      <c r="EJ67" s="107"/>
      <c r="EK67" s="107"/>
      <c r="EL67" s="107"/>
      <c r="EM67" s="107"/>
      <c r="EN67" s="107"/>
      <c r="EO67" s="107"/>
      <c r="EP67" s="107"/>
      <c r="EQ67" s="107"/>
      <c r="ER67" s="107"/>
      <c r="ES67" s="107"/>
      <c r="ET67" s="107"/>
      <c r="EU67" s="107"/>
      <c r="EV67" s="107"/>
      <c r="EW67" s="107"/>
      <c r="EX67" s="107"/>
      <c r="EY67" s="107"/>
      <c r="EZ67" s="107"/>
      <c r="FA67" s="107"/>
      <c r="FB67" s="107"/>
      <c r="FC67" s="107"/>
      <c r="FD67" s="107"/>
      <c r="FE67" s="107"/>
      <c r="FF67" s="107"/>
      <c r="FG67" s="107"/>
      <c r="FH67" s="107"/>
      <c r="FI67" s="107"/>
      <c r="FJ67" s="107"/>
      <c r="FK67" s="107"/>
      <c r="FL67" s="107"/>
      <c r="FM67" s="107"/>
      <c r="FN67" s="107"/>
      <c r="FO67" s="107"/>
      <c r="FP67" s="107"/>
      <c r="FQ67" s="107"/>
      <c r="FR67" s="107"/>
      <c r="FS67" s="107"/>
      <c r="FT67" s="107"/>
    </row>
    <row r="68" spans="1:176" x14ac:dyDescent="0.25">
      <c r="A68" s="107"/>
      <c r="B68" s="107"/>
      <c r="C68" s="107"/>
      <c r="D68" s="107"/>
      <c r="E68" s="107"/>
      <c r="F68" s="107"/>
      <c r="G68" s="147" t="str">
        <f>IF(_ibpOfflineCondition_,"000000000000564701-1", _xll.EPMOlapMemberO("[PRDID].[].[000000000000564701-1]","","000000000000564701-1","","000"))</f>
        <v>000000000000564701-1</v>
      </c>
      <c r="H68" s="147" t="str">
        <f>IF(_ibpOfflineCondition_,"FGR+ FIGAROLLPLUS 10/280+40 BRAUN BRAAS", _xll.EPMOlapMemberO("[PRDDESCR].[].[FGR+ FIGAROLLPLUS 10/280+40 BRAUN BRAAS]","","FGR+ FIGAROLLPLUS 10/280+40 BRAUN BRAAS","","000"))</f>
        <v>FGR+ FIGAROLLPLUS 10/280+40 BRAUN BRAAS</v>
      </c>
      <c r="I68" s="147" t="str">
        <f>IF(_ibpOfflineCondition_,"X0", _xll.EPMOlapMemberO("[MRPTYPE].[].[X0]","","X0","","000"))</f>
        <v>X0</v>
      </c>
      <c r="J68" s="147" t="str">
        <f>IF(_ibpOfflineCondition_,"GSCRM Projected Stock (Unconstrained Demand)", _xll.EPMOlapMemberO("[KEY_FIGURES].[].[ZGSCRMUNCONSINVENTORY]","","GSCRM Projected Stock (Unconstrained Demand)","","000"))</f>
        <v>GSCRM Projected Stock (Unconstrained Demand)</v>
      </c>
      <c r="K68" s="58">
        <v>231</v>
      </c>
      <c r="L68" s="58">
        <v>231</v>
      </c>
      <c r="M68" s="58">
        <v>96</v>
      </c>
      <c r="N68" s="58">
        <v>51</v>
      </c>
      <c r="O68" s="58">
        <v>6</v>
      </c>
      <c r="P68" s="58">
        <v>366</v>
      </c>
      <c r="Q68" s="58">
        <v>366</v>
      </c>
      <c r="R68" s="58">
        <v>6</v>
      </c>
      <c r="S68" s="58"/>
      <c r="T68" s="58">
        <v>186</v>
      </c>
      <c r="U68" s="58">
        <v>186</v>
      </c>
      <c r="V68" s="58">
        <v>141</v>
      </c>
      <c r="W68" s="58">
        <v>141</v>
      </c>
      <c r="X68" s="58">
        <v>141</v>
      </c>
      <c r="Y68" s="58">
        <v>141</v>
      </c>
      <c r="Z68" s="58">
        <v>141</v>
      </c>
      <c r="AA68" s="58">
        <v>96</v>
      </c>
      <c r="AB68" s="58">
        <v>96</v>
      </c>
      <c r="AC68" s="58">
        <v>96</v>
      </c>
      <c r="AD68" s="58">
        <v>51</v>
      </c>
      <c r="AE68" s="58">
        <v>51</v>
      </c>
      <c r="AF68" s="58">
        <v>6</v>
      </c>
      <c r="AG68" s="58">
        <v>6</v>
      </c>
      <c r="AH68" s="58">
        <v>186</v>
      </c>
      <c r="AI68" s="58">
        <v>186</v>
      </c>
      <c r="AJ68" s="58">
        <v>186</v>
      </c>
      <c r="AK68" s="58">
        <v>186</v>
      </c>
      <c r="AL68" s="58">
        <v>186</v>
      </c>
      <c r="AM68" s="58">
        <v>186</v>
      </c>
      <c r="AN68" s="58">
        <v>186</v>
      </c>
      <c r="AO68" s="58">
        <v>186</v>
      </c>
      <c r="AP68" s="58">
        <v>186</v>
      </c>
      <c r="AQ68" s="58">
        <v>186</v>
      </c>
      <c r="AR68" s="58">
        <v>186</v>
      </c>
      <c r="AS68" s="58">
        <v>186</v>
      </c>
      <c r="AT68" s="58">
        <v>186</v>
      </c>
      <c r="AU68" s="58">
        <v>141</v>
      </c>
      <c r="AV68" s="58">
        <v>96</v>
      </c>
      <c r="AW68" s="58">
        <v>51</v>
      </c>
      <c r="AX68" s="58">
        <v>51</v>
      </c>
      <c r="AY68" s="58">
        <v>6</v>
      </c>
      <c r="AZ68" s="58">
        <v>276</v>
      </c>
      <c r="BA68" s="58">
        <v>276</v>
      </c>
      <c r="BB68" s="58">
        <v>276</v>
      </c>
      <c r="BC68" s="58">
        <v>276</v>
      </c>
      <c r="BD68" s="58">
        <v>411</v>
      </c>
      <c r="BE68" s="58">
        <v>411</v>
      </c>
      <c r="BF68" s="58">
        <v>411</v>
      </c>
      <c r="BG68" s="58">
        <v>411</v>
      </c>
      <c r="BH68" s="58">
        <v>321</v>
      </c>
      <c r="BI68" s="58">
        <v>321</v>
      </c>
      <c r="BJ68" s="58">
        <v>231</v>
      </c>
      <c r="BK68" s="58">
        <v>231</v>
      </c>
      <c r="BL68" s="58">
        <v>186</v>
      </c>
      <c r="BM68" s="58">
        <v>51</v>
      </c>
      <c r="BN68" s="58">
        <v>51</v>
      </c>
      <c r="BO68" s="58">
        <v>51</v>
      </c>
      <c r="BP68" s="58">
        <v>6</v>
      </c>
      <c r="BQ68" s="58">
        <v>186</v>
      </c>
      <c r="BR68" s="58">
        <v>96</v>
      </c>
      <c r="BS68" s="58">
        <v>141</v>
      </c>
      <c r="BT68" s="58">
        <v>141</v>
      </c>
      <c r="BU68" s="58">
        <v>141</v>
      </c>
      <c r="BV68" s="58">
        <v>141</v>
      </c>
      <c r="BW68" s="58">
        <v>141</v>
      </c>
      <c r="BX68" s="58">
        <v>96</v>
      </c>
      <c r="BY68" s="58">
        <v>96</v>
      </c>
      <c r="BZ68" s="58">
        <v>51</v>
      </c>
      <c r="CA68" s="58">
        <v>6</v>
      </c>
      <c r="CB68" s="58">
        <v>186</v>
      </c>
      <c r="CC68" s="58">
        <v>141</v>
      </c>
      <c r="CD68" s="58">
        <v>141</v>
      </c>
      <c r="CE68" s="58">
        <v>411</v>
      </c>
      <c r="CF68" s="58">
        <v>366</v>
      </c>
      <c r="CG68" s="58">
        <v>321</v>
      </c>
      <c r="CH68" s="58">
        <v>321</v>
      </c>
      <c r="CI68" s="58">
        <v>276</v>
      </c>
      <c r="CJ68" s="58">
        <v>276</v>
      </c>
      <c r="CK68" s="58">
        <v>276</v>
      </c>
      <c r="CL68" s="58">
        <v>231</v>
      </c>
      <c r="CM68" s="58">
        <v>231</v>
      </c>
      <c r="CN68" s="58">
        <v>231</v>
      </c>
      <c r="CO68" s="58">
        <v>141</v>
      </c>
      <c r="CP68" s="58">
        <v>96</v>
      </c>
      <c r="CQ68" s="58">
        <v>51</v>
      </c>
      <c r="CR68" s="58">
        <v>456</v>
      </c>
      <c r="CS68" s="58">
        <v>321</v>
      </c>
      <c r="CT68" s="58">
        <v>276</v>
      </c>
      <c r="CU68" s="58">
        <v>276</v>
      </c>
      <c r="CV68" s="58">
        <v>276</v>
      </c>
      <c r="CW68" s="58">
        <v>276</v>
      </c>
      <c r="CX68" s="58">
        <v>231</v>
      </c>
      <c r="CY68" s="58">
        <v>231</v>
      </c>
      <c r="CZ68" s="58">
        <v>231</v>
      </c>
      <c r="DA68" s="58">
        <v>231</v>
      </c>
      <c r="DB68" s="58">
        <v>231</v>
      </c>
      <c r="DC68" s="58">
        <v>186</v>
      </c>
      <c r="DD68" s="58">
        <v>186</v>
      </c>
      <c r="DE68" s="58">
        <v>186</v>
      </c>
      <c r="DF68" s="58">
        <v>186</v>
      </c>
      <c r="DG68" s="58">
        <v>186</v>
      </c>
      <c r="DH68" s="58">
        <v>141</v>
      </c>
      <c r="DI68" s="58">
        <v>141</v>
      </c>
      <c r="DJ68" s="58">
        <v>51</v>
      </c>
      <c r="DK68" s="107"/>
      <c r="DL68" s="107"/>
      <c r="DM68" s="107"/>
      <c r="DN68" s="107"/>
      <c r="DO68" s="107"/>
      <c r="DP68" s="107"/>
      <c r="DQ68" s="107"/>
      <c r="DR68" s="107"/>
      <c r="DS68" s="107"/>
      <c r="DT68" s="107"/>
      <c r="DU68" s="107"/>
      <c r="DV68" s="107"/>
      <c r="DW68" s="107"/>
      <c r="DX68" s="107"/>
      <c r="DY68" s="107"/>
      <c r="DZ68" s="107"/>
      <c r="EA68" s="107"/>
      <c r="EB68" s="107"/>
      <c r="EC68" s="107"/>
      <c r="ED68" s="107"/>
      <c r="EE68" s="107"/>
      <c r="EF68" s="107"/>
      <c r="EG68" s="107"/>
      <c r="EH68" s="107"/>
      <c r="EI68" s="107"/>
      <c r="EJ68" s="107"/>
      <c r="EK68" s="107"/>
      <c r="EL68" s="107"/>
      <c r="EM68" s="107"/>
      <c r="EN68" s="107"/>
      <c r="EO68" s="107"/>
      <c r="EP68" s="107"/>
      <c r="EQ68" s="107"/>
      <c r="ER68" s="107"/>
      <c r="ES68" s="107"/>
      <c r="ET68" s="107"/>
      <c r="EU68" s="107"/>
      <c r="EV68" s="107"/>
      <c r="EW68" s="107"/>
      <c r="EX68" s="107"/>
      <c r="EY68" s="107"/>
      <c r="EZ68" s="107"/>
      <c r="FA68" s="107"/>
      <c r="FB68" s="107"/>
      <c r="FC68" s="107"/>
      <c r="FD68" s="107"/>
      <c r="FE68" s="107"/>
      <c r="FF68" s="107"/>
      <c r="FG68" s="107"/>
      <c r="FH68" s="107"/>
      <c r="FI68" s="107"/>
      <c r="FJ68" s="107"/>
      <c r="FK68" s="107"/>
      <c r="FL68" s="107"/>
      <c r="FM68" s="107"/>
      <c r="FN68" s="107"/>
      <c r="FO68" s="107"/>
      <c r="FP68" s="107"/>
      <c r="FQ68" s="107"/>
      <c r="FR68" s="107"/>
      <c r="FS68" s="107"/>
      <c r="FT68" s="107"/>
    </row>
    <row r="69" spans="1:176" x14ac:dyDescent="0.25">
      <c r="A69" s="107"/>
      <c r="B69" s="107"/>
      <c r="C69" s="107"/>
      <c r="D69" s="107"/>
      <c r="E69" s="107"/>
      <c r="F69" s="107"/>
      <c r="G69" s="147" t="str">
        <f>IF(_ibpOfflineCondition_,"000000000000564702-1", _xll.EPMOlapMemberO("[PRDID].[].[000000000000564702-1]","","000000000000564702-1","","000"))</f>
        <v>000000000000564702-1</v>
      </c>
      <c r="H69" s="147" t="str">
        <f>IF(_ibpOfflineCondition_,"FGR+ FIGAROLLPLUS 10/280+40 ANTHR BRAAS", _xll.EPMOlapMemberO("[PRDDESCR].[].[FGR+ FIGAROLLPLUS 10/280+40 ANTHR BRAAS]","","FGR+ FIGAROLLPLUS 10/280+40 ANTHR BRAAS","","000"))</f>
        <v>FGR+ FIGAROLLPLUS 10/280+40 ANTHR BRAAS</v>
      </c>
      <c r="I69" s="147" t="str">
        <f>IF(_ibpOfflineCondition_,"X0", _xll.EPMOlapMemberO("[MRPTYPE].[].[X0]","","X0","","000"))</f>
        <v>X0</v>
      </c>
      <c r="J69" s="147" t="str">
        <f>IF(_ibpOfflineCondition_,"GSCRM Actual Sales and Unconstrained Demand", _xll.EPMOlapMemberO("[KEY_FIGURES].[].[ZGSCRMACTUALUNCONSDEMAND]","","GSCRM Actual Sales and Unconstrained Demand","","000"))</f>
        <v>GSCRM Actual Sales and Unconstrained Demand</v>
      </c>
      <c r="K69" s="58">
        <v>180</v>
      </c>
      <c r="L69" s="58"/>
      <c r="M69" s="58">
        <v>2610</v>
      </c>
      <c r="N69" s="58">
        <v>585</v>
      </c>
      <c r="O69" s="58">
        <v>630</v>
      </c>
      <c r="P69" s="58">
        <v>675</v>
      </c>
      <c r="Q69" s="58">
        <v>450</v>
      </c>
      <c r="R69" s="58"/>
      <c r="S69" s="58"/>
      <c r="T69" s="58">
        <v>450</v>
      </c>
      <c r="U69" s="58"/>
      <c r="V69" s="58"/>
      <c r="W69" s="58">
        <v>450</v>
      </c>
      <c r="X69" s="58"/>
      <c r="Y69" s="58"/>
      <c r="Z69" s="58">
        <v>45</v>
      </c>
      <c r="AA69" s="58">
        <v>135</v>
      </c>
      <c r="AB69" s="58"/>
      <c r="AC69" s="58">
        <v>675</v>
      </c>
      <c r="AD69" s="58">
        <v>540</v>
      </c>
      <c r="AE69" s="58">
        <v>90</v>
      </c>
      <c r="AF69" s="58">
        <v>45</v>
      </c>
      <c r="AG69" s="58">
        <v>270</v>
      </c>
      <c r="AH69" s="58">
        <v>90</v>
      </c>
      <c r="AI69" s="58">
        <v>45</v>
      </c>
      <c r="AJ69" s="58">
        <v>450</v>
      </c>
      <c r="AK69" s="58"/>
      <c r="AL69" s="58">
        <v>720</v>
      </c>
      <c r="AM69" s="58">
        <v>495</v>
      </c>
      <c r="AN69" s="58"/>
      <c r="AO69" s="58">
        <v>360</v>
      </c>
      <c r="AP69" s="58"/>
      <c r="AQ69" s="58"/>
      <c r="AR69" s="58">
        <v>225</v>
      </c>
      <c r="AS69" s="58">
        <v>720</v>
      </c>
      <c r="AT69" s="58">
        <v>180</v>
      </c>
      <c r="AU69" s="58">
        <v>90</v>
      </c>
      <c r="AV69" s="58">
        <v>90</v>
      </c>
      <c r="AW69" s="58">
        <v>225</v>
      </c>
      <c r="AX69" s="58">
        <v>180</v>
      </c>
      <c r="AY69" s="58">
        <v>135</v>
      </c>
      <c r="AZ69" s="58"/>
      <c r="BA69" s="58">
        <v>405</v>
      </c>
      <c r="BB69" s="58">
        <v>270</v>
      </c>
      <c r="BC69" s="58">
        <v>135</v>
      </c>
      <c r="BD69" s="58">
        <v>180</v>
      </c>
      <c r="BE69" s="58"/>
      <c r="BF69" s="58"/>
      <c r="BG69" s="58">
        <v>450</v>
      </c>
      <c r="BH69" s="58">
        <v>180</v>
      </c>
      <c r="BI69" s="58">
        <v>765</v>
      </c>
      <c r="BJ69" s="58">
        <v>855</v>
      </c>
      <c r="BK69" s="58">
        <v>675</v>
      </c>
      <c r="BL69" s="58">
        <v>540</v>
      </c>
      <c r="BM69" s="58">
        <v>630</v>
      </c>
      <c r="BN69" s="58">
        <v>990</v>
      </c>
      <c r="BO69" s="58">
        <v>360</v>
      </c>
      <c r="BP69" s="58">
        <v>45</v>
      </c>
      <c r="BQ69" s="58">
        <v>405</v>
      </c>
      <c r="BR69" s="58"/>
      <c r="BS69" s="58">
        <v>315</v>
      </c>
      <c r="BT69" s="58"/>
      <c r="BU69" s="58"/>
      <c r="BV69" s="58">
        <v>90</v>
      </c>
      <c r="BW69" s="58">
        <v>45</v>
      </c>
      <c r="BX69" s="58">
        <v>180</v>
      </c>
      <c r="BY69" s="58">
        <v>540</v>
      </c>
      <c r="BZ69" s="58">
        <v>495</v>
      </c>
      <c r="CA69" s="58">
        <v>225</v>
      </c>
      <c r="CB69" s="58"/>
      <c r="CC69" s="58">
        <v>270</v>
      </c>
      <c r="CD69" s="58">
        <v>450</v>
      </c>
      <c r="CE69" s="58">
        <v>540</v>
      </c>
      <c r="CF69" s="58">
        <v>405</v>
      </c>
      <c r="CG69" s="58">
        <v>225</v>
      </c>
      <c r="CH69" s="58"/>
      <c r="CI69" s="58">
        <v>135</v>
      </c>
      <c r="CJ69" s="58">
        <v>135</v>
      </c>
      <c r="CK69" s="58">
        <v>90</v>
      </c>
      <c r="CL69" s="58">
        <v>810</v>
      </c>
      <c r="CM69" s="58">
        <v>585</v>
      </c>
      <c r="CN69" s="58">
        <v>90</v>
      </c>
      <c r="CO69" s="58"/>
      <c r="CP69" s="58">
        <v>540</v>
      </c>
      <c r="CQ69" s="58">
        <v>1125</v>
      </c>
      <c r="CR69" s="58">
        <v>180</v>
      </c>
      <c r="CS69" s="58">
        <v>540</v>
      </c>
      <c r="CT69" s="58">
        <v>1035</v>
      </c>
      <c r="CU69" s="58"/>
      <c r="CV69" s="58"/>
      <c r="CW69" s="58">
        <v>135</v>
      </c>
      <c r="CX69" s="58">
        <v>90</v>
      </c>
      <c r="CY69" s="58">
        <v>495</v>
      </c>
      <c r="CZ69" s="58"/>
      <c r="DA69" s="58">
        <v>225</v>
      </c>
      <c r="DB69" s="58">
        <v>135</v>
      </c>
      <c r="DC69" s="58"/>
      <c r="DD69" s="58">
        <v>855</v>
      </c>
      <c r="DE69" s="58"/>
      <c r="DF69" s="58"/>
      <c r="DG69" s="58"/>
      <c r="DH69" s="58">
        <v>1170</v>
      </c>
      <c r="DI69" s="58">
        <v>810</v>
      </c>
      <c r="DJ69" s="58">
        <v>1125</v>
      </c>
      <c r="DK69" s="107"/>
      <c r="DL69" s="107"/>
      <c r="DM69" s="107"/>
      <c r="DN69" s="107"/>
      <c r="DO69" s="107"/>
      <c r="DP69" s="107"/>
      <c r="DQ69" s="107"/>
      <c r="DR69" s="107"/>
      <c r="DS69" s="107"/>
      <c r="DT69" s="107"/>
      <c r="DU69" s="107"/>
      <c r="DV69" s="107"/>
      <c r="DW69" s="107"/>
      <c r="DX69" s="107"/>
      <c r="DY69" s="107"/>
      <c r="DZ69" s="107"/>
      <c r="EA69" s="107"/>
      <c r="EB69" s="107"/>
      <c r="EC69" s="107"/>
      <c r="ED69" s="107"/>
      <c r="EE69" s="107"/>
      <c r="EF69" s="107"/>
      <c r="EG69" s="107"/>
      <c r="EH69" s="107"/>
      <c r="EI69" s="107"/>
      <c r="EJ69" s="107"/>
      <c r="EK69" s="107"/>
      <c r="EL69" s="107"/>
      <c r="EM69" s="107"/>
      <c r="EN69" s="107"/>
      <c r="EO69" s="107"/>
      <c r="EP69" s="107"/>
      <c r="EQ69" s="107"/>
      <c r="ER69" s="107"/>
      <c r="ES69" s="107"/>
      <c r="ET69" s="107"/>
      <c r="EU69" s="107"/>
      <c r="EV69" s="107"/>
      <c r="EW69" s="107"/>
      <c r="EX69" s="107"/>
      <c r="EY69" s="107"/>
      <c r="EZ69" s="107"/>
      <c r="FA69" s="107"/>
      <c r="FB69" s="107"/>
      <c r="FC69" s="107"/>
      <c r="FD69" s="107"/>
      <c r="FE69" s="107"/>
      <c r="FF69" s="107"/>
      <c r="FG69" s="107"/>
      <c r="FH69" s="107"/>
      <c r="FI69" s="107"/>
      <c r="FJ69" s="107"/>
      <c r="FK69" s="107"/>
      <c r="FL69" s="107"/>
      <c r="FM69" s="107"/>
      <c r="FN69" s="107"/>
      <c r="FO69" s="107"/>
      <c r="FP69" s="107"/>
      <c r="FQ69" s="107"/>
      <c r="FR69" s="107"/>
      <c r="FS69" s="107"/>
      <c r="FT69" s="107"/>
    </row>
    <row r="70" spans="1:176" x14ac:dyDescent="0.25">
      <c r="A70" s="107"/>
      <c r="B70" s="107"/>
      <c r="C70" s="107"/>
      <c r="D70" s="107"/>
      <c r="E70" s="107"/>
      <c r="F70" s="107"/>
      <c r="G70" s="147" t="str">
        <f>IF(_ibpOfflineCondition_,"000000000000564702-1", _xll.EPMOlapMemberO("[PRDID].[].[000000000000564702-1]","","000000000000564702-1","","000"))</f>
        <v>000000000000564702-1</v>
      </c>
      <c r="H70" s="147" t="str">
        <f>IF(_ibpOfflineCondition_,"FGR+ FIGAROLLPLUS 10/280+40 ANTHR BRAAS", _xll.EPMOlapMemberO("[PRDDESCR].[].[FGR+ FIGAROLLPLUS 10/280+40 ANTHR BRAAS]","","FGR+ FIGAROLLPLUS 10/280+40 ANTHR BRAAS","","000"))</f>
        <v>FGR+ FIGAROLLPLUS 10/280+40 ANTHR BRAAS</v>
      </c>
      <c r="I70" s="147" t="str">
        <f>IF(_ibpOfflineCondition_,"X0", _xll.EPMOlapMemberO("[MRPTYPE].[].[X0]","","X0","","000"))</f>
        <v>X0</v>
      </c>
      <c r="J70" s="147" t="str">
        <f>IF(_ibpOfflineCondition_,"GSCRM Actuals and Future Production", _xll.EPMOlapMemberO("[KEY_FIGURES].[].[ZGSCRMACTUALSPRODUCTION]","","GSCRM Actuals and Future Production","","000"))</f>
        <v>GSCRM Actuals and Future Production</v>
      </c>
      <c r="K70" s="58">
        <v>0</v>
      </c>
      <c r="L70" s="58">
        <v>1710</v>
      </c>
      <c r="M70" s="58">
        <v>0</v>
      </c>
      <c r="N70" s="58">
        <v>1890</v>
      </c>
      <c r="O70" s="58">
        <v>0</v>
      </c>
      <c r="P70" s="58">
        <v>270</v>
      </c>
      <c r="Q70" s="58">
        <v>0</v>
      </c>
      <c r="R70" s="58">
        <v>0</v>
      </c>
      <c r="S70" s="58">
        <v>0</v>
      </c>
      <c r="T70" s="58">
        <v>0</v>
      </c>
      <c r="U70" s="58">
        <v>0</v>
      </c>
      <c r="V70" s="58">
        <v>0</v>
      </c>
      <c r="W70" s="58">
        <v>0</v>
      </c>
      <c r="X70" s="58"/>
      <c r="Y70" s="58"/>
      <c r="Z70" s="58">
        <v>720</v>
      </c>
      <c r="AA70" s="58">
        <v>0</v>
      </c>
      <c r="AB70" s="58"/>
      <c r="AC70" s="58">
        <v>0</v>
      </c>
      <c r="AD70" s="58">
        <v>0</v>
      </c>
      <c r="AE70" s="58">
        <v>0</v>
      </c>
      <c r="AF70" s="58">
        <v>405</v>
      </c>
      <c r="AG70" s="58">
        <v>0</v>
      </c>
      <c r="AH70" s="58">
        <v>315</v>
      </c>
      <c r="AI70" s="58">
        <v>585</v>
      </c>
      <c r="AJ70" s="58">
        <v>135</v>
      </c>
      <c r="AK70" s="58"/>
      <c r="AL70" s="58">
        <v>0</v>
      </c>
      <c r="AM70" s="58">
        <v>0</v>
      </c>
      <c r="AN70" s="58">
        <v>1215</v>
      </c>
      <c r="AO70" s="58">
        <v>585</v>
      </c>
      <c r="AP70" s="58"/>
      <c r="AQ70" s="58">
        <v>1080</v>
      </c>
      <c r="AR70" s="58">
        <v>0</v>
      </c>
      <c r="AS70" s="58">
        <v>0</v>
      </c>
      <c r="AT70" s="58">
        <v>405</v>
      </c>
      <c r="AU70" s="58">
        <v>1125</v>
      </c>
      <c r="AV70" s="58">
        <v>90</v>
      </c>
      <c r="AW70" s="58">
        <v>1260</v>
      </c>
      <c r="AX70" s="58">
        <v>0</v>
      </c>
      <c r="AY70" s="58">
        <v>0</v>
      </c>
      <c r="AZ70" s="58">
        <v>585</v>
      </c>
      <c r="BA70" s="58">
        <v>675</v>
      </c>
      <c r="BB70" s="58">
        <v>0</v>
      </c>
      <c r="BC70" s="58">
        <v>0</v>
      </c>
      <c r="BD70" s="58">
        <v>2250</v>
      </c>
      <c r="BE70" s="58"/>
      <c r="BF70" s="58"/>
      <c r="BG70" s="58">
        <v>0</v>
      </c>
      <c r="BH70" s="58">
        <v>0</v>
      </c>
      <c r="BI70" s="58">
        <v>0</v>
      </c>
      <c r="BJ70" s="58">
        <v>171</v>
      </c>
      <c r="BK70" s="58">
        <v>0</v>
      </c>
      <c r="BL70" s="58">
        <v>0</v>
      </c>
      <c r="BM70" s="58">
        <v>0</v>
      </c>
      <c r="BN70" s="58">
        <v>0</v>
      </c>
      <c r="BO70" s="58">
        <v>1125</v>
      </c>
      <c r="BP70" s="58">
        <v>585</v>
      </c>
      <c r="BQ70" s="58">
        <v>180</v>
      </c>
      <c r="BR70" s="58"/>
      <c r="BS70" s="58">
        <v>630</v>
      </c>
      <c r="BT70" s="58"/>
      <c r="BU70" s="58"/>
      <c r="BV70" s="58">
        <v>0</v>
      </c>
      <c r="BW70" s="58">
        <v>0</v>
      </c>
      <c r="BX70" s="58">
        <v>450</v>
      </c>
      <c r="BY70" s="58">
        <v>0</v>
      </c>
      <c r="BZ70" s="58">
        <v>0</v>
      </c>
      <c r="CA70" s="58">
        <v>0</v>
      </c>
      <c r="CB70" s="58">
        <v>450</v>
      </c>
      <c r="CC70" s="58">
        <v>0</v>
      </c>
      <c r="CD70" s="58">
        <v>0</v>
      </c>
      <c r="CE70" s="58">
        <v>540</v>
      </c>
      <c r="CF70" s="58">
        <v>0</v>
      </c>
      <c r="CG70" s="58">
        <v>0</v>
      </c>
      <c r="CH70" s="58">
        <v>2160</v>
      </c>
      <c r="CI70" s="58">
        <v>0</v>
      </c>
      <c r="CJ70" s="58">
        <v>0</v>
      </c>
      <c r="CK70" s="58">
        <v>0</v>
      </c>
      <c r="CL70" s="58">
        <v>0</v>
      </c>
      <c r="CM70" s="58">
        <v>0</v>
      </c>
      <c r="CN70" s="58">
        <v>0</v>
      </c>
      <c r="CO70" s="58">
        <v>1260</v>
      </c>
      <c r="CP70" s="58">
        <v>0</v>
      </c>
      <c r="CQ70" s="58">
        <v>0</v>
      </c>
      <c r="CR70" s="58">
        <v>2025</v>
      </c>
      <c r="CS70" s="58">
        <v>765</v>
      </c>
      <c r="CT70" s="58">
        <v>0</v>
      </c>
      <c r="CU70" s="58"/>
      <c r="CV70" s="58"/>
      <c r="CW70" s="58">
        <v>1080</v>
      </c>
      <c r="CX70" s="58">
        <v>0</v>
      </c>
      <c r="CY70" s="58">
        <v>0</v>
      </c>
      <c r="CZ70" s="58"/>
      <c r="DA70" s="58">
        <v>0</v>
      </c>
      <c r="DB70" s="58">
        <v>0</v>
      </c>
      <c r="DC70" s="58">
        <v>585</v>
      </c>
      <c r="DD70" s="58">
        <v>360</v>
      </c>
      <c r="DE70" s="58"/>
      <c r="DF70" s="58"/>
      <c r="DG70" s="58">
        <v>765</v>
      </c>
      <c r="DH70" s="58">
        <v>0</v>
      </c>
      <c r="DI70" s="58">
        <v>1440</v>
      </c>
      <c r="DJ70" s="58">
        <v>0</v>
      </c>
      <c r="DK70" s="107"/>
      <c r="DL70" s="107"/>
      <c r="DM70" s="107"/>
      <c r="DN70" s="107"/>
      <c r="DO70" s="107"/>
      <c r="DP70" s="107"/>
      <c r="DQ70" s="107"/>
      <c r="DR70" s="107"/>
      <c r="DS70" s="107"/>
      <c r="DT70" s="107"/>
      <c r="DU70" s="107"/>
      <c r="DV70" s="107"/>
      <c r="DW70" s="107"/>
      <c r="DX70" s="107"/>
      <c r="DY70" s="107"/>
      <c r="DZ70" s="107"/>
      <c r="EA70" s="107"/>
      <c r="EB70" s="107"/>
      <c r="EC70" s="107"/>
      <c r="ED70" s="107"/>
      <c r="EE70" s="107"/>
      <c r="EF70" s="107"/>
      <c r="EG70" s="107"/>
      <c r="EH70" s="107"/>
      <c r="EI70" s="107"/>
      <c r="EJ70" s="107"/>
      <c r="EK70" s="107"/>
      <c r="EL70" s="107"/>
      <c r="EM70" s="107"/>
      <c r="EN70" s="107"/>
      <c r="EO70" s="107"/>
      <c r="EP70" s="107"/>
      <c r="EQ70" s="107"/>
      <c r="ER70" s="107"/>
      <c r="ES70" s="107"/>
      <c r="ET70" s="107"/>
      <c r="EU70" s="107"/>
      <c r="EV70" s="107"/>
      <c r="EW70" s="107"/>
      <c r="EX70" s="107"/>
      <c r="EY70" s="107"/>
      <c r="EZ70" s="107"/>
      <c r="FA70" s="107"/>
      <c r="FB70" s="107"/>
      <c r="FC70" s="107"/>
      <c r="FD70" s="107"/>
      <c r="FE70" s="107"/>
      <c r="FF70" s="107"/>
      <c r="FG70" s="107"/>
      <c r="FH70" s="107"/>
      <c r="FI70" s="107"/>
      <c r="FJ70" s="107"/>
      <c r="FK70" s="107"/>
      <c r="FL70" s="107"/>
      <c r="FM70" s="107"/>
      <c r="FN70" s="107"/>
      <c r="FO70" s="107"/>
      <c r="FP70" s="107"/>
      <c r="FQ70" s="107"/>
      <c r="FR70" s="107"/>
      <c r="FS70" s="107"/>
      <c r="FT70" s="107"/>
    </row>
    <row r="71" spans="1:176" x14ac:dyDescent="0.25">
      <c r="A71" s="107"/>
      <c r="B71" s="107"/>
      <c r="C71" s="107"/>
      <c r="D71" s="107"/>
      <c r="E71" s="107"/>
      <c r="F71" s="107"/>
      <c r="G71" s="147" t="str">
        <f>IF(_ibpOfflineCondition_,"000000000000564702-1", _xll.EPMOlapMemberO("[PRDID].[].[000000000000564702-1]","","000000000000564702-1","","000"))</f>
        <v>000000000000564702-1</v>
      </c>
      <c r="H71" s="147" t="str">
        <f>IF(_ibpOfflineCondition_,"FGR+ FIGAROLLPLUS 10/280+40 ANTHR BRAAS", _xll.EPMOlapMemberO("[PRDDESCR].[].[FGR+ FIGAROLLPLUS 10/280+40 ANTHR BRAAS]","","FGR+ FIGAROLLPLUS 10/280+40 ANTHR BRAAS","","000"))</f>
        <v>FGR+ FIGAROLLPLUS 10/280+40 ANTHR BRAAS</v>
      </c>
      <c r="I71" s="147" t="str">
        <f>IF(_ibpOfflineCondition_,"X0", _xll.EPMOlapMemberO("[MRPTYPE].[].[X0]","","X0","","000"))</f>
        <v>X0</v>
      </c>
      <c r="J71" s="147" t="str">
        <f>IF(_ibpOfflineCondition_,"GSCRM Projected Stock (Unconstrained Demand)", _xll.EPMOlapMemberO("[KEY_FIGURES].[].[ZGSCRMUNCONSINVENTORY]","","GSCRM Projected Stock (Unconstrained Demand)","","000"))</f>
        <v>GSCRM Projected Stock (Unconstrained Demand)</v>
      </c>
      <c r="K71" s="58">
        <v>3901</v>
      </c>
      <c r="L71" s="58">
        <v>5611</v>
      </c>
      <c r="M71" s="58">
        <v>3001</v>
      </c>
      <c r="N71" s="58">
        <v>4306</v>
      </c>
      <c r="O71" s="58">
        <v>3676</v>
      </c>
      <c r="P71" s="58">
        <v>3271</v>
      </c>
      <c r="Q71" s="58">
        <v>2821</v>
      </c>
      <c r="R71" s="58">
        <v>2821</v>
      </c>
      <c r="S71" s="58"/>
      <c r="T71" s="58">
        <v>2371</v>
      </c>
      <c r="U71" s="58">
        <v>2371</v>
      </c>
      <c r="V71" s="58">
        <v>2371</v>
      </c>
      <c r="W71" s="58">
        <v>1921</v>
      </c>
      <c r="X71" s="58">
        <v>1921</v>
      </c>
      <c r="Y71" s="58">
        <v>1921</v>
      </c>
      <c r="Z71" s="58">
        <v>2596</v>
      </c>
      <c r="AA71" s="58">
        <v>2461</v>
      </c>
      <c r="AB71" s="58">
        <v>2461</v>
      </c>
      <c r="AC71" s="58">
        <v>2236</v>
      </c>
      <c r="AD71" s="58">
        <v>1786</v>
      </c>
      <c r="AE71" s="58">
        <v>1696</v>
      </c>
      <c r="AF71" s="58">
        <v>2056</v>
      </c>
      <c r="AG71" s="58">
        <v>2101</v>
      </c>
      <c r="AH71" s="58">
        <v>2011</v>
      </c>
      <c r="AI71" s="58">
        <v>2101</v>
      </c>
      <c r="AJ71" s="58">
        <v>2236</v>
      </c>
      <c r="AK71" s="58">
        <v>2236</v>
      </c>
      <c r="AL71" s="58">
        <v>1516</v>
      </c>
      <c r="AM71" s="58">
        <v>1021</v>
      </c>
      <c r="AN71" s="58">
        <v>2281</v>
      </c>
      <c r="AO71" s="58">
        <v>2461</v>
      </c>
      <c r="AP71" s="58">
        <v>2461</v>
      </c>
      <c r="AQ71" s="58">
        <v>3541</v>
      </c>
      <c r="AR71" s="58">
        <v>3316</v>
      </c>
      <c r="AS71" s="58">
        <v>2596</v>
      </c>
      <c r="AT71" s="58">
        <v>3001</v>
      </c>
      <c r="AU71" s="58">
        <v>3856</v>
      </c>
      <c r="AV71" s="58">
        <v>3856</v>
      </c>
      <c r="AW71" s="58">
        <v>4891</v>
      </c>
      <c r="AX71" s="58">
        <v>4711</v>
      </c>
      <c r="AY71" s="58">
        <v>4576</v>
      </c>
      <c r="AZ71" s="58">
        <v>5161</v>
      </c>
      <c r="BA71" s="58">
        <v>5431</v>
      </c>
      <c r="BB71" s="58">
        <v>5161</v>
      </c>
      <c r="BC71" s="58">
        <v>5026</v>
      </c>
      <c r="BD71" s="58">
        <v>5971</v>
      </c>
      <c r="BE71" s="58">
        <v>5971</v>
      </c>
      <c r="BF71" s="58">
        <v>5971</v>
      </c>
      <c r="BG71" s="58">
        <v>5341</v>
      </c>
      <c r="BH71" s="58">
        <v>5296</v>
      </c>
      <c r="BI71" s="58">
        <v>4711</v>
      </c>
      <c r="BJ71" s="58">
        <v>3541</v>
      </c>
      <c r="BK71" s="58">
        <v>3046</v>
      </c>
      <c r="BL71" s="58">
        <v>2551</v>
      </c>
      <c r="BM71" s="58">
        <v>1921</v>
      </c>
      <c r="BN71" s="58">
        <v>931</v>
      </c>
      <c r="BO71" s="58">
        <v>1696</v>
      </c>
      <c r="BP71" s="58">
        <v>2236</v>
      </c>
      <c r="BQ71" s="58">
        <v>2011</v>
      </c>
      <c r="BR71" s="58">
        <v>2011</v>
      </c>
      <c r="BS71" s="58">
        <v>2326</v>
      </c>
      <c r="BT71" s="58">
        <v>2326</v>
      </c>
      <c r="BU71" s="58">
        <v>2326</v>
      </c>
      <c r="BV71" s="58">
        <v>2191</v>
      </c>
      <c r="BW71" s="58">
        <v>2191</v>
      </c>
      <c r="BX71" s="58">
        <v>2461</v>
      </c>
      <c r="BY71" s="58">
        <v>1921</v>
      </c>
      <c r="BZ71" s="58">
        <v>1426</v>
      </c>
      <c r="CA71" s="58">
        <v>1201</v>
      </c>
      <c r="CB71" s="58">
        <v>1651</v>
      </c>
      <c r="CC71" s="58">
        <v>1381</v>
      </c>
      <c r="CD71" s="58">
        <v>931</v>
      </c>
      <c r="CE71" s="58">
        <v>931</v>
      </c>
      <c r="CF71" s="58">
        <v>526</v>
      </c>
      <c r="CG71" s="58">
        <v>301</v>
      </c>
      <c r="CH71" s="58">
        <v>2461</v>
      </c>
      <c r="CI71" s="58">
        <v>2326</v>
      </c>
      <c r="CJ71" s="58">
        <v>2191</v>
      </c>
      <c r="CK71" s="58">
        <v>2101</v>
      </c>
      <c r="CL71" s="58">
        <v>1291</v>
      </c>
      <c r="CM71" s="58">
        <v>706</v>
      </c>
      <c r="CN71" s="58">
        <v>1021</v>
      </c>
      <c r="CO71" s="58">
        <v>1516</v>
      </c>
      <c r="CP71" s="58">
        <v>1336</v>
      </c>
      <c r="CQ71" s="58">
        <v>211</v>
      </c>
      <c r="CR71" s="58">
        <v>2551</v>
      </c>
      <c r="CS71" s="58">
        <v>2281</v>
      </c>
      <c r="CT71" s="58">
        <v>1246</v>
      </c>
      <c r="CU71" s="58">
        <v>1246</v>
      </c>
      <c r="CV71" s="58">
        <v>1246</v>
      </c>
      <c r="CW71" s="58">
        <v>2146</v>
      </c>
      <c r="CX71" s="58">
        <v>2011</v>
      </c>
      <c r="CY71" s="58">
        <v>1606</v>
      </c>
      <c r="CZ71" s="58">
        <v>1606</v>
      </c>
      <c r="DA71" s="58">
        <v>1381</v>
      </c>
      <c r="DB71" s="58">
        <v>1831</v>
      </c>
      <c r="DC71" s="58">
        <v>1921</v>
      </c>
      <c r="DD71" s="58">
        <v>1336</v>
      </c>
      <c r="DE71" s="58">
        <v>1336</v>
      </c>
      <c r="DF71" s="58">
        <v>1336</v>
      </c>
      <c r="DG71" s="58">
        <v>2101</v>
      </c>
      <c r="DH71" s="58">
        <v>931</v>
      </c>
      <c r="DI71" s="58">
        <v>1561</v>
      </c>
      <c r="DJ71" s="58">
        <v>346</v>
      </c>
      <c r="DK71" s="107"/>
      <c r="DL71" s="107"/>
      <c r="DM71" s="107"/>
      <c r="DN71" s="107"/>
      <c r="DO71" s="107"/>
      <c r="DP71" s="107"/>
      <c r="DQ71" s="107"/>
      <c r="DR71" s="107"/>
      <c r="DS71" s="107"/>
      <c r="DT71" s="107"/>
      <c r="DU71" s="107"/>
      <c r="DV71" s="107"/>
      <c r="DW71" s="107"/>
      <c r="DX71" s="107"/>
      <c r="DY71" s="107"/>
      <c r="DZ71" s="107"/>
      <c r="EA71" s="107"/>
      <c r="EB71" s="107"/>
      <c r="EC71" s="107"/>
      <c r="ED71" s="107"/>
      <c r="EE71" s="107"/>
      <c r="EF71" s="107"/>
      <c r="EG71" s="107"/>
      <c r="EH71" s="107"/>
      <c r="EI71" s="107"/>
      <c r="EJ71" s="107"/>
      <c r="EK71" s="107"/>
      <c r="EL71" s="107"/>
      <c r="EM71" s="107"/>
      <c r="EN71" s="107"/>
      <c r="EO71" s="107"/>
      <c r="EP71" s="107"/>
      <c r="EQ71" s="107"/>
      <c r="ER71" s="107"/>
      <c r="ES71" s="107"/>
      <c r="ET71" s="107"/>
      <c r="EU71" s="107"/>
      <c r="EV71" s="107"/>
      <c r="EW71" s="107"/>
      <c r="EX71" s="107"/>
      <c r="EY71" s="107"/>
      <c r="EZ71" s="107"/>
      <c r="FA71" s="107"/>
      <c r="FB71" s="107"/>
      <c r="FC71" s="107"/>
      <c r="FD71" s="107"/>
      <c r="FE71" s="107"/>
      <c r="FF71" s="107"/>
      <c r="FG71" s="107"/>
      <c r="FH71" s="107"/>
      <c r="FI71" s="107"/>
      <c r="FJ71" s="107"/>
      <c r="FK71" s="107"/>
      <c r="FL71" s="107"/>
      <c r="FM71" s="107"/>
      <c r="FN71" s="107"/>
      <c r="FO71" s="107"/>
      <c r="FP71" s="107"/>
      <c r="FQ71" s="107"/>
      <c r="FR71" s="107"/>
      <c r="FS71" s="107"/>
      <c r="FT71" s="107"/>
    </row>
    <row r="72" spans="1:176" x14ac:dyDescent="0.25">
      <c r="A72" s="107"/>
      <c r="B72" s="107"/>
      <c r="C72" s="107"/>
      <c r="D72" s="107"/>
      <c r="E72" s="107"/>
      <c r="F72" s="107"/>
      <c r="G72" s="147" t="str">
        <f>IF(_ibpOfflineCondition_,"000000000000564703-1", _xll.EPMOlapMemberO("[PRDID].[].[000000000000564703-1]","","000000000000564703-1","","000"))</f>
        <v>000000000000564703-1</v>
      </c>
      <c r="H72" s="147" t="str">
        <f>IF(_ibpOfflineCondition_,"FGR+ FIGAROLLPLUS 10/280+40 ROT BRAAS", _xll.EPMOlapMemberO("[PRDDESCR].[].[FGR+ FIGAROLLPLUS 10/280+40 ROT BRAAS]","","FGR+ FIGAROLLPLUS 10/280+40 ROT BRAAS","","000"))</f>
        <v>FGR+ FIGAROLLPLUS 10/280+40 ROT BRAAS</v>
      </c>
      <c r="I72" s="147" t="str">
        <f>IF(_ibpOfflineCondition_,"X0", _xll.EPMOlapMemberO("[MRPTYPE].[].[X0]","","X0","","000"))</f>
        <v>X0</v>
      </c>
      <c r="J72" s="147" t="str">
        <f>IF(_ibpOfflineCondition_,"GSCRM Actual Sales and Unconstrained Demand", _xll.EPMOlapMemberO("[KEY_FIGURES].[].[ZGSCRMACTUALUNCONSDEMAND]","","GSCRM Actual Sales and Unconstrained Demand","","000"))</f>
        <v>GSCRM Actual Sales and Unconstrained Demand</v>
      </c>
      <c r="K72" s="58"/>
      <c r="L72" s="58">
        <v>90</v>
      </c>
      <c r="M72" s="58">
        <v>720</v>
      </c>
      <c r="N72" s="58">
        <v>45</v>
      </c>
      <c r="O72" s="58">
        <v>1080</v>
      </c>
      <c r="P72" s="58"/>
      <c r="Q72" s="58">
        <v>225</v>
      </c>
      <c r="R72" s="58"/>
      <c r="S72" s="58"/>
      <c r="T72" s="58"/>
      <c r="U72" s="58">
        <v>90</v>
      </c>
      <c r="V72" s="58"/>
      <c r="W72" s="58"/>
      <c r="X72" s="58"/>
      <c r="Y72" s="58"/>
      <c r="Z72" s="58">
        <v>90</v>
      </c>
      <c r="AA72" s="58">
        <v>45</v>
      </c>
      <c r="AB72" s="58"/>
      <c r="AC72" s="58">
        <v>315</v>
      </c>
      <c r="AD72" s="58">
        <v>315</v>
      </c>
      <c r="AE72" s="58"/>
      <c r="AF72" s="58">
        <v>90</v>
      </c>
      <c r="AG72" s="58">
        <v>90</v>
      </c>
      <c r="AH72" s="58"/>
      <c r="AI72" s="58">
        <v>495</v>
      </c>
      <c r="AJ72" s="58"/>
      <c r="AK72" s="58">
        <v>45</v>
      </c>
      <c r="AL72" s="58">
        <v>45</v>
      </c>
      <c r="AM72" s="58">
        <v>90</v>
      </c>
      <c r="AN72" s="58"/>
      <c r="AO72" s="58">
        <v>225</v>
      </c>
      <c r="AP72" s="58"/>
      <c r="AQ72" s="58"/>
      <c r="AR72" s="58">
        <v>90</v>
      </c>
      <c r="AS72" s="58">
        <v>270</v>
      </c>
      <c r="AT72" s="58">
        <v>45</v>
      </c>
      <c r="AU72" s="58">
        <v>180</v>
      </c>
      <c r="AV72" s="58"/>
      <c r="AW72" s="58">
        <v>45</v>
      </c>
      <c r="AX72" s="58">
        <v>90</v>
      </c>
      <c r="AY72" s="58">
        <v>135</v>
      </c>
      <c r="AZ72" s="58"/>
      <c r="BA72" s="58">
        <v>180</v>
      </c>
      <c r="BB72" s="58"/>
      <c r="BC72" s="58">
        <v>45</v>
      </c>
      <c r="BD72" s="58"/>
      <c r="BE72" s="58"/>
      <c r="BF72" s="58"/>
      <c r="BG72" s="58"/>
      <c r="BH72" s="58">
        <v>180</v>
      </c>
      <c r="BI72" s="58">
        <v>360</v>
      </c>
      <c r="BJ72" s="58">
        <v>270</v>
      </c>
      <c r="BK72" s="58">
        <v>270</v>
      </c>
      <c r="BL72" s="58"/>
      <c r="BM72" s="58">
        <v>630</v>
      </c>
      <c r="BN72" s="58">
        <v>225</v>
      </c>
      <c r="BO72" s="58">
        <v>135</v>
      </c>
      <c r="BP72" s="58">
        <v>45</v>
      </c>
      <c r="BQ72" s="58">
        <v>180</v>
      </c>
      <c r="BR72" s="58"/>
      <c r="BS72" s="58">
        <v>45</v>
      </c>
      <c r="BT72" s="58"/>
      <c r="BU72" s="58"/>
      <c r="BV72" s="58">
        <v>180</v>
      </c>
      <c r="BW72" s="58">
        <v>45</v>
      </c>
      <c r="BX72" s="58"/>
      <c r="BY72" s="58"/>
      <c r="BZ72" s="58">
        <v>315</v>
      </c>
      <c r="CA72" s="58">
        <v>225</v>
      </c>
      <c r="CB72" s="58"/>
      <c r="CC72" s="58">
        <v>90</v>
      </c>
      <c r="CD72" s="58">
        <v>225</v>
      </c>
      <c r="CE72" s="58"/>
      <c r="CF72" s="58">
        <v>270</v>
      </c>
      <c r="CG72" s="58">
        <v>45</v>
      </c>
      <c r="CH72" s="58"/>
      <c r="CI72" s="58"/>
      <c r="CJ72" s="58">
        <v>270</v>
      </c>
      <c r="CK72" s="58">
        <v>45</v>
      </c>
      <c r="CL72" s="58">
        <v>90</v>
      </c>
      <c r="CM72" s="58">
        <v>180</v>
      </c>
      <c r="CN72" s="58"/>
      <c r="CO72" s="58"/>
      <c r="CP72" s="58">
        <v>180</v>
      </c>
      <c r="CQ72" s="58">
        <v>495</v>
      </c>
      <c r="CR72" s="58"/>
      <c r="CS72" s="58">
        <v>90</v>
      </c>
      <c r="CT72" s="58">
        <v>405</v>
      </c>
      <c r="CU72" s="58"/>
      <c r="CV72" s="58"/>
      <c r="CW72" s="58"/>
      <c r="CX72" s="58">
        <v>225</v>
      </c>
      <c r="CY72" s="58">
        <v>135</v>
      </c>
      <c r="CZ72" s="58"/>
      <c r="DA72" s="58"/>
      <c r="DB72" s="58">
        <v>90</v>
      </c>
      <c r="DC72" s="58">
        <v>45</v>
      </c>
      <c r="DD72" s="58">
        <v>270</v>
      </c>
      <c r="DE72" s="58"/>
      <c r="DF72" s="58"/>
      <c r="DG72" s="58"/>
      <c r="DH72" s="58">
        <v>360</v>
      </c>
      <c r="DI72" s="58">
        <v>180</v>
      </c>
      <c r="DJ72" s="58">
        <v>90</v>
      </c>
      <c r="DK72" s="107"/>
      <c r="DL72" s="107"/>
      <c r="DM72" s="107"/>
      <c r="DN72" s="107"/>
      <c r="DO72" s="107"/>
      <c r="DP72" s="107"/>
      <c r="DQ72" s="107"/>
      <c r="DR72" s="107"/>
      <c r="DS72" s="107"/>
      <c r="DT72" s="107"/>
      <c r="DU72" s="107"/>
      <c r="DV72" s="107"/>
      <c r="DW72" s="107"/>
      <c r="DX72" s="107"/>
      <c r="DY72" s="107"/>
      <c r="DZ72" s="107"/>
      <c r="EA72" s="107"/>
      <c r="EB72" s="107"/>
      <c r="EC72" s="107"/>
      <c r="ED72" s="107"/>
      <c r="EE72" s="107"/>
      <c r="EF72" s="107"/>
      <c r="EG72" s="107"/>
      <c r="EH72" s="107"/>
      <c r="EI72" s="107"/>
      <c r="EJ72" s="107"/>
      <c r="EK72" s="107"/>
      <c r="EL72" s="107"/>
      <c r="EM72" s="107"/>
      <c r="EN72" s="107"/>
      <c r="EO72" s="107"/>
      <c r="EP72" s="107"/>
      <c r="EQ72" s="107"/>
      <c r="ER72" s="107"/>
      <c r="ES72" s="107"/>
      <c r="ET72" s="107"/>
      <c r="EU72" s="107"/>
      <c r="EV72" s="107"/>
      <c r="EW72" s="107"/>
      <c r="EX72" s="107"/>
      <c r="EY72" s="107"/>
      <c r="EZ72" s="107"/>
      <c r="FA72" s="107"/>
      <c r="FB72" s="107"/>
      <c r="FC72" s="107"/>
      <c r="FD72" s="107"/>
      <c r="FE72" s="107"/>
      <c r="FF72" s="107"/>
      <c r="FG72" s="107"/>
      <c r="FH72" s="107"/>
      <c r="FI72" s="107"/>
      <c r="FJ72" s="107"/>
      <c r="FK72" s="107"/>
      <c r="FL72" s="107"/>
      <c r="FM72" s="107"/>
      <c r="FN72" s="107"/>
      <c r="FO72" s="107"/>
      <c r="FP72" s="107"/>
      <c r="FQ72" s="107"/>
      <c r="FR72" s="107"/>
      <c r="FS72" s="107"/>
      <c r="FT72" s="107"/>
    </row>
    <row r="73" spans="1:176" x14ac:dyDescent="0.25">
      <c r="A73" s="107"/>
      <c r="B73" s="107"/>
      <c r="C73" s="107"/>
      <c r="D73" s="107"/>
      <c r="E73" s="107"/>
      <c r="F73" s="107"/>
      <c r="G73" s="147" t="str">
        <f>IF(_ibpOfflineCondition_,"000000000000564703-1", _xll.EPMOlapMemberO("[PRDID].[].[000000000000564703-1]","","000000000000564703-1","","000"))</f>
        <v>000000000000564703-1</v>
      </c>
      <c r="H73" s="147" t="str">
        <f>IF(_ibpOfflineCondition_,"FGR+ FIGAROLLPLUS 10/280+40 ROT BRAAS", _xll.EPMOlapMemberO("[PRDDESCR].[].[FGR+ FIGAROLLPLUS 10/280+40 ROT BRAAS]","","FGR+ FIGAROLLPLUS 10/280+40 ROT BRAAS","","000"))</f>
        <v>FGR+ FIGAROLLPLUS 10/280+40 ROT BRAAS</v>
      </c>
      <c r="I73" s="147" t="str">
        <f>IF(_ibpOfflineCondition_,"X0", _xll.EPMOlapMemberO("[MRPTYPE].[].[X0]","","X0","","000"))</f>
        <v>X0</v>
      </c>
      <c r="J73" s="147" t="str">
        <f>IF(_ibpOfflineCondition_,"GSCRM Actuals and Future Production", _xll.EPMOlapMemberO("[KEY_FIGURES].[].[ZGSCRMACTUALSPRODUCTION]","","GSCRM Actuals and Future Production","","000"))</f>
        <v>GSCRM Actuals and Future Production</v>
      </c>
      <c r="K73" s="58">
        <v>0</v>
      </c>
      <c r="L73" s="58">
        <v>0</v>
      </c>
      <c r="M73" s="58">
        <v>1440</v>
      </c>
      <c r="N73" s="58">
        <v>0</v>
      </c>
      <c r="O73" s="58">
        <v>0</v>
      </c>
      <c r="P73" s="58">
        <v>0</v>
      </c>
      <c r="Q73" s="58">
        <v>0</v>
      </c>
      <c r="R73" s="58">
        <v>0</v>
      </c>
      <c r="S73" s="58">
        <v>0</v>
      </c>
      <c r="T73" s="58">
        <v>0</v>
      </c>
      <c r="U73" s="58">
        <v>0</v>
      </c>
      <c r="V73" s="58">
        <v>0</v>
      </c>
      <c r="W73" s="58">
        <v>0</v>
      </c>
      <c r="X73" s="58">
        <v>45</v>
      </c>
      <c r="Y73" s="58">
        <v>135</v>
      </c>
      <c r="Z73" s="58">
        <v>0</v>
      </c>
      <c r="AA73" s="58">
        <v>0</v>
      </c>
      <c r="AB73" s="58">
        <v>720</v>
      </c>
      <c r="AC73" s="58">
        <v>0</v>
      </c>
      <c r="AD73" s="58">
        <v>0</v>
      </c>
      <c r="AE73" s="58"/>
      <c r="AF73" s="58">
        <v>360</v>
      </c>
      <c r="AG73" s="58">
        <v>0</v>
      </c>
      <c r="AH73" s="58"/>
      <c r="AI73" s="58">
        <v>630</v>
      </c>
      <c r="AJ73" s="58"/>
      <c r="AK73" s="58">
        <v>0</v>
      </c>
      <c r="AL73" s="58">
        <v>0</v>
      </c>
      <c r="AM73" s="58">
        <v>0</v>
      </c>
      <c r="AN73" s="58"/>
      <c r="AO73" s="58">
        <v>270</v>
      </c>
      <c r="AP73" s="58"/>
      <c r="AQ73" s="58"/>
      <c r="AR73" s="58">
        <v>0</v>
      </c>
      <c r="AS73" s="58">
        <v>0</v>
      </c>
      <c r="AT73" s="58">
        <v>0</v>
      </c>
      <c r="AU73" s="58">
        <v>0</v>
      </c>
      <c r="AV73" s="58"/>
      <c r="AW73" s="58">
        <v>1080</v>
      </c>
      <c r="AX73" s="58">
        <v>900</v>
      </c>
      <c r="AY73" s="58">
        <v>0</v>
      </c>
      <c r="AZ73" s="58"/>
      <c r="BA73" s="58">
        <v>0</v>
      </c>
      <c r="BB73" s="58"/>
      <c r="BC73" s="58">
        <v>0</v>
      </c>
      <c r="BD73" s="58">
        <v>1080</v>
      </c>
      <c r="BE73" s="58"/>
      <c r="BF73" s="58"/>
      <c r="BG73" s="58"/>
      <c r="BH73" s="58">
        <v>0</v>
      </c>
      <c r="BI73" s="58">
        <v>0</v>
      </c>
      <c r="BJ73" s="58">
        <v>0</v>
      </c>
      <c r="BK73" s="58">
        <v>0</v>
      </c>
      <c r="BL73" s="58"/>
      <c r="BM73" s="58">
        <v>0</v>
      </c>
      <c r="BN73" s="58">
        <v>540</v>
      </c>
      <c r="BO73" s="58">
        <v>0</v>
      </c>
      <c r="BP73" s="58">
        <v>0</v>
      </c>
      <c r="BQ73" s="58">
        <v>0</v>
      </c>
      <c r="BR73" s="58"/>
      <c r="BS73" s="58">
        <v>540</v>
      </c>
      <c r="BT73" s="58">
        <v>900</v>
      </c>
      <c r="BU73" s="58"/>
      <c r="BV73" s="58">
        <v>0</v>
      </c>
      <c r="BW73" s="58">
        <v>0</v>
      </c>
      <c r="BX73" s="58">
        <v>180</v>
      </c>
      <c r="BY73" s="58"/>
      <c r="BZ73" s="58">
        <v>0</v>
      </c>
      <c r="CA73" s="58">
        <v>0</v>
      </c>
      <c r="CB73" s="58"/>
      <c r="CC73" s="58">
        <v>0</v>
      </c>
      <c r="CD73" s="58">
        <v>0</v>
      </c>
      <c r="CE73" s="58"/>
      <c r="CF73" s="58">
        <v>0</v>
      </c>
      <c r="CG73" s="58">
        <v>0</v>
      </c>
      <c r="CH73" s="58">
        <v>360</v>
      </c>
      <c r="CI73" s="58"/>
      <c r="CJ73" s="58">
        <v>0</v>
      </c>
      <c r="CK73" s="58">
        <v>0</v>
      </c>
      <c r="CL73" s="58">
        <v>0</v>
      </c>
      <c r="CM73" s="58">
        <v>0</v>
      </c>
      <c r="CN73" s="58"/>
      <c r="CO73" s="58">
        <v>405</v>
      </c>
      <c r="CP73" s="58">
        <v>0</v>
      </c>
      <c r="CQ73" s="58">
        <v>0</v>
      </c>
      <c r="CR73" s="58">
        <v>405</v>
      </c>
      <c r="CS73" s="58">
        <v>675</v>
      </c>
      <c r="CT73" s="58">
        <v>0</v>
      </c>
      <c r="CU73" s="58"/>
      <c r="CV73" s="58"/>
      <c r="CW73" s="58">
        <v>270</v>
      </c>
      <c r="CX73" s="58">
        <v>0</v>
      </c>
      <c r="CY73" s="58">
        <v>0</v>
      </c>
      <c r="CZ73" s="58"/>
      <c r="DA73" s="58"/>
      <c r="DB73" s="58">
        <v>315</v>
      </c>
      <c r="DC73" s="58">
        <v>0</v>
      </c>
      <c r="DD73" s="58">
        <v>0</v>
      </c>
      <c r="DE73" s="58"/>
      <c r="DF73" s="58"/>
      <c r="DG73" s="58">
        <v>360</v>
      </c>
      <c r="DH73" s="58">
        <v>0</v>
      </c>
      <c r="DI73" s="58">
        <v>0</v>
      </c>
      <c r="DJ73" s="58">
        <v>0</v>
      </c>
      <c r="DK73" s="107"/>
      <c r="DL73" s="107"/>
      <c r="DM73" s="107"/>
      <c r="DN73" s="107"/>
      <c r="DO73" s="107"/>
      <c r="DP73" s="107"/>
      <c r="DQ73" s="107"/>
      <c r="DR73" s="107"/>
      <c r="DS73" s="107"/>
      <c r="DT73" s="107"/>
      <c r="DU73" s="107"/>
      <c r="DV73" s="107"/>
      <c r="DW73" s="107"/>
      <c r="DX73" s="107"/>
      <c r="DY73" s="107"/>
      <c r="DZ73" s="107"/>
      <c r="EA73" s="107"/>
      <c r="EB73" s="107"/>
      <c r="EC73" s="107"/>
      <c r="ED73" s="107"/>
      <c r="EE73" s="107"/>
      <c r="EF73" s="107"/>
      <c r="EG73" s="107"/>
      <c r="EH73" s="107"/>
      <c r="EI73" s="107"/>
      <c r="EJ73" s="107"/>
      <c r="EK73" s="107"/>
      <c r="EL73" s="107"/>
      <c r="EM73" s="107"/>
      <c r="EN73" s="107"/>
      <c r="EO73" s="107"/>
      <c r="EP73" s="107"/>
      <c r="EQ73" s="107"/>
      <c r="ER73" s="107"/>
      <c r="ES73" s="107"/>
      <c r="ET73" s="107"/>
      <c r="EU73" s="107"/>
      <c r="EV73" s="107"/>
      <c r="EW73" s="107"/>
      <c r="EX73" s="107"/>
      <c r="EY73" s="107"/>
      <c r="EZ73" s="107"/>
      <c r="FA73" s="107"/>
      <c r="FB73" s="107"/>
      <c r="FC73" s="107"/>
      <c r="FD73" s="107"/>
      <c r="FE73" s="107"/>
      <c r="FF73" s="107"/>
      <c r="FG73" s="107"/>
      <c r="FH73" s="107"/>
      <c r="FI73" s="107"/>
      <c r="FJ73" s="107"/>
      <c r="FK73" s="107"/>
      <c r="FL73" s="107"/>
      <c r="FM73" s="107"/>
      <c r="FN73" s="107"/>
      <c r="FO73" s="107"/>
      <c r="FP73" s="107"/>
      <c r="FQ73" s="107"/>
      <c r="FR73" s="107"/>
      <c r="FS73" s="107"/>
      <c r="FT73" s="107"/>
    </row>
    <row r="74" spans="1:176" x14ac:dyDescent="0.25">
      <c r="A74" s="107"/>
      <c r="B74" s="107"/>
      <c r="C74" s="107"/>
      <c r="D74" s="107"/>
      <c r="E74" s="107"/>
      <c r="F74" s="107"/>
      <c r="G74" s="147" t="str">
        <f>IF(_ibpOfflineCondition_,"000000000000564703-1", _xll.EPMOlapMemberO("[PRDID].[].[000000000000564703-1]","","000000000000564703-1","","000"))</f>
        <v>000000000000564703-1</v>
      </c>
      <c r="H74" s="147" t="str">
        <f>IF(_ibpOfflineCondition_,"FGR+ FIGAROLLPLUS 10/280+40 ROT BRAAS", _xll.EPMOlapMemberO("[PRDDESCR].[].[FGR+ FIGAROLLPLUS 10/280+40 ROT BRAAS]","","FGR+ FIGAROLLPLUS 10/280+40 ROT BRAAS","","000"))</f>
        <v>FGR+ FIGAROLLPLUS 10/280+40 ROT BRAAS</v>
      </c>
      <c r="I74" s="147" t="str">
        <f>IF(_ibpOfflineCondition_,"X0", _xll.EPMOlapMemberO("[MRPTYPE].[].[X0]","","X0","","000"))</f>
        <v>X0</v>
      </c>
      <c r="J74" s="147" t="str">
        <f>IF(_ibpOfflineCondition_,"GSCRM Projected Stock (Unconstrained Demand)", _xll.EPMOlapMemberO("[KEY_FIGURES].[].[ZGSCRMUNCONSINVENTORY]","","GSCRM Projected Stock (Unconstrained Demand)","","000"))</f>
        <v>GSCRM Projected Stock (Unconstrained Demand)</v>
      </c>
      <c r="K74" s="58">
        <v>846</v>
      </c>
      <c r="L74" s="58">
        <v>756</v>
      </c>
      <c r="M74" s="58">
        <v>1476</v>
      </c>
      <c r="N74" s="58">
        <v>1431</v>
      </c>
      <c r="O74" s="58">
        <v>351</v>
      </c>
      <c r="P74" s="58">
        <v>351</v>
      </c>
      <c r="Q74" s="58">
        <v>126</v>
      </c>
      <c r="R74" s="58">
        <v>126</v>
      </c>
      <c r="S74" s="58"/>
      <c r="T74" s="58">
        <v>126</v>
      </c>
      <c r="U74" s="58">
        <v>36</v>
      </c>
      <c r="V74" s="58">
        <v>36</v>
      </c>
      <c r="W74" s="58">
        <v>36</v>
      </c>
      <c r="X74" s="58">
        <v>126</v>
      </c>
      <c r="Y74" s="58">
        <v>216</v>
      </c>
      <c r="Z74" s="58">
        <v>126</v>
      </c>
      <c r="AA74" s="58">
        <v>81</v>
      </c>
      <c r="AB74" s="58">
        <v>801</v>
      </c>
      <c r="AC74" s="58">
        <v>801</v>
      </c>
      <c r="AD74" s="58">
        <v>486</v>
      </c>
      <c r="AE74" s="58">
        <v>486</v>
      </c>
      <c r="AF74" s="58">
        <v>756</v>
      </c>
      <c r="AG74" s="58">
        <v>666</v>
      </c>
      <c r="AH74" s="58">
        <v>666</v>
      </c>
      <c r="AI74" s="58">
        <v>801</v>
      </c>
      <c r="AJ74" s="58">
        <v>801</v>
      </c>
      <c r="AK74" s="58">
        <v>756</v>
      </c>
      <c r="AL74" s="58">
        <v>711</v>
      </c>
      <c r="AM74" s="58">
        <v>621</v>
      </c>
      <c r="AN74" s="58">
        <v>891</v>
      </c>
      <c r="AO74" s="58">
        <v>666</v>
      </c>
      <c r="AP74" s="58">
        <v>666</v>
      </c>
      <c r="AQ74" s="58">
        <v>666</v>
      </c>
      <c r="AR74" s="58">
        <v>576</v>
      </c>
      <c r="AS74" s="58">
        <v>306</v>
      </c>
      <c r="AT74" s="58">
        <v>261</v>
      </c>
      <c r="AU74" s="58">
        <v>81</v>
      </c>
      <c r="AV74" s="58">
        <v>81</v>
      </c>
      <c r="AW74" s="58">
        <v>1116</v>
      </c>
      <c r="AX74" s="58">
        <v>1926</v>
      </c>
      <c r="AY74" s="58">
        <v>1791</v>
      </c>
      <c r="AZ74" s="58">
        <v>1791</v>
      </c>
      <c r="BA74" s="58">
        <v>1611</v>
      </c>
      <c r="BB74" s="58">
        <v>1611</v>
      </c>
      <c r="BC74" s="58">
        <v>1566</v>
      </c>
      <c r="BD74" s="58">
        <v>2106</v>
      </c>
      <c r="BE74" s="58">
        <v>2106</v>
      </c>
      <c r="BF74" s="58">
        <v>2106</v>
      </c>
      <c r="BG74" s="58">
        <v>2106</v>
      </c>
      <c r="BH74" s="58">
        <v>1836</v>
      </c>
      <c r="BI74" s="58">
        <v>1566</v>
      </c>
      <c r="BJ74" s="58">
        <v>1206</v>
      </c>
      <c r="BK74" s="58">
        <v>1026</v>
      </c>
      <c r="BL74" s="58">
        <v>1026</v>
      </c>
      <c r="BM74" s="58">
        <v>396</v>
      </c>
      <c r="BN74" s="58">
        <v>621</v>
      </c>
      <c r="BO74" s="58">
        <v>576</v>
      </c>
      <c r="BP74" s="58">
        <v>531</v>
      </c>
      <c r="BQ74" s="58">
        <v>351</v>
      </c>
      <c r="BR74" s="58">
        <v>351</v>
      </c>
      <c r="BS74" s="58">
        <v>846</v>
      </c>
      <c r="BT74" s="58">
        <v>1746</v>
      </c>
      <c r="BU74" s="58">
        <v>1746</v>
      </c>
      <c r="BV74" s="58">
        <v>1521</v>
      </c>
      <c r="BW74" s="58">
        <v>1521</v>
      </c>
      <c r="BX74" s="58">
        <v>1701</v>
      </c>
      <c r="BY74" s="58">
        <v>1701</v>
      </c>
      <c r="BZ74" s="58">
        <v>1386</v>
      </c>
      <c r="CA74" s="58">
        <v>1161</v>
      </c>
      <c r="CB74" s="58">
        <v>1161</v>
      </c>
      <c r="CC74" s="58">
        <v>1071</v>
      </c>
      <c r="CD74" s="58">
        <v>846</v>
      </c>
      <c r="CE74" s="58">
        <v>846</v>
      </c>
      <c r="CF74" s="58">
        <v>576</v>
      </c>
      <c r="CG74" s="58">
        <v>531</v>
      </c>
      <c r="CH74" s="58">
        <v>891</v>
      </c>
      <c r="CI74" s="58">
        <v>891</v>
      </c>
      <c r="CJ74" s="58">
        <v>621</v>
      </c>
      <c r="CK74" s="58">
        <v>576</v>
      </c>
      <c r="CL74" s="58">
        <v>486</v>
      </c>
      <c r="CM74" s="58">
        <v>306</v>
      </c>
      <c r="CN74" s="58">
        <v>306</v>
      </c>
      <c r="CO74" s="58">
        <v>576</v>
      </c>
      <c r="CP74" s="58">
        <v>531</v>
      </c>
      <c r="CQ74" s="58">
        <v>36</v>
      </c>
      <c r="CR74" s="58">
        <v>441</v>
      </c>
      <c r="CS74" s="58">
        <v>1026</v>
      </c>
      <c r="CT74" s="58">
        <v>621</v>
      </c>
      <c r="CU74" s="58">
        <v>621</v>
      </c>
      <c r="CV74" s="58">
        <v>621</v>
      </c>
      <c r="CW74" s="58">
        <v>891</v>
      </c>
      <c r="CX74" s="58">
        <v>666</v>
      </c>
      <c r="CY74" s="58">
        <v>531</v>
      </c>
      <c r="CZ74" s="58">
        <v>531</v>
      </c>
      <c r="DA74" s="58">
        <v>531</v>
      </c>
      <c r="DB74" s="58">
        <v>756</v>
      </c>
      <c r="DC74" s="58">
        <v>441</v>
      </c>
      <c r="DD74" s="58">
        <v>441</v>
      </c>
      <c r="DE74" s="58">
        <v>441</v>
      </c>
      <c r="DF74" s="58">
        <v>441</v>
      </c>
      <c r="DG74" s="58">
        <v>801</v>
      </c>
      <c r="DH74" s="58">
        <v>441</v>
      </c>
      <c r="DI74" s="58">
        <v>261</v>
      </c>
      <c r="DJ74" s="58">
        <v>36</v>
      </c>
      <c r="DK74" s="107"/>
      <c r="DL74" s="107"/>
      <c r="DM74" s="107"/>
      <c r="DN74" s="107"/>
      <c r="DO74" s="107"/>
      <c r="DP74" s="107"/>
      <c r="DQ74" s="107"/>
      <c r="DR74" s="107"/>
      <c r="DS74" s="107"/>
      <c r="DT74" s="107"/>
      <c r="DU74" s="107"/>
      <c r="DV74" s="107"/>
      <c r="DW74" s="107"/>
      <c r="DX74" s="107"/>
      <c r="DY74" s="107"/>
      <c r="DZ74" s="107"/>
      <c r="EA74" s="107"/>
      <c r="EB74" s="107"/>
      <c r="EC74" s="107"/>
      <c r="ED74" s="107"/>
      <c r="EE74" s="107"/>
      <c r="EF74" s="107"/>
      <c r="EG74" s="107"/>
      <c r="EH74" s="107"/>
      <c r="EI74" s="107"/>
      <c r="EJ74" s="107"/>
      <c r="EK74" s="107"/>
      <c r="EL74" s="107"/>
      <c r="EM74" s="107"/>
      <c r="EN74" s="107"/>
      <c r="EO74" s="107"/>
      <c r="EP74" s="107"/>
      <c r="EQ74" s="107"/>
      <c r="ER74" s="107"/>
      <c r="ES74" s="107"/>
      <c r="ET74" s="107"/>
      <c r="EU74" s="107"/>
      <c r="EV74" s="107"/>
      <c r="EW74" s="107"/>
      <c r="EX74" s="107"/>
      <c r="EY74" s="107"/>
      <c r="EZ74" s="107"/>
      <c r="FA74" s="107"/>
      <c r="FB74" s="107"/>
      <c r="FC74" s="107"/>
      <c r="FD74" s="107"/>
      <c r="FE74" s="107"/>
      <c r="FF74" s="107"/>
      <c r="FG74" s="107"/>
      <c r="FH74" s="107"/>
      <c r="FI74" s="107"/>
      <c r="FJ74" s="107"/>
      <c r="FK74" s="107"/>
      <c r="FL74" s="107"/>
      <c r="FM74" s="107"/>
      <c r="FN74" s="107"/>
      <c r="FO74" s="107"/>
      <c r="FP74" s="107"/>
      <c r="FQ74" s="107"/>
      <c r="FR74" s="107"/>
      <c r="FS74" s="107"/>
      <c r="FT74" s="107"/>
    </row>
    <row r="75" spans="1:176" x14ac:dyDescent="0.25">
      <c r="A75" s="107"/>
      <c r="B75" s="107"/>
      <c r="C75" s="107"/>
      <c r="D75" s="107"/>
      <c r="E75" s="107"/>
      <c r="F75" s="107"/>
      <c r="G75" s="147" t="str">
        <f>IF(_ibpOfflineCondition_,"000000000000564752-1", _xll.EPMOlapMemberO("[PRDID].[].[000000000000564752-1]","","000000000000564752-1","","000"))</f>
        <v>000000000000564752-1</v>
      </c>
      <c r="H75" s="147" t="str">
        <f>IF(_ibpOfflineCondition_,"FGR+ FIG.PLUS 10/280+40 ANTHR BORAL WB", _xll.EPMOlapMemberO("[PRDDESCR].[].[FGR+ FIG.PLUS 10/280+40 ANTHR BORAL WB]","","FGR+ FIG.PLUS 10/280+40 ANTHR BORAL WB","","000"))</f>
        <v>FGR+ FIG.PLUS 10/280+40 ANTHR BORAL WB</v>
      </c>
      <c r="I75" s="147" t="str">
        <f>IF(_ibpOfflineCondition_,"X7", _xll.EPMOlapMemberO("[MRPTYPE].[].[X7]","","X7","","000"))</f>
        <v>X7</v>
      </c>
      <c r="J75" s="147" t="str">
        <f>IF(_ibpOfflineCondition_,"GSCRM Actual Sales and Unconstrained Demand", _xll.EPMOlapMemberO("[KEY_FIGURES].[].[ZGSCRMACTUALUNCONSDEMAND]","","GSCRM Actual Sales and Unconstrained Demand","","000"))</f>
        <v>GSCRM Actual Sales and Unconstrained Demand</v>
      </c>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58"/>
      <c r="BO75" s="58">
        <v>1440</v>
      </c>
      <c r="BP75" s="58"/>
      <c r="BQ75" s="58"/>
      <c r="BR75" s="58"/>
      <c r="BS75" s="58"/>
      <c r="BT75" s="58"/>
      <c r="BU75" s="58"/>
      <c r="BV75" s="58"/>
      <c r="BW75" s="58">
        <v>240</v>
      </c>
      <c r="BX75" s="58"/>
      <c r="BY75" s="58"/>
      <c r="BZ75" s="58"/>
      <c r="CA75" s="58"/>
      <c r="CB75" s="58"/>
      <c r="CC75" s="58"/>
      <c r="CD75" s="58"/>
      <c r="CE75" s="58"/>
      <c r="CF75" s="58"/>
      <c r="CG75" s="58"/>
      <c r="CH75" s="58"/>
      <c r="CI75" s="58"/>
      <c r="CJ75" s="58"/>
      <c r="CK75" s="58"/>
      <c r="CL75" s="58"/>
      <c r="CM75" s="58"/>
      <c r="CN75" s="58"/>
      <c r="CO75" s="58"/>
      <c r="CP75" s="58"/>
      <c r="CQ75" s="58"/>
      <c r="CR75" s="58"/>
      <c r="CS75" s="58"/>
      <c r="CT75" s="58"/>
      <c r="CU75" s="58"/>
      <c r="CV75" s="58"/>
      <c r="CW75" s="58"/>
      <c r="CX75" s="58"/>
      <c r="CY75" s="58"/>
      <c r="CZ75" s="58"/>
      <c r="DA75" s="58"/>
      <c r="DB75" s="58"/>
      <c r="DC75" s="58"/>
      <c r="DD75" s="58"/>
      <c r="DE75" s="58"/>
      <c r="DF75" s="58"/>
      <c r="DG75" s="58"/>
      <c r="DH75" s="58"/>
      <c r="DI75" s="58"/>
      <c r="DJ75" s="58"/>
      <c r="DK75" s="107"/>
      <c r="DL75" s="107"/>
      <c r="DM75" s="107"/>
      <c r="DN75" s="107"/>
      <c r="DO75" s="107"/>
      <c r="DP75" s="107"/>
      <c r="DQ75" s="107"/>
      <c r="DR75" s="107"/>
      <c r="DS75" s="107"/>
      <c r="DT75" s="107"/>
      <c r="DU75" s="107"/>
      <c r="DV75" s="107"/>
      <c r="DW75" s="107"/>
      <c r="DX75" s="107"/>
      <c r="DY75" s="107"/>
      <c r="DZ75" s="107"/>
      <c r="EA75" s="107"/>
      <c r="EB75" s="107"/>
      <c r="EC75" s="107"/>
      <c r="ED75" s="107"/>
      <c r="EE75" s="107"/>
      <c r="EF75" s="107"/>
      <c r="EG75" s="107"/>
      <c r="EH75" s="107"/>
      <c r="EI75" s="107"/>
      <c r="EJ75" s="107"/>
      <c r="EK75" s="107"/>
      <c r="EL75" s="107"/>
      <c r="EM75" s="107"/>
      <c r="EN75" s="107"/>
      <c r="EO75" s="107"/>
      <c r="EP75" s="107"/>
      <c r="EQ75" s="107"/>
      <c r="ER75" s="107"/>
      <c r="ES75" s="107"/>
      <c r="ET75" s="107"/>
      <c r="EU75" s="107"/>
      <c r="EV75" s="107"/>
      <c r="EW75" s="107"/>
      <c r="EX75" s="107"/>
      <c r="EY75" s="107"/>
      <c r="EZ75" s="107"/>
      <c r="FA75" s="107"/>
      <c r="FB75" s="107"/>
      <c r="FC75" s="107"/>
      <c r="FD75" s="107"/>
      <c r="FE75" s="107"/>
      <c r="FF75" s="107"/>
      <c r="FG75" s="107"/>
      <c r="FH75" s="107"/>
      <c r="FI75" s="107"/>
      <c r="FJ75" s="107"/>
      <c r="FK75" s="107"/>
      <c r="FL75" s="107"/>
      <c r="FM75" s="107"/>
      <c r="FN75" s="107"/>
      <c r="FO75" s="107"/>
      <c r="FP75" s="107"/>
      <c r="FQ75" s="107"/>
      <c r="FR75" s="107"/>
      <c r="FS75" s="107"/>
      <c r="FT75" s="107"/>
    </row>
    <row r="76" spans="1:176" x14ac:dyDescent="0.25">
      <c r="A76" s="107"/>
      <c r="B76" s="107"/>
      <c r="C76" s="107"/>
      <c r="D76" s="107"/>
      <c r="E76" s="107"/>
      <c r="F76" s="107"/>
      <c r="G76" s="147" t="str">
        <f>IF(_ibpOfflineCondition_,"000000000000564752-1", _xll.EPMOlapMemberO("[PRDID].[].[000000000000564752-1]","","000000000000564752-1","","000"))</f>
        <v>000000000000564752-1</v>
      </c>
      <c r="H76" s="147" t="str">
        <f>IF(_ibpOfflineCondition_,"FGR+ FIG.PLUS 10/280+40 ANTHR BORAL WB", _xll.EPMOlapMemberO("[PRDDESCR].[].[FGR+ FIG.PLUS 10/280+40 ANTHR BORAL WB]","","FGR+ FIG.PLUS 10/280+40 ANTHR BORAL WB","","000"))</f>
        <v>FGR+ FIG.PLUS 10/280+40 ANTHR BORAL WB</v>
      </c>
      <c r="I76" s="147" t="str">
        <f>IF(_ibpOfflineCondition_,"X7", _xll.EPMOlapMemberO("[MRPTYPE].[].[X7]","","X7","","000"))</f>
        <v>X7</v>
      </c>
      <c r="J76" s="147" t="str">
        <f>IF(_ibpOfflineCondition_,"GSCRM Actuals and Future Production", _xll.EPMOlapMemberO("[KEY_FIGURES].[].[ZGSCRMACTUALSPRODUCTION]","","GSCRM Actuals and Future Production","","000"))</f>
        <v>GSCRM Actuals and Future Production</v>
      </c>
      <c r="K76" s="58"/>
      <c r="L76" s="58"/>
      <c r="M76" s="58"/>
      <c r="N76" s="58"/>
      <c r="O76" s="58"/>
      <c r="P76" s="58"/>
      <c r="Q76" s="58"/>
      <c r="R76" s="58"/>
      <c r="S76" s="58"/>
      <c r="T76" s="58"/>
      <c r="U76" s="58"/>
      <c r="V76" s="58"/>
      <c r="W76" s="58"/>
      <c r="X76" s="58"/>
      <c r="Y76" s="58"/>
      <c r="Z76" s="58"/>
      <c r="AA76" s="58"/>
      <c r="AB76" s="58"/>
      <c r="AC76" s="58"/>
      <c r="AD76" s="58"/>
      <c r="AE76" s="58"/>
      <c r="AF76" s="58">
        <v>240</v>
      </c>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v>1440</v>
      </c>
      <c r="BM76" s="58"/>
      <c r="BN76" s="58"/>
      <c r="BO76" s="58">
        <v>0</v>
      </c>
      <c r="BP76" s="58"/>
      <c r="BQ76" s="58"/>
      <c r="BR76" s="58"/>
      <c r="BS76" s="58"/>
      <c r="BT76" s="58">
        <v>240</v>
      </c>
      <c r="BU76" s="58"/>
      <c r="BV76" s="58"/>
      <c r="BW76" s="58">
        <v>0</v>
      </c>
      <c r="BX76" s="58"/>
      <c r="BY76" s="58"/>
      <c r="BZ76" s="58"/>
      <c r="CA76" s="58"/>
      <c r="CB76" s="58"/>
      <c r="CC76" s="58"/>
      <c r="CD76" s="58"/>
      <c r="CE76" s="58"/>
      <c r="CF76" s="58"/>
      <c r="CG76" s="58"/>
      <c r="CH76" s="58"/>
      <c r="CI76" s="58"/>
      <c r="CJ76" s="58"/>
      <c r="CK76" s="58"/>
      <c r="CL76" s="58"/>
      <c r="CM76" s="58"/>
      <c r="CN76" s="58"/>
      <c r="CO76" s="58"/>
      <c r="CP76" s="58"/>
      <c r="CQ76" s="58"/>
      <c r="CR76" s="58"/>
      <c r="CS76" s="58"/>
      <c r="CT76" s="58"/>
      <c r="CU76" s="58"/>
      <c r="CV76" s="58"/>
      <c r="CW76" s="58"/>
      <c r="CX76" s="58"/>
      <c r="CY76" s="58"/>
      <c r="CZ76" s="58"/>
      <c r="DA76" s="58"/>
      <c r="DB76" s="58"/>
      <c r="DC76" s="58"/>
      <c r="DD76" s="58"/>
      <c r="DE76" s="58"/>
      <c r="DF76" s="58"/>
      <c r="DG76" s="58"/>
      <c r="DH76" s="58"/>
      <c r="DI76" s="58"/>
      <c r="DJ76" s="58"/>
      <c r="DK76" s="107"/>
      <c r="DL76" s="107"/>
      <c r="DM76" s="107"/>
      <c r="DN76" s="107"/>
      <c r="DO76" s="107"/>
      <c r="DP76" s="107"/>
      <c r="DQ76" s="107"/>
      <c r="DR76" s="107"/>
      <c r="DS76" s="107"/>
      <c r="DT76" s="107"/>
      <c r="DU76" s="107"/>
      <c r="DV76" s="107"/>
      <c r="DW76" s="107"/>
      <c r="DX76" s="107"/>
      <c r="DY76" s="107"/>
      <c r="DZ76" s="107"/>
      <c r="EA76" s="107"/>
      <c r="EB76" s="107"/>
      <c r="EC76" s="107"/>
      <c r="ED76" s="107"/>
      <c r="EE76" s="107"/>
      <c r="EF76" s="107"/>
      <c r="EG76" s="107"/>
      <c r="EH76" s="107"/>
      <c r="EI76" s="107"/>
      <c r="EJ76" s="107"/>
      <c r="EK76" s="107"/>
      <c r="EL76" s="107"/>
      <c r="EM76" s="107"/>
      <c r="EN76" s="107"/>
      <c r="EO76" s="107"/>
      <c r="EP76" s="107"/>
      <c r="EQ76" s="107"/>
      <c r="ER76" s="107"/>
      <c r="ES76" s="107"/>
      <c r="ET76" s="107"/>
      <c r="EU76" s="107"/>
      <c r="EV76" s="107"/>
      <c r="EW76" s="107"/>
      <c r="EX76" s="107"/>
      <c r="EY76" s="107"/>
      <c r="EZ76" s="107"/>
      <c r="FA76" s="107"/>
      <c r="FB76" s="107"/>
      <c r="FC76" s="107"/>
      <c r="FD76" s="107"/>
      <c r="FE76" s="107"/>
      <c r="FF76" s="107"/>
      <c r="FG76" s="107"/>
      <c r="FH76" s="107"/>
      <c r="FI76" s="107"/>
      <c r="FJ76" s="107"/>
      <c r="FK76" s="107"/>
      <c r="FL76" s="107"/>
      <c r="FM76" s="107"/>
      <c r="FN76" s="107"/>
      <c r="FO76" s="107"/>
      <c r="FP76" s="107"/>
      <c r="FQ76" s="107"/>
      <c r="FR76" s="107"/>
      <c r="FS76" s="107"/>
      <c r="FT76" s="107"/>
    </row>
    <row r="77" spans="1:176" x14ac:dyDescent="0.25">
      <c r="A77" s="107"/>
      <c r="B77" s="107"/>
      <c r="C77" s="107"/>
      <c r="D77" s="107"/>
      <c r="E77" s="107"/>
      <c r="F77" s="107"/>
      <c r="G77" s="147" t="str">
        <f>IF(_ibpOfflineCondition_,"000000000000564752-1", _xll.EPMOlapMemberO("[PRDID].[].[000000000000564752-1]","","000000000000564752-1","","000"))</f>
        <v>000000000000564752-1</v>
      </c>
      <c r="H77" s="147" t="str">
        <f>IF(_ibpOfflineCondition_,"FGR+ FIG.PLUS 10/280+40 ANTHR BORAL WB", _xll.EPMOlapMemberO("[PRDDESCR].[].[FGR+ FIG.PLUS 10/280+40 ANTHR BORAL WB]","","FGR+ FIG.PLUS 10/280+40 ANTHR BORAL WB","","000"))</f>
        <v>FGR+ FIG.PLUS 10/280+40 ANTHR BORAL WB</v>
      </c>
      <c r="I77" s="147" t="str">
        <f>IF(_ibpOfflineCondition_,"X7", _xll.EPMOlapMemberO("[MRPTYPE].[].[X7]","","X7","","000"))</f>
        <v>X7</v>
      </c>
      <c r="J77" s="147" t="str">
        <f>IF(_ibpOfflineCondition_,"GSCRM Projected Stock (Unconstrained Demand)", _xll.EPMOlapMemberO("[KEY_FIGURES].[].[ZGSCRMUNCONSINVENTORY]","","GSCRM Projected Stock (Unconstrained Demand)","","000"))</f>
        <v>GSCRM Projected Stock (Unconstrained Demand)</v>
      </c>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v>1440</v>
      </c>
      <c r="BM77" s="58">
        <v>1440</v>
      </c>
      <c r="BN77" s="58">
        <v>1440</v>
      </c>
      <c r="BO77" s="58"/>
      <c r="BP77" s="58"/>
      <c r="BQ77" s="58"/>
      <c r="BR77" s="58"/>
      <c r="BS77" s="58"/>
      <c r="BT77" s="58">
        <v>240</v>
      </c>
      <c r="BU77" s="58">
        <v>240</v>
      </c>
      <c r="BV77" s="58">
        <v>240</v>
      </c>
      <c r="BW77" s="58"/>
      <c r="BX77" s="58"/>
      <c r="BY77" s="58"/>
      <c r="BZ77" s="58"/>
      <c r="CA77" s="58"/>
      <c r="CB77" s="58"/>
      <c r="CC77" s="58"/>
      <c r="CD77" s="58"/>
      <c r="CE77" s="58"/>
      <c r="CF77" s="58"/>
      <c r="CG77" s="58"/>
      <c r="CH77" s="58"/>
      <c r="CI77" s="58"/>
      <c r="CJ77" s="58"/>
      <c r="CK77" s="58"/>
      <c r="CL77" s="58"/>
      <c r="CM77" s="58"/>
      <c r="CN77" s="58"/>
      <c r="CO77" s="58"/>
      <c r="CP77" s="58"/>
      <c r="CQ77" s="58"/>
      <c r="CR77" s="58"/>
      <c r="CS77" s="58"/>
      <c r="CT77" s="58"/>
      <c r="CU77" s="58"/>
      <c r="CV77" s="58"/>
      <c r="CW77" s="58"/>
      <c r="CX77" s="58"/>
      <c r="CY77" s="58"/>
      <c r="CZ77" s="58"/>
      <c r="DA77" s="58"/>
      <c r="DB77" s="58"/>
      <c r="DC77" s="58"/>
      <c r="DD77" s="58"/>
      <c r="DE77" s="58"/>
      <c r="DF77" s="58"/>
      <c r="DG77" s="58"/>
      <c r="DH77" s="58"/>
      <c r="DI77" s="58"/>
      <c r="DJ77" s="58"/>
      <c r="DK77" s="107"/>
      <c r="DL77" s="107"/>
      <c r="DM77" s="107"/>
      <c r="DN77" s="107"/>
      <c r="DO77" s="107"/>
      <c r="DP77" s="107"/>
      <c r="DQ77" s="107"/>
      <c r="DR77" s="107"/>
      <c r="DS77" s="107"/>
      <c r="DT77" s="107"/>
      <c r="DU77" s="107"/>
      <c r="DV77" s="107"/>
      <c r="DW77" s="107"/>
      <c r="DX77" s="107"/>
      <c r="DY77" s="107"/>
      <c r="DZ77" s="107"/>
      <c r="EA77" s="107"/>
      <c r="EB77" s="107"/>
      <c r="EC77" s="107"/>
      <c r="ED77" s="107"/>
      <c r="EE77" s="107"/>
      <c r="EF77" s="107"/>
      <c r="EG77" s="107"/>
      <c r="EH77" s="107"/>
      <c r="EI77" s="107"/>
      <c r="EJ77" s="107"/>
      <c r="EK77" s="107"/>
      <c r="EL77" s="107"/>
      <c r="EM77" s="107"/>
      <c r="EN77" s="107"/>
      <c r="EO77" s="107"/>
      <c r="EP77" s="107"/>
      <c r="EQ77" s="107"/>
      <c r="ER77" s="107"/>
      <c r="ES77" s="107"/>
      <c r="ET77" s="107"/>
      <c r="EU77" s="107"/>
      <c r="EV77" s="107"/>
      <c r="EW77" s="107"/>
      <c r="EX77" s="107"/>
      <c r="EY77" s="107"/>
      <c r="EZ77" s="107"/>
      <c r="FA77" s="107"/>
      <c r="FB77" s="107"/>
      <c r="FC77" s="107"/>
      <c r="FD77" s="107"/>
      <c r="FE77" s="107"/>
      <c r="FF77" s="107"/>
      <c r="FG77" s="107"/>
      <c r="FH77" s="107"/>
      <c r="FI77" s="107"/>
      <c r="FJ77" s="107"/>
      <c r="FK77" s="107"/>
      <c r="FL77" s="107"/>
      <c r="FM77" s="107"/>
      <c r="FN77" s="107"/>
      <c r="FO77" s="107"/>
      <c r="FP77" s="107"/>
      <c r="FQ77" s="107"/>
      <c r="FR77" s="107"/>
      <c r="FS77" s="107"/>
      <c r="FT77" s="107"/>
    </row>
    <row r="78" spans="1:176" x14ac:dyDescent="0.25">
      <c r="A78" s="107"/>
      <c r="B78" s="107"/>
      <c r="C78" s="107"/>
      <c r="D78" s="107"/>
      <c r="E78" s="107"/>
      <c r="F78" s="107"/>
      <c r="G78" s="147" t="str">
        <f>IF(_ibpOfflineCondition_,"000000000000564801-1", _xll.EPMOlapMemberO("[PRDID].[].[000000000000564801-1]","","000000000000564801-1","","000"))</f>
        <v>000000000000564801-1</v>
      </c>
      <c r="H78" s="147" t="str">
        <f>IF(_ibpOfflineCondition_,"FGR+ FIGAROLLPLUS 5/280+40 BRAUN BRAAS", _xll.EPMOlapMemberO("[PRDDESCR].[].[FGR+ FIGAROLLPLUS 5/280+40 BRAUN BRAAS]","","FGR+ FIGAROLLPLUS 5/280+40 BRAUN BRAAS","","000"))</f>
        <v>FGR+ FIGAROLLPLUS 5/280+40 BRAUN BRAAS</v>
      </c>
      <c r="I78" s="147" t="str">
        <f>IF(_ibpOfflineCondition_,"X0", _xll.EPMOlapMemberO("[MRPTYPE].[].[X0]","","X0","","000"))</f>
        <v>X0</v>
      </c>
      <c r="J78" s="147" t="str">
        <f>IF(_ibpOfflineCondition_,"GSCRM Actual Sales and Unconstrained Demand", _xll.EPMOlapMemberO("[KEY_FIGURES].[].[ZGSCRMACTUALUNCONSDEMAND]","","GSCRM Actual Sales and Unconstrained Demand","","000"))</f>
        <v>GSCRM Actual Sales and Unconstrained Demand</v>
      </c>
      <c r="K78" s="58">
        <v>90</v>
      </c>
      <c r="L78" s="58"/>
      <c r="M78" s="58">
        <v>630</v>
      </c>
      <c r="N78" s="58">
        <v>90</v>
      </c>
      <c r="O78" s="58"/>
      <c r="P78" s="58"/>
      <c r="Q78" s="58">
        <v>90</v>
      </c>
      <c r="R78" s="58"/>
      <c r="S78" s="58"/>
      <c r="T78" s="58">
        <v>270</v>
      </c>
      <c r="U78" s="58">
        <v>90</v>
      </c>
      <c r="V78" s="58"/>
      <c r="W78" s="58">
        <v>90</v>
      </c>
      <c r="X78" s="58"/>
      <c r="Y78" s="58">
        <v>90</v>
      </c>
      <c r="Z78" s="58">
        <v>90</v>
      </c>
      <c r="AA78" s="58">
        <v>180</v>
      </c>
      <c r="AB78" s="58"/>
      <c r="AC78" s="58">
        <v>90</v>
      </c>
      <c r="AD78" s="58">
        <v>180</v>
      </c>
      <c r="AE78" s="58"/>
      <c r="AF78" s="58"/>
      <c r="AG78" s="58"/>
      <c r="AH78" s="58"/>
      <c r="AI78" s="58">
        <v>540</v>
      </c>
      <c r="AJ78" s="58">
        <v>90</v>
      </c>
      <c r="AK78" s="58">
        <v>180</v>
      </c>
      <c r="AL78" s="58"/>
      <c r="AM78" s="58">
        <v>180</v>
      </c>
      <c r="AN78" s="58">
        <v>180</v>
      </c>
      <c r="AO78" s="58"/>
      <c r="AP78" s="58"/>
      <c r="AQ78" s="58">
        <v>90</v>
      </c>
      <c r="AR78" s="58">
        <v>90</v>
      </c>
      <c r="AS78" s="58"/>
      <c r="AT78" s="58">
        <v>180</v>
      </c>
      <c r="AU78" s="58"/>
      <c r="AV78" s="58">
        <v>180</v>
      </c>
      <c r="AW78" s="58">
        <v>90</v>
      </c>
      <c r="AX78" s="58"/>
      <c r="AY78" s="58"/>
      <c r="AZ78" s="58"/>
      <c r="BA78" s="58"/>
      <c r="BB78" s="58">
        <v>360</v>
      </c>
      <c r="BC78" s="58"/>
      <c r="BD78" s="58">
        <v>180</v>
      </c>
      <c r="BE78" s="58"/>
      <c r="BF78" s="58"/>
      <c r="BG78" s="58">
        <v>90</v>
      </c>
      <c r="BH78" s="58"/>
      <c r="BI78" s="58">
        <v>270</v>
      </c>
      <c r="BJ78" s="58">
        <v>180</v>
      </c>
      <c r="BK78" s="58">
        <v>90</v>
      </c>
      <c r="BL78" s="58">
        <v>180</v>
      </c>
      <c r="BM78" s="58">
        <v>540</v>
      </c>
      <c r="BN78" s="58">
        <v>180</v>
      </c>
      <c r="BO78" s="58">
        <v>90</v>
      </c>
      <c r="BP78" s="58"/>
      <c r="BQ78" s="58"/>
      <c r="BR78" s="58">
        <v>630</v>
      </c>
      <c r="BS78" s="58"/>
      <c r="BT78" s="58"/>
      <c r="BU78" s="58"/>
      <c r="BV78" s="58">
        <v>180</v>
      </c>
      <c r="BW78" s="58"/>
      <c r="BX78" s="58"/>
      <c r="BY78" s="58">
        <v>90</v>
      </c>
      <c r="BZ78" s="58">
        <v>360</v>
      </c>
      <c r="CA78" s="58">
        <v>180</v>
      </c>
      <c r="CB78" s="58"/>
      <c r="CC78" s="58"/>
      <c r="CD78" s="58">
        <v>90</v>
      </c>
      <c r="CE78" s="58"/>
      <c r="CF78" s="58">
        <v>180</v>
      </c>
      <c r="CG78" s="58"/>
      <c r="CH78" s="58">
        <v>90</v>
      </c>
      <c r="CI78" s="58">
        <v>540</v>
      </c>
      <c r="CJ78" s="58">
        <v>90</v>
      </c>
      <c r="CK78" s="58">
        <v>90</v>
      </c>
      <c r="CL78" s="58">
        <v>270</v>
      </c>
      <c r="CM78" s="58">
        <v>90</v>
      </c>
      <c r="CN78" s="58"/>
      <c r="CO78" s="58"/>
      <c r="CP78" s="58">
        <v>270</v>
      </c>
      <c r="CQ78" s="58">
        <v>360</v>
      </c>
      <c r="CR78" s="58">
        <v>90</v>
      </c>
      <c r="CS78" s="58"/>
      <c r="CT78" s="58"/>
      <c r="CU78" s="58">
        <v>180</v>
      </c>
      <c r="CV78" s="58"/>
      <c r="CW78" s="58">
        <v>180</v>
      </c>
      <c r="CX78" s="58"/>
      <c r="CY78" s="58">
        <v>270</v>
      </c>
      <c r="CZ78" s="58"/>
      <c r="DA78" s="58"/>
      <c r="DB78" s="58"/>
      <c r="DC78" s="58">
        <v>180</v>
      </c>
      <c r="DD78" s="58"/>
      <c r="DE78" s="58"/>
      <c r="DF78" s="58"/>
      <c r="DG78" s="58"/>
      <c r="DH78" s="58"/>
      <c r="DI78" s="58">
        <v>540</v>
      </c>
      <c r="DJ78" s="58"/>
      <c r="DK78" s="107"/>
      <c r="DL78" s="107"/>
      <c r="DM78" s="107"/>
      <c r="DN78" s="107"/>
      <c r="DO78" s="107"/>
      <c r="DP78" s="107"/>
      <c r="DQ78" s="107"/>
      <c r="DR78" s="107"/>
      <c r="DS78" s="107"/>
      <c r="DT78" s="107"/>
      <c r="DU78" s="107"/>
      <c r="DV78" s="107"/>
      <c r="DW78" s="107"/>
      <c r="DX78" s="107"/>
      <c r="DY78" s="107"/>
      <c r="DZ78" s="107"/>
      <c r="EA78" s="107"/>
      <c r="EB78" s="107"/>
      <c r="EC78" s="107"/>
      <c r="ED78" s="107"/>
      <c r="EE78" s="107"/>
      <c r="EF78" s="107"/>
      <c r="EG78" s="107"/>
      <c r="EH78" s="107"/>
      <c r="EI78" s="107"/>
      <c r="EJ78" s="107"/>
      <c r="EK78" s="107"/>
      <c r="EL78" s="107"/>
      <c r="EM78" s="107"/>
      <c r="EN78" s="107"/>
      <c r="EO78" s="107"/>
      <c r="EP78" s="107"/>
      <c r="EQ78" s="107"/>
      <c r="ER78" s="107"/>
      <c r="ES78" s="107"/>
      <c r="ET78" s="107"/>
      <c r="EU78" s="107"/>
      <c r="EV78" s="107"/>
      <c r="EW78" s="107"/>
      <c r="EX78" s="107"/>
      <c r="EY78" s="107"/>
      <c r="EZ78" s="107"/>
      <c r="FA78" s="107"/>
      <c r="FB78" s="107"/>
      <c r="FC78" s="107"/>
      <c r="FD78" s="107"/>
      <c r="FE78" s="107"/>
      <c r="FF78" s="107"/>
      <c r="FG78" s="107"/>
      <c r="FH78" s="107"/>
      <c r="FI78" s="107"/>
      <c r="FJ78" s="107"/>
      <c r="FK78" s="107"/>
      <c r="FL78" s="107"/>
      <c r="FM78" s="107"/>
      <c r="FN78" s="107"/>
      <c r="FO78" s="107"/>
      <c r="FP78" s="107"/>
      <c r="FQ78" s="107"/>
      <c r="FR78" s="107"/>
      <c r="FS78" s="107"/>
      <c r="FT78" s="107"/>
    </row>
    <row r="79" spans="1:176" x14ac:dyDescent="0.25">
      <c r="A79" s="107"/>
      <c r="B79" s="107"/>
      <c r="C79" s="107"/>
      <c r="D79" s="107"/>
      <c r="E79" s="107"/>
      <c r="F79" s="107"/>
      <c r="G79" s="147" t="str">
        <f>IF(_ibpOfflineCondition_,"000000000000564801-1", _xll.EPMOlapMemberO("[PRDID].[].[000000000000564801-1]","","000000000000564801-1","","000"))</f>
        <v>000000000000564801-1</v>
      </c>
      <c r="H79" s="147" t="str">
        <f>IF(_ibpOfflineCondition_,"FGR+ FIGAROLLPLUS 5/280+40 BRAUN BRAAS", _xll.EPMOlapMemberO("[PRDDESCR].[].[FGR+ FIGAROLLPLUS 5/280+40 BRAUN BRAAS]","","FGR+ FIGAROLLPLUS 5/280+40 BRAUN BRAAS","","000"))</f>
        <v>FGR+ FIGAROLLPLUS 5/280+40 BRAUN BRAAS</v>
      </c>
      <c r="I79" s="147" t="str">
        <f>IF(_ibpOfflineCondition_,"X0", _xll.EPMOlapMemberO("[MRPTYPE].[].[X0]","","X0","","000"))</f>
        <v>X0</v>
      </c>
      <c r="J79" s="147" t="str">
        <f>IF(_ibpOfflineCondition_,"GSCRM Actuals and Future Production", _xll.EPMOlapMemberO("[KEY_FIGURES].[].[ZGSCRMACTUALSPRODUCTION]","","GSCRM Actuals and Future Production","","000"))</f>
        <v>GSCRM Actuals and Future Production</v>
      </c>
      <c r="K79" s="58">
        <v>900</v>
      </c>
      <c r="L79" s="58">
        <v>0</v>
      </c>
      <c r="M79" s="58">
        <v>0</v>
      </c>
      <c r="N79" s="58">
        <v>0</v>
      </c>
      <c r="O79" s="58">
        <v>0</v>
      </c>
      <c r="P79" s="58">
        <v>0</v>
      </c>
      <c r="Q79" s="58">
        <v>0</v>
      </c>
      <c r="R79" s="58">
        <v>270</v>
      </c>
      <c r="S79" s="58">
        <v>0</v>
      </c>
      <c r="T79" s="58">
        <v>0</v>
      </c>
      <c r="U79" s="58">
        <v>0</v>
      </c>
      <c r="V79" s="58">
        <v>0</v>
      </c>
      <c r="W79" s="58">
        <v>0</v>
      </c>
      <c r="X79" s="58">
        <v>180</v>
      </c>
      <c r="Y79" s="58">
        <v>0</v>
      </c>
      <c r="Z79" s="58">
        <v>0</v>
      </c>
      <c r="AA79" s="58">
        <v>0</v>
      </c>
      <c r="AB79" s="58"/>
      <c r="AC79" s="58">
        <v>0</v>
      </c>
      <c r="AD79" s="58">
        <v>0</v>
      </c>
      <c r="AE79" s="58"/>
      <c r="AF79" s="58"/>
      <c r="AG79" s="58"/>
      <c r="AH79" s="58">
        <v>1260</v>
      </c>
      <c r="AI79" s="58">
        <v>0</v>
      </c>
      <c r="AJ79" s="58">
        <v>0</v>
      </c>
      <c r="AK79" s="58">
        <v>0</v>
      </c>
      <c r="AL79" s="58"/>
      <c r="AM79" s="58">
        <v>0</v>
      </c>
      <c r="AN79" s="58">
        <v>540</v>
      </c>
      <c r="AO79" s="58"/>
      <c r="AP79" s="58"/>
      <c r="AQ79" s="58">
        <v>0</v>
      </c>
      <c r="AR79" s="58">
        <v>0</v>
      </c>
      <c r="AS79" s="58"/>
      <c r="AT79" s="58">
        <v>0</v>
      </c>
      <c r="AU79" s="58"/>
      <c r="AV79" s="58">
        <v>0</v>
      </c>
      <c r="AW79" s="58">
        <v>0</v>
      </c>
      <c r="AX79" s="58"/>
      <c r="AY79" s="58"/>
      <c r="AZ79" s="58">
        <v>900</v>
      </c>
      <c r="BA79" s="58">
        <v>540</v>
      </c>
      <c r="BB79" s="58">
        <v>0</v>
      </c>
      <c r="BC79" s="58"/>
      <c r="BD79" s="58">
        <v>1440</v>
      </c>
      <c r="BE79" s="58"/>
      <c r="BF79" s="58"/>
      <c r="BG79" s="58">
        <v>0</v>
      </c>
      <c r="BH79" s="58"/>
      <c r="BI79" s="58">
        <v>0</v>
      </c>
      <c r="BJ79" s="58">
        <v>0</v>
      </c>
      <c r="BK79" s="58">
        <v>0</v>
      </c>
      <c r="BL79" s="58">
        <v>0</v>
      </c>
      <c r="BM79" s="58">
        <v>0</v>
      </c>
      <c r="BN79" s="58">
        <v>0</v>
      </c>
      <c r="BO79" s="58">
        <v>0</v>
      </c>
      <c r="BP79" s="58"/>
      <c r="BQ79" s="58">
        <v>1440</v>
      </c>
      <c r="BR79" s="58">
        <v>0</v>
      </c>
      <c r="BS79" s="58">
        <v>360</v>
      </c>
      <c r="BT79" s="58"/>
      <c r="BU79" s="58"/>
      <c r="BV79" s="58">
        <v>0</v>
      </c>
      <c r="BW79" s="58"/>
      <c r="BX79" s="58">
        <v>180</v>
      </c>
      <c r="BY79" s="58">
        <v>0</v>
      </c>
      <c r="BZ79" s="58">
        <v>0</v>
      </c>
      <c r="CA79" s="58">
        <v>360</v>
      </c>
      <c r="CB79" s="58"/>
      <c r="CC79" s="58">
        <v>360</v>
      </c>
      <c r="CD79" s="58">
        <v>0</v>
      </c>
      <c r="CE79" s="58">
        <v>360</v>
      </c>
      <c r="CF79" s="58">
        <v>0</v>
      </c>
      <c r="CG79" s="58"/>
      <c r="CH79" s="58">
        <v>0</v>
      </c>
      <c r="CI79" s="58">
        <v>0</v>
      </c>
      <c r="CJ79" s="58">
        <v>0</v>
      </c>
      <c r="CK79" s="58">
        <v>0</v>
      </c>
      <c r="CL79" s="58">
        <v>0</v>
      </c>
      <c r="CM79" s="58">
        <v>0</v>
      </c>
      <c r="CN79" s="58"/>
      <c r="CO79" s="58">
        <v>540</v>
      </c>
      <c r="CP79" s="58">
        <v>0</v>
      </c>
      <c r="CQ79" s="58">
        <v>0</v>
      </c>
      <c r="CR79" s="58">
        <v>270</v>
      </c>
      <c r="CS79" s="58">
        <v>720</v>
      </c>
      <c r="CT79" s="58"/>
      <c r="CU79" s="58">
        <v>0</v>
      </c>
      <c r="CV79" s="58"/>
      <c r="CW79" s="58">
        <v>0</v>
      </c>
      <c r="CX79" s="58"/>
      <c r="CY79" s="58">
        <v>0</v>
      </c>
      <c r="CZ79" s="58"/>
      <c r="DA79" s="58"/>
      <c r="DB79" s="58">
        <v>360</v>
      </c>
      <c r="DC79" s="58">
        <v>0</v>
      </c>
      <c r="DD79" s="58"/>
      <c r="DE79" s="58"/>
      <c r="DF79" s="58"/>
      <c r="DG79" s="58"/>
      <c r="DH79" s="58"/>
      <c r="DI79" s="58">
        <v>0</v>
      </c>
      <c r="DJ79" s="58"/>
      <c r="DK79" s="107"/>
      <c r="DL79" s="107"/>
      <c r="DM79" s="107"/>
      <c r="DN79" s="107"/>
      <c r="DO79" s="107"/>
      <c r="DP79" s="107"/>
      <c r="DQ79" s="107"/>
      <c r="DR79" s="107"/>
      <c r="DS79" s="107"/>
      <c r="DT79" s="107"/>
      <c r="DU79" s="107"/>
      <c r="DV79" s="107"/>
      <c r="DW79" s="107"/>
      <c r="DX79" s="107"/>
      <c r="DY79" s="107"/>
      <c r="DZ79" s="107"/>
      <c r="EA79" s="107"/>
      <c r="EB79" s="107"/>
      <c r="EC79" s="107"/>
      <c r="ED79" s="107"/>
      <c r="EE79" s="107"/>
      <c r="EF79" s="107"/>
      <c r="EG79" s="107"/>
      <c r="EH79" s="107"/>
      <c r="EI79" s="107"/>
      <c r="EJ79" s="107"/>
      <c r="EK79" s="107"/>
      <c r="EL79" s="107"/>
      <c r="EM79" s="107"/>
      <c r="EN79" s="107"/>
      <c r="EO79" s="107"/>
      <c r="EP79" s="107"/>
      <c r="EQ79" s="107"/>
      <c r="ER79" s="107"/>
      <c r="ES79" s="107"/>
      <c r="ET79" s="107"/>
      <c r="EU79" s="107"/>
      <c r="EV79" s="107"/>
      <c r="EW79" s="107"/>
      <c r="EX79" s="107"/>
      <c r="EY79" s="107"/>
      <c r="EZ79" s="107"/>
      <c r="FA79" s="107"/>
      <c r="FB79" s="107"/>
      <c r="FC79" s="107"/>
      <c r="FD79" s="107"/>
      <c r="FE79" s="107"/>
      <c r="FF79" s="107"/>
      <c r="FG79" s="107"/>
      <c r="FH79" s="107"/>
      <c r="FI79" s="107"/>
      <c r="FJ79" s="107"/>
      <c r="FK79" s="107"/>
      <c r="FL79" s="107"/>
      <c r="FM79" s="107"/>
      <c r="FN79" s="107"/>
      <c r="FO79" s="107"/>
      <c r="FP79" s="107"/>
      <c r="FQ79" s="107"/>
      <c r="FR79" s="107"/>
      <c r="FS79" s="107"/>
      <c r="FT79" s="107"/>
    </row>
    <row r="80" spans="1:176" x14ac:dyDescent="0.25">
      <c r="A80" s="107"/>
      <c r="B80" s="107"/>
      <c r="C80" s="107"/>
      <c r="D80" s="107"/>
      <c r="E80" s="107"/>
      <c r="F80" s="107"/>
      <c r="G80" s="147" t="str">
        <f>IF(_ibpOfflineCondition_,"000000000000564801-1", _xll.EPMOlapMemberO("[PRDID].[].[000000000000564801-1]","","000000000000564801-1","","000"))</f>
        <v>000000000000564801-1</v>
      </c>
      <c r="H80" s="147" t="str">
        <f>IF(_ibpOfflineCondition_,"FGR+ FIGAROLLPLUS 5/280+40 BRAUN BRAAS", _xll.EPMOlapMemberO("[PRDDESCR].[].[FGR+ FIGAROLLPLUS 5/280+40 BRAUN BRAAS]","","FGR+ FIGAROLLPLUS 5/280+40 BRAUN BRAAS","","000"))</f>
        <v>FGR+ FIGAROLLPLUS 5/280+40 BRAUN BRAAS</v>
      </c>
      <c r="I80" s="147" t="str">
        <f>IF(_ibpOfflineCondition_,"X0", _xll.EPMOlapMemberO("[MRPTYPE].[].[X0]","","X0","","000"))</f>
        <v>X0</v>
      </c>
      <c r="J80" s="147" t="str">
        <f>IF(_ibpOfflineCondition_,"GSCRM Projected Stock (Unconstrained Demand)", _xll.EPMOlapMemberO("[KEY_FIGURES].[].[ZGSCRMUNCONSINVENTORY]","","GSCRM Projected Stock (Unconstrained Demand)","","000"))</f>
        <v>GSCRM Projected Stock (Unconstrained Demand)</v>
      </c>
      <c r="K80" s="58">
        <v>1382</v>
      </c>
      <c r="L80" s="58">
        <v>1382</v>
      </c>
      <c r="M80" s="58">
        <v>752</v>
      </c>
      <c r="N80" s="58">
        <v>662</v>
      </c>
      <c r="O80" s="58">
        <v>662</v>
      </c>
      <c r="P80" s="58">
        <v>572</v>
      </c>
      <c r="Q80" s="58">
        <v>572</v>
      </c>
      <c r="R80" s="58">
        <v>842</v>
      </c>
      <c r="S80" s="58"/>
      <c r="T80" s="58">
        <v>572</v>
      </c>
      <c r="U80" s="58">
        <v>482</v>
      </c>
      <c r="V80" s="58">
        <v>482</v>
      </c>
      <c r="W80" s="58">
        <v>392</v>
      </c>
      <c r="X80" s="58">
        <v>572</v>
      </c>
      <c r="Y80" s="58">
        <v>482</v>
      </c>
      <c r="Z80" s="58">
        <v>392</v>
      </c>
      <c r="AA80" s="58">
        <v>212</v>
      </c>
      <c r="AB80" s="58">
        <v>212</v>
      </c>
      <c r="AC80" s="58">
        <v>212</v>
      </c>
      <c r="AD80" s="58">
        <v>32</v>
      </c>
      <c r="AE80" s="58">
        <v>32</v>
      </c>
      <c r="AF80" s="58">
        <v>32</v>
      </c>
      <c r="AG80" s="58">
        <v>32</v>
      </c>
      <c r="AH80" s="58">
        <v>1292</v>
      </c>
      <c r="AI80" s="58">
        <v>662</v>
      </c>
      <c r="AJ80" s="58">
        <v>662</v>
      </c>
      <c r="AK80" s="58">
        <v>482</v>
      </c>
      <c r="AL80" s="58">
        <v>482</v>
      </c>
      <c r="AM80" s="58">
        <v>302</v>
      </c>
      <c r="AN80" s="58">
        <v>662</v>
      </c>
      <c r="AO80" s="58">
        <v>662</v>
      </c>
      <c r="AP80" s="58">
        <v>662</v>
      </c>
      <c r="AQ80" s="58">
        <v>572</v>
      </c>
      <c r="AR80" s="58">
        <v>482</v>
      </c>
      <c r="AS80" s="58">
        <v>482</v>
      </c>
      <c r="AT80" s="58">
        <v>302</v>
      </c>
      <c r="AU80" s="58">
        <v>302</v>
      </c>
      <c r="AV80" s="58">
        <v>122</v>
      </c>
      <c r="AW80" s="58">
        <v>32</v>
      </c>
      <c r="AX80" s="58">
        <v>32</v>
      </c>
      <c r="AY80" s="58">
        <v>32</v>
      </c>
      <c r="AZ80" s="58">
        <v>932</v>
      </c>
      <c r="BA80" s="58">
        <v>1472</v>
      </c>
      <c r="BB80" s="58">
        <v>1112</v>
      </c>
      <c r="BC80" s="58">
        <v>1112</v>
      </c>
      <c r="BD80" s="58">
        <v>1652</v>
      </c>
      <c r="BE80" s="58">
        <v>1652</v>
      </c>
      <c r="BF80" s="58">
        <v>1652</v>
      </c>
      <c r="BG80" s="58">
        <v>1562</v>
      </c>
      <c r="BH80" s="58">
        <v>1562</v>
      </c>
      <c r="BI80" s="58">
        <v>1292</v>
      </c>
      <c r="BJ80" s="58">
        <v>1022</v>
      </c>
      <c r="BK80" s="58">
        <v>1022</v>
      </c>
      <c r="BL80" s="58">
        <v>842</v>
      </c>
      <c r="BM80" s="58">
        <v>302</v>
      </c>
      <c r="BN80" s="58">
        <v>122</v>
      </c>
      <c r="BO80" s="58">
        <v>32</v>
      </c>
      <c r="BP80" s="58">
        <v>32</v>
      </c>
      <c r="BQ80" s="58">
        <v>1472</v>
      </c>
      <c r="BR80" s="58">
        <v>842</v>
      </c>
      <c r="BS80" s="58">
        <v>1202</v>
      </c>
      <c r="BT80" s="58">
        <v>1202</v>
      </c>
      <c r="BU80" s="58">
        <v>1202</v>
      </c>
      <c r="BV80" s="58">
        <v>1022</v>
      </c>
      <c r="BW80" s="58">
        <v>1022</v>
      </c>
      <c r="BX80" s="58">
        <v>1202</v>
      </c>
      <c r="BY80" s="58">
        <v>1112</v>
      </c>
      <c r="BZ80" s="58">
        <v>752</v>
      </c>
      <c r="CA80" s="58">
        <v>932</v>
      </c>
      <c r="CB80" s="58">
        <v>932</v>
      </c>
      <c r="CC80" s="58">
        <v>1292</v>
      </c>
      <c r="CD80" s="58">
        <v>1202</v>
      </c>
      <c r="CE80" s="58">
        <v>1562</v>
      </c>
      <c r="CF80" s="58">
        <v>1382</v>
      </c>
      <c r="CG80" s="58">
        <v>1382</v>
      </c>
      <c r="CH80" s="58">
        <v>1292</v>
      </c>
      <c r="CI80" s="58">
        <v>752</v>
      </c>
      <c r="CJ80" s="58">
        <v>662</v>
      </c>
      <c r="CK80" s="58">
        <v>572</v>
      </c>
      <c r="CL80" s="58">
        <v>302</v>
      </c>
      <c r="CM80" s="58">
        <v>212</v>
      </c>
      <c r="CN80" s="58">
        <v>212</v>
      </c>
      <c r="CO80" s="58">
        <v>572</v>
      </c>
      <c r="CP80" s="58">
        <v>482</v>
      </c>
      <c r="CQ80" s="58">
        <v>122</v>
      </c>
      <c r="CR80" s="58">
        <v>392</v>
      </c>
      <c r="CS80" s="58">
        <v>1022</v>
      </c>
      <c r="CT80" s="58">
        <v>1022</v>
      </c>
      <c r="CU80" s="58">
        <v>842</v>
      </c>
      <c r="CV80" s="58">
        <v>842</v>
      </c>
      <c r="CW80" s="58">
        <v>662</v>
      </c>
      <c r="CX80" s="58">
        <v>662</v>
      </c>
      <c r="CY80" s="58">
        <v>392</v>
      </c>
      <c r="CZ80" s="58">
        <v>392</v>
      </c>
      <c r="DA80" s="58">
        <v>392</v>
      </c>
      <c r="DB80" s="58">
        <v>752</v>
      </c>
      <c r="DC80" s="58">
        <v>572</v>
      </c>
      <c r="DD80" s="58">
        <v>572</v>
      </c>
      <c r="DE80" s="58">
        <v>572</v>
      </c>
      <c r="DF80" s="58">
        <v>572</v>
      </c>
      <c r="DG80" s="58">
        <v>572</v>
      </c>
      <c r="DH80" s="58">
        <v>572</v>
      </c>
      <c r="DI80" s="58">
        <v>32</v>
      </c>
      <c r="DJ80" s="58">
        <v>32</v>
      </c>
      <c r="DK80" s="107"/>
      <c r="DL80" s="107"/>
      <c r="DM80" s="107"/>
      <c r="DN80" s="107"/>
      <c r="DO80" s="107"/>
      <c r="DP80" s="107"/>
      <c r="DQ80" s="107"/>
      <c r="DR80" s="107"/>
      <c r="DS80" s="107"/>
      <c r="DT80" s="107"/>
      <c r="DU80" s="107"/>
      <c r="DV80" s="107"/>
      <c r="DW80" s="107"/>
      <c r="DX80" s="107"/>
      <c r="DY80" s="107"/>
      <c r="DZ80" s="107"/>
      <c r="EA80" s="107"/>
      <c r="EB80" s="107"/>
      <c r="EC80" s="107"/>
      <c r="ED80" s="107"/>
      <c r="EE80" s="107"/>
      <c r="EF80" s="107"/>
      <c r="EG80" s="107"/>
      <c r="EH80" s="107"/>
      <c r="EI80" s="107"/>
      <c r="EJ80" s="107"/>
      <c r="EK80" s="107"/>
      <c r="EL80" s="107"/>
      <c r="EM80" s="107"/>
      <c r="EN80" s="107"/>
      <c r="EO80" s="107"/>
      <c r="EP80" s="107"/>
      <c r="EQ80" s="107"/>
      <c r="ER80" s="107"/>
      <c r="ES80" s="107"/>
      <c r="ET80" s="107"/>
      <c r="EU80" s="107"/>
      <c r="EV80" s="107"/>
      <c r="EW80" s="107"/>
      <c r="EX80" s="107"/>
      <c r="EY80" s="107"/>
      <c r="EZ80" s="107"/>
      <c r="FA80" s="107"/>
      <c r="FB80" s="107"/>
      <c r="FC80" s="107"/>
      <c r="FD80" s="107"/>
      <c r="FE80" s="107"/>
      <c r="FF80" s="107"/>
      <c r="FG80" s="107"/>
      <c r="FH80" s="107"/>
      <c r="FI80" s="107"/>
      <c r="FJ80" s="107"/>
      <c r="FK80" s="107"/>
      <c r="FL80" s="107"/>
      <c r="FM80" s="107"/>
      <c r="FN80" s="107"/>
      <c r="FO80" s="107"/>
      <c r="FP80" s="107"/>
      <c r="FQ80" s="107"/>
      <c r="FR80" s="107"/>
      <c r="FS80" s="107"/>
      <c r="FT80" s="107"/>
    </row>
    <row r="81" spans="1:176" x14ac:dyDescent="0.25">
      <c r="A81" s="107"/>
      <c r="B81" s="107"/>
      <c r="C81" s="107"/>
      <c r="D81" s="107"/>
      <c r="E81" s="107"/>
      <c r="F81" s="107"/>
      <c r="G81" s="147" t="str">
        <f>IF(_ibpOfflineCondition_,"000000000000564802-1", _xll.EPMOlapMemberO("[PRDID].[].[000000000000564802-1]","","000000000000564802-1","","000"))</f>
        <v>000000000000564802-1</v>
      </c>
      <c r="H81" s="147" t="str">
        <f>IF(_ibpOfflineCondition_,"FGR+ FIGAROLLPLUS 5/280+40 ANTHR BRAAS", _xll.EPMOlapMemberO("[PRDDESCR].[].[FGR+ FIGAROLLPLUS 5/280+40 ANTHR BRAAS]","","FGR+ FIGAROLLPLUS 5/280+40 ANTHR BRAAS","","000"))</f>
        <v>FGR+ FIGAROLLPLUS 5/280+40 ANTHR BRAAS</v>
      </c>
      <c r="I81" s="147" t="str">
        <f>IF(_ibpOfflineCondition_,"X0", _xll.EPMOlapMemberO("[MRPTYPE].[].[X0]","","X0","","000"))</f>
        <v>X0</v>
      </c>
      <c r="J81" s="147" t="str">
        <f>IF(_ibpOfflineCondition_,"GSCRM Actual Sales and Unconstrained Demand", _xll.EPMOlapMemberO("[KEY_FIGURES].[].[ZGSCRMACTUALUNCONSDEMAND]","","GSCRM Actual Sales and Unconstrained Demand","","000"))</f>
        <v>GSCRM Actual Sales and Unconstrained Demand</v>
      </c>
      <c r="K81" s="58">
        <v>1080</v>
      </c>
      <c r="L81" s="58">
        <v>1890</v>
      </c>
      <c r="M81" s="58">
        <v>3690</v>
      </c>
      <c r="N81" s="58">
        <v>990</v>
      </c>
      <c r="O81" s="58">
        <v>360</v>
      </c>
      <c r="P81" s="58">
        <v>180</v>
      </c>
      <c r="Q81" s="58">
        <v>1800</v>
      </c>
      <c r="R81" s="58">
        <v>270</v>
      </c>
      <c r="S81" s="58"/>
      <c r="T81" s="58">
        <v>360</v>
      </c>
      <c r="U81" s="58">
        <v>180</v>
      </c>
      <c r="V81" s="58">
        <v>246</v>
      </c>
      <c r="W81" s="58">
        <v>90</v>
      </c>
      <c r="X81" s="58"/>
      <c r="Y81" s="58">
        <v>450</v>
      </c>
      <c r="Z81" s="58">
        <v>474</v>
      </c>
      <c r="AA81" s="58">
        <v>630</v>
      </c>
      <c r="AB81" s="58">
        <v>810</v>
      </c>
      <c r="AC81" s="58">
        <v>1260</v>
      </c>
      <c r="AD81" s="58">
        <v>720</v>
      </c>
      <c r="AE81" s="58"/>
      <c r="AF81" s="58">
        <v>900</v>
      </c>
      <c r="AG81" s="58">
        <v>360</v>
      </c>
      <c r="AH81" s="58">
        <v>630</v>
      </c>
      <c r="AI81" s="58">
        <v>1350</v>
      </c>
      <c r="AJ81" s="58">
        <v>990</v>
      </c>
      <c r="AK81" s="58">
        <v>900</v>
      </c>
      <c r="AL81" s="58">
        <v>720</v>
      </c>
      <c r="AM81" s="58">
        <v>360</v>
      </c>
      <c r="AN81" s="58">
        <v>180</v>
      </c>
      <c r="AO81" s="58">
        <v>2340</v>
      </c>
      <c r="AP81" s="58">
        <v>630</v>
      </c>
      <c r="AQ81" s="58">
        <v>180</v>
      </c>
      <c r="AR81" s="58">
        <v>1170</v>
      </c>
      <c r="AS81" s="58">
        <v>2070</v>
      </c>
      <c r="AT81" s="58">
        <v>360</v>
      </c>
      <c r="AU81" s="58">
        <v>360</v>
      </c>
      <c r="AV81" s="58">
        <v>810</v>
      </c>
      <c r="AW81" s="58">
        <v>450</v>
      </c>
      <c r="AX81" s="58">
        <v>2070</v>
      </c>
      <c r="AY81" s="58">
        <v>450</v>
      </c>
      <c r="AZ81" s="58"/>
      <c r="BA81" s="58">
        <v>1800</v>
      </c>
      <c r="BB81" s="58">
        <v>1260</v>
      </c>
      <c r="BC81" s="58">
        <v>1800</v>
      </c>
      <c r="BD81" s="58">
        <v>90</v>
      </c>
      <c r="BE81" s="58"/>
      <c r="BF81" s="58"/>
      <c r="BG81" s="58">
        <v>270</v>
      </c>
      <c r="BH81" s="58">
        <v>630</v>
      </c>
      <c r="BI81" s="58">
        <v>2790</v>
      </c>
      <c r="BJ81" s="58">
        <v>2970</v>
      </c>
      <c r="BK81" s="58">
        <v>1980</v>
      </c>
      <c r="BL81" s="58">
        <v>1350</v>
      </c>
      <c r="BM81" s="58">
        <v>900</v>
      </c>
      <c r="BN81" s="58">
        <v>2250</v>
      </c>
      <c r="BO81" s="58">
        <v>2430</v>
      </c>
      <c r="BP81" s="58">
        <v>360</v>
      </c>
      <c r="BQ81" s="58">
        <v>1980</v>
      </c>
      <c r="BR81" s="58">
        <v>1350</v>
      </c>
      <c r="BS81" s="58">
        <v>900</v>
      </c>
      <c r="BT81" s="58">
        <v>540</v>
      </c>
      <c r="BU81" s="58">
        <v>360</v>
      </c>
      <c r="BV81" s="58">
        <v>270</v>
      </c>
      <c r="BW81" s="58">
        <v>810</v>
      </c>
      <c r="BX81" s="58">
        <v>900</v>
      </c>
      <c r="BY81" s="58">
        <v>540</v>
      </c>
      <c r="BZ81" s="58">
        <v>360</v>
      </c>
      <c r="CA81" s="58">
        <v>360</v>
      </c>
      <c r="CB81" s="58">
        <v>1260</v>
      </c>
      <c r="CC81" s="58">
        <v>3060</v>
      </c>
      <c r="CD81" s="58">
        <v>1350</v>
      </c>
      <c r="CE81" s="58">
        <v>1350</v>
      </c>
      <c r="CF81" s="58">
        <v>360</v>
      </c>
      <c r="CG81" s="58">
        <v>270</v>
      </c>
      <c r="CH81" s="58">
        <v>1800</v>
      </c>
      <c r="CI81" s="58">
        <v>2160</v>
      </c>
      <c r="CJ81" s="58">
        <v>360</v>
      </c>
      <c r="CK81" s="58">
        <v>990</v>
      </c>
      <c r="CL81" s="58">
        <v>1800</v>
      </c>
      <c r="CM81" s="58"/>
      <c r="CN81" s="58"/>
      <c r="CO81" s="58">
        <v>270</v>
      </c>
      <c r="CP81" s="58">
        <v>1170</v>
      </c>
      <c r="CQ81" s="58">
        <v>2340</v>
      </c>
      <c r="CR81" s="58">
        <v>990</v>
      </c>
      <c r="CS81" s="58"/>
      <c r="CT81" s="58">
        <v>1170</v>
      </c>
      <c r="CU81" s="58">
        <v>360</v>
      </c>
      <c r="CV81" s="58">
        <v>90</v>
      </c>
      <c r="CW81" s="58">
        <v>450</v>
      </c>
      <c r="CX81" s="58">
        <v>90</v>
      </c>
      <c r="CY81" s="58">
        <v>990</v>
      </c>
      <c r="CZ81" s="58"/>
      <c r="DA81" s="58">
        <v>1530</v>
      </c>
      <c r="DB81" s="58">
        <v>90</v>
      </c>
      <c r="DC81" s="58">
        <v>1170</v>
      </c>
      <c r="DD81" s="58">
        <v>810</v>
      </c>
      <c r="DE81" s="58"/>
      <c r="DF81" s="58"/>
      <c r="DG81" s="58"/>
      <c r="DH81" s="58">
        <v>2880</v>
      </c>
      <c r="DI81" s="58">
        <v>2970</v>
      </c>
      <c r="DJ81" s="58">
        <v>1980</v>
      </c>
      <c r="DK81" s="107"/>
      <c r="DL81" s="107"/>
      <c r="DM81" s="107"/>
      <c r="DN81" s="107"/>
      <c r="DO81" s="107"/>
      <c r="DP81" s="107"/>
      <c r="DQ81" s="107"/>
      <c r="DR81" s="107"/>
      <c r="DS81" s="107"/>
      <c r="DT81" s="107"/>
      <c r="DU81" s="107"/>
      <c r="DV81" s="107"/>
      <c r="DW81" s="107"/>
      <c r="DX81" s="107"/>
      <c r="DY81" s="107"/>
      <c r="DZ81" s="107"/>
      <c r="EA81" s="107"/>
      <c r="EB81" s="107"/>
      <c r="EC81" s="107"/>
      <c r="ED81" s="107"/>
      <c r="EE81" s="107"/>
      <c r="EF81" s="107"/>
      <c r="EG81" s="107"/>
      <c r="EH81" s="107"/>
      <c r="EI81" s="107"/>
      <c r="EJ81" s="107"/>
      <c r="EK81" s="107"/>
      <c r="EL81" s="107"/>
      <c r="EM81" s="107"/>
      <c r="EN81" s="107"/>
      <c r="EO81" s="107"/>
      <c r="EP81" s="107"/>
      <c r="EQ81" s="107"/>
      <c r="ER81" s="107"/>
      <c r="ES81" s="107"/>
      <c r="ET81" s="107"/>
      <c r="EU81" s="107"/>
      <c r="EV81" s="107"/>
      <c r="EW81" s="107"/>
      <c r="EX81" s="107"/>
      <c r="EY81" s="107"/>
      <c r="EZ81" s="107"/>
      <c r="FA81" s="107"/>
      <c r="FB81" s="107"/>
      <c r="FC81" s="107"/>
      <c r="FD81" s="107"/>
      <c r="FE81" s="107"/>
      <c r="FF81" s="107"/>
      <c r="FG81" s="107"/>
      <c r="FH81" s="107"/>
      <c r="FI81" s="107"/>
      <c r="FJ81" s="107"/>
      <c r="FK81" s="107"/>
      <c r="FL81" s="107"/>
      <c r="FM81" s="107"/>
      <c r="FN81" s="107"/>
      <c r="FO81" s="107"/>
      <c r="FP81" s="107"/>
      <c r="FQ81" s="107"/>
      <c r="FR81" s="107"/>
      <c r="FS81" s="107"/>
      <c r="FT81" s="107"/>
    </row>
    <row r="82" spans="1:176" x14ac:dyDescent="0.25">
      <c r="A82" s="107"/>
      <c r="B82" s="107"/>
      <c r="C82" s="107"/>
      <c r="D82" s="107"/>
      <c r="E82" s="107"/>
      <c r="F82" s="107"/>
      <c r="G82" s="147" t="str">
        <f>IF(_ibpOfflineCondition_,"000000000000564802-1", _xll.EPMOlapMemberO("[PRDID].[].[000000000000564802-1]","","000000000000564802-1","","000"))</f>
        <v>000000000000564802-1</v>
      </c>
      <c r="H82" s="147" t="str">
        <f>IF(_ibpOfflineCondition_,"FGR+ FIGAROLLPLUS 5/280+40 ANTHR BRAAS", _xll.EPMOlapMemberO("[PRDDESCR].[].[FGR+ FIGAROLLPLUS 5/280+40 ANTHR BRAAS]","","FGR+ FIGAROLLPLUS 5/280+40 ANTHR BRAAS","","000"))</f>
        <v>FGR+ FIGAROLLPLUS 5/280+40 ANTHR BRAAS</v>
      </c>
      <c r="I82" s="147" t="str">
        <f>IF(_ibpOfflineCondition_,"X0", _xll.EPMOlapMemberO("[MRPTYPE].[].[X0]","","X0","","000"))</f>
        <v>X0</v>
      </c>
      <c r="J82" s="147" t="str">
        <f>IF(_ibpOfflineCondition_,"GSCRM Actuals and Future Production", _xll.EPMOlapMemberO("[KEY_FIGURES].[].[ZGSCRMACTUALSPRODUCTION]","","GSCRM Actuals and Future Production","","000"))</f>
        <v>GSCRM Actuals and Future Production</v>
      </c>
      <c r="K82" s="58">
        <v>0</v>
      </c>
      <c r="L82" s="58">
        <v>5220</v>
      </c>
      <c r="M82" s="58">
        <v>540</v>
      </c>
      <c r="N82" s="58">
        <v>0</v>
      </c>
      <c r="O82" s="58">
        <v>0</v>
      </c>
      <c r="P82" s="58">
        <v>0</v>
      </c>
      <c r="Q82" s="58">
        <v>0</v>
      </c>
      <c r="R82" s="58">
        <v>0</v>
      </c>
      <c r="S82" s="58">
        <v>0</v>
      </c>
      <c r="T82" s="58">
        <v>0</v>
      </c>
      <c r="U82" s="58">
        <v>0</v>
      </c>
      <c r="V82" s="58">
        <v>0</v>
      </c>
      <c r="W82" s="58">
        <v>0</v>
      </c>
      <c r="X82" s="58">
        <v>1440</v>
      </c>
      <c r="Y82" s="58">
        <v>1530</v>
      </c>
      <c r="Z82" s="58">
        <v>360</v>
      </c>
      <c r="AA82" s="58">
        <v>810</v>
      </c>
      <c r="AB82" s="58">
        <v>0</v>
      </c>
      <c r="AC82" s="58">
        <v>0</v>
      </c>
      <c r="AD82" s="58">
        <v>0</v>
      </c>
      <c r="AE82" s="58">
        <v>1980</v>
      </c>
      <c r="AF82" s="58">
        <v>540</v>
      </c>
      <c r="AG82" s="58">
        <v>0</v>
      </c>
      <c r="AH82" s="58">
        <v>3780</v>
      </c>
      <c r="AI82" s="58">
        <v>1260</v>
      </c>
      <c r="AJ82" s="58">
        <v>360</v>
      </c>
      <c r="AK82" s="58">
        <v>3060</v>
      </c>
      <c r="AL82" s="58">
        <v>0</v>
      </c>
      <c r="AM82" s="58">
        <v>0</v>
      </c>
      <c r="AN82" s="58">
        <v>0</v>
      </c>
      <c r="AO82" s="58">
        <v>0</v>
      </c>
      <c r="AP82" s="58">
        <v>2070</v>
      </c>
      <c r="AQ82" s="58">
        <v>2070</v>
      </c>
      <c r="AR82" s="58">
        <v>3420</v>
      </c>
      <c r="AS82" s="58">
        <v>0</v>
      </c>
      <c r="AT82" s="58">
        <v>360</v>
      </c>
      <c r="AU82" s="58">
        <v>1260</v>
      </c>
      <c r="AV82" s="58">
        <v>1260</v>
      </c>
      <c r="AW82" s="58">
        <v>540</v>
      </c>
      <c r="AX82" s="58">
        <v>4320</v>
      </c>
      <c r="AY82" s="58">
        <v>0</v>
      </c>
      <c r="AZ82" s="58"/>
      <c r="BA82" s="58">
        <v>1980</v>
      </c>
      <c r="BB82" s="58">
        <v>0</v>
      </c>
      <c r="BC82" s="58">
        <v>5040</v>
      </c>
      <c r="BD82" s="58">
        <v>5040</v>
      </c>
      <c r="BE82" s="58"/>
      <c r="BF82" s="58"/>
      <c r="BG82" s="58">
        <v>0</v>
      </c>
      <c r="BH82" s="58">
        <v>0</v>
      </c>
      <c r="BI82" s="58">
        <v>0</v>
      </c>
      <c r="BJ82" s="58">
        <v>650</v>
      </c>
      <c r="BK82" s="58">
        <v>2070</v>
      </c>
      <c r="BL82" s="58">
        <v>0</v>
      </c>
      <c r="BM82" s="58">
        <v>0</v>
      </c>
      <c r="BN82" s="58">
        <v>0</v>
      </c>
      <c r="BO82" s="58">
        <v>2520</v>
      </c>
      <c r="BP82" s="58">
        <v>810</v>
      </c>
      <c r="BQ82" s="58">
        <v>1620</v>
      </c>
      <c r="BR82" s="58">
        <v>4140</v>
      </c>
      <c r="BS82" s="58">
        <v>4140</v>
      </c>
      <c r="BT82" s="58">
        <v>0</v>
      </c>
      <c r="BU82" s="58">
        <v>0</v>
      </c>
      <c r="BV82" s="58">
        <v>0</v>
      </c>
      <c r="BW82" s="58">
        <v>0</v>
      </c>
      <c r="BX82" s="58">
        <v>360</v>
      </c>
      <c r="BY82" s="58">
        <v>0</v>
      </c>
      <c r="BZ82" s="58">
        <v>0</v>
      </c>
      <c r="CA82" s="58">
        <v>1800</v>
      </c>
      <c r="CB82" s="58">
        <v>1800</v>
      </c>
      <c r="CC82" s="58">
        <v>3780</v>
      </c>
      <c r="CD82" s="58">
        <v>0</v>
      </c>
      <c r="CE82" s="58">
        <v>1260</v>
      </c>
      <c r="CF82" s="58">
        <v>0</v>
      </c>
      <c r="CG82" s="58">
        <v>0</v>
      </c>
      <c r="CH82" s="58">
        <v>0</v>
      </c>
      <c r="CI82" s="58">
        <v>0</v>
      </c>
      <c r="CJ82" s="58">
        <v>0</v>
      </c>
      <c r="CK82" s="58">
        <v>2520</v>
      </c>
      <c r="CL82" s="58">
        <v>0</v>
      </c>
      <c r="CM82" s="58"/>
      <c r="CN82" s="58"/>
      <c r="CO82" s="58">
        <v>1350</v>
      </c>
      <c r="CP82" s="58">
        <v>2160</v>
      </c>
      <c r="CQ82" s="58">
        <v>0</v>
      </c>
      <c r="CR82" s="58">
        <v>2700</v>
      </c>
      <c r="CS82" s="58">
        <v>5310</v>
      </c>
      <c r="CT82" s="58">
        <v>0</v>
      </c>
      <c r="CU82" s="58">
        <v>0</v>
      </c>
      <c r="CV82" s="58">
        <v>0</v>
      </c>
      <c r="CW82" s="58">
        <v>0</v>
      </c>
      <c r="CX82" s="58">
        <v>0</v>
      </c>
      <c r="CY82" s="58">
        <v>0</v>
      </c>
      <c r="CZ82" s="58"/>
      <c r="DA82" s="58">
        <v>0</v>
      </c>
      <c r="DB82" s="58">
        <v>0</v>
      </c>
      <c r="DC82" s="58">
        <v>0</v>
      </c>
      <c r="DD82" s="58">
        <v>5310</v>
      </c>
      <c r="DE82" s="58"/>
      <c r="DF82" s="58"/>
      <c r="DG82" s="58"/>
      <c r="DH82" s="58">
        <v>0</v>
      </c>
      <c r="DI82" s="58">
        <v>2520</v>
      </c>
      <c r="DJ82" s="58">
        <v>0</v>
      </c>
      <c r="DK82" s="107"/>
      <c r="DL82" s="107"/>
      <c r="DM82" s="107"/>
      <c r="DN82" s="107"/>
      <c r="DO82" s="107"/>
      <c r="DP82" s="107"/>
      <c r="DQ82" s="107"/>
      <c r="DR82" s="107"/>
      <c r="DS82" s="107"/>
      <c r="DT82" s="107"/>
      <c r="DU82" s="107"/>
      <c r="DV82" s="107"/>
      <c r="DW82" s="107"/>
      <c r="DX82" s="107"/>
      <c r="DY82" s="107"/>
      <c r="DZ82" s="107"/>
      <c r="EA82" s="107"/>
      <c r="EB82" s="107"/>
      <c r="EC82" s="107"/>
      <c r="ED82" s="107"/>
      <c r="EE82" s="107"/>
      <c r="EF82" s="107"/>
      <c r="EG82" s="107"/>
      <c r="EH82" s="107"/>
      <c r="EI82" s="107"/>
      <c r="EJ82" s="107"/>
      <c r="EK82" s="107"/>
      <c r="EL82" s="107"/>
      <c r="EM82" s="107"/>
      <c r="EN82" s="107"/>
      <c r="EO82" s="107"/>
      <c r="EP82" s="107"/>
      <c r="EQ82" s="107"/>
      <c r="ER82" s="107"/>
      <c r="ES82" s="107"/>
      <c r="ET82" s="107"/>
      <c r="EU82" s="107"/>
      <c r="EV82" s="107"/>
      <c r="EW82" s="107"/>
      <c r="EX82" s="107"/>
      <c r="EY82" s="107"/>
      <c r="EZ82" s="107"/>
      <c r="FA82" s="107"/>
      <c r="FB82" s="107"/>
      <c r="FC82" s="107"/>
      <c r="FD82" s="107"/>
      <c r="FE82" s="107"/>
      <c r="FF82" s="107"/>
      <c r="FG82" s="107"/>
      <c r="FH82" s="107"/>
      <c r="FI82" s="107"/>
      <c r="FJ82" s="107"/>
      <c r="FK82" s="107"/>
      <c r="FL82" s="107"/>
      <c r="FM82" s="107"/>
      <c r="FN82" s="107"/>
      <c r="FO82" s="107"/>
      <c r="FP82" s="107"/>
      <c r="FQ82" s="107"/>
      <c r="FR82" s="107"/>
      <c r="FS82" s="107"/>
      <c r="FT82" s="107"/>
    </row>
    <row r="83" spans="1:176" x14ac:dyDescent="0.25">
      <c r="A83" s="107"/>
      <c r="B83" s="107"/>
      <c r="C83" s="107"/>
      <c r="D83" s="107"/>
      <c r="E83" s="107"/>
      <c r="F83" s="107"/>
      <c r="G83" s="147" t="str">
        <f>IF(_ibpOfflineCondition_,"000000000000564802-1", _xll.EPMOlapMemberO("[PRDID].[].[000000000000564802-1]","","000000000000564802-1","","000"))</f>
        <v>000000000000564802-1</v>
      </c>
      <c r="H83" s="147" t="str">
        <f>IF(_ibpOfflineCondition_,"FGR+ FIGAROLLPLUS 5/280+40 ANTHR BRAAS", _xll.EPMOlapMemberO("[PRDDESCR].[].[FGR+ FIGAROLLPLUS 5/280+40 ANTHR BRAAS]","","FGR+ FIGAROLLPLUS 5/280+40 ANTHR BRAAS","","000"))</f>
        <v>FGR+ FIGAROLLPLUS 5/280+40 ANTHR BRAAS</v>
      </c>
      <c r="I83" s="147" t="str">
        <f>IF(_ibpOfflineCondition_,"X0", _xll.EPMOlapMemberO("[MRPTYPE].[].[X0]","","X0","","000"))</f>
        <v>X0</v>
      </c>
      <c r="J83" s="147" t="str">
        <f>IF(_ibpOfflineCondition_,"GSCRM Projected Stock (Unconstrained Demand)", _xll.EPMOlapMemberO("[KEY_FIGURES].[].[ZGSCRMUNCONSINVENTORY]","","GSCRM Projected Stock (Unconstrained Demand)","","000"))</f>
        <v>GSCRM Projected Stock (Unconstrained Demand)</v>
      </c>
      <c r="K83" s="58">
        <v>4296</v>
      </c>
      <c r="L83" s="58">
        <v>7626</v>
      </c>
      <c r="M83" s="58">
        <v>4476</v>
      </c>
      <c r="N83" s="58">
        <v>3486</v>
      </c>
      <c r="O83" s="58">
        <v>3126</v>
      </c>
      <c r="P83" s="58">
        <v>2946</v>
      </c>
      <c r="Q83" s="58">
        <v>1146</v>
      </c>
      <c r="R83" s="58">
        <v>876</v>
      </c>
      <c r="S83" s="58"/>
      <c r="T83" s="58">
        <v>516</v>
      </c>
      <c r="U83" s="58">
        <v>336</v>
      </c>
      <c r="V83" s="58">
        <v>90</v>
      </c>
      <c r="W83" s="58">
        <v>1260</v>
      </c>
      <c r="X83" s="58">
        <v>1440</v>
      </c>
      <c r="Y83" s="58">
        <v>2520</v>
      </c>
      <c r="Z83" s="58">
        <v>3216</v>
      </c>
      <c r="AA83" s="58">
        <v>2586</v>
      </c>
      <c r="AB83" s="58">
        <v>1776</v>
      </c>
      <c r="AC83" s="58">
        <v>516</v>
      </c>
      <c r="AD83" s="58">
        <v>66</v>
      </c>
      <c r="AE83" s="58">
        <v>2046</v>
      </c>
      <c r="AF83" s="58">
        <v>1686</v>
      </c>
      <c r="AG83" s="58">
        <v>1326</v>
      </c>
      <c r="AH83" s="58">
        <v>4476</v>
      </c>
      <c r="AI83" s="58">
        <v>4386</v>
      </c>
      <c r="AJ83" s="58">
        <v>3756</v>
      </c>
      <c r="AK83" s="58">
        <v>5916</v>
      </c>
      <c r="AL83" s="58">
        <v>5196</v>
      </c>
      <c r="AM83" s="58">
        <v>4836</v>
      </c>
      <c r="AN83" s="58">
        <v>4656</v>
      </c>
      <c r="AO83" s="58">
        <v>2316</v>
      </c>
      <c r="AP83" s="58">
        <v>3756</v>
      </c>
      <c r="AQ83" s="58">
        <v>5646</v>
      </c>
      <c r="AR83" s="58">
        <v>7896</v>
      </c>
      <c r="AS83" s="58">
        <v>5916</v>
      </c>
      <c r="AT83" s="58">
        <v>5466</v>
      </c>
      <c r="AU83" s="58">
        <v>6456</v>
      </c>
      <c r="AV83" s="58">
        <v>7176</v>
      </c>
      <c r="AW83" s="58">
        <v>7266</v>
      </c>
      <c r="AX83" s="58">
        <v>9516</v>
      </c>
      <c r="AY83" s="58">
        <v>9066</v>
      </c>
      <c r="AZ83" s="58">
        <v>9066</v>
      </c>
      <c r="BA83" s="58">
        <v>9246</v>
      </c>
      <c r="BB83" s="58">
        <v>7986</v>
      </c>
      <c r="BC83" s="58">
        <v>11226</v>
      </c>
      <c r="BD83" s="58">
        <v>13656</v>
      </c>
      <c r="BE83" s="58">
        <v>13656</v>
      </c>
      <c r="BF83" s="58">
        <v>13656</v>
      </c>
      <c r="BG83" s="58">
        <v>12756</v>
      </c>
      <c r="BH83" s="58">
        <v>12756</v>
      </c>
      <c r="BI83" s="58">
        <v>10326</v>
      </c>
      <c r="BJ83" s="58">
        <v>6816</v>
      </c>
      <c r="BK83" s="58">
        <v>7446</v>
      </c>
      <c r="BL83" s="58">
        <v>6186</v>
      </c>
      <c r="BM83" s="58">
        <v>5286</v>
      </c>
      <c r="BN83" s="58">
        <v>1596</v>
      </c>
      <c r="BO83" s="58">
        <v>3126</v>
      </c>
      <c r="BP83" s="58">
        <v>3576</v>
      </c>
      <c r="BQ83" s="58">
        <v>3216</v>
      </c>
      <c r="BR83" s="58">
        <v>6006</v>
      </c>
      <c r="BS83" s="58">
        <v>9246</v>
      </c>
      <c r="BT83" s="58">
        <v>8706</v>
      </c>
      <c r="BU83" s="58">
        <v>8346</v>
      </c>
      <c r="BV83" s="58">
        <v>8076</v>
      </c>
      <c r="BW83" s="58">
        <v>7266</v>
      </c>
      <c r="BX83" s="58">
        <v>6726</v>
      </c>
      <c r="BY83" s="58">
        <v>6186</v>
      </c>
      <c r="BZ83" s="58">
        <v>5466</v>
      </c>
      <c r="CA83" s="58">
        <v>7266</v>
      </c>
      <c r="CB83" s="58">
        <v>7806</v>
      </c>
      <c r="CC83" s="58">
        <v>8526</v>
      </c>
      <c r="CD83" s="58">
        <v>7176</v>
      </c>
      <c r="CE83" s="58">
        <v>7176</v>
      </c>
      <c r="CF83" s="58">
        <v>6816</v>
      </c>
      <c r="CG83" s="58">
        <v>6546</v>
      </c>
      <c r="CH83" s="58">
        <v>4746</v>
      </c>
      <c r="CI83" s="58">
        <v>2586</v>
      </c>
      <c r="CJ83" s="58">
        <v>2226</v>
      </c>
      <c r="CK83" s="58">
        <v>3756</v>
      </c>
      <c r="CL83" s="58">
        <v>1956</v>
      </c>
      <c r="CM83" s="58">
        <v>1956</v>
      </c>
      <c r="CN83" s="58">
        <v>1956</v>
      </c>
      <c r="CO83" s="58">
        <v>5015</v>
      </c>
      <c r="CP83" s="58">
        <v>4025</v>
      </c>
      <c r="CQ83" s="58">
        <v>1685</v>
      </c>
      <c r="CR83" s="58">
        <v>3665</v>
      </c>
      <c r="CS83" s="58">
        <v>8705</v>
      </c>
      <c r="CT83" s="58">
        <v>7535</v>
      </c>
      <c r="CU83" s="58">
        <v>7175</v>
      </c>
      <c r="CV83" s="58">
        <v>7085</v>
      </c>
      <c r="CW83" s="58">
        <v>6635</v>
      </c>
      <c r="CX83" s="58">
        <v>6545</v>
      </c>
      <c r="CY83" s="58">
        <v>5555</v>
      </c>
      <c r="CZ83" s="58">
        <v>5555</v>
      </c>
      <c r="DA83" s="58">
        <v>4025</v>
      </c>
      <c r="DB83" s="58">
        <v>3935</v>
      </c>
      <c r="DC83" s="58">
        <v>3215</v>
      </c>
      <c r="DD83" s="58">
        <v>7265</v>
      </c>
      <c r="DE83" s="58">
        <v>7265</v>
      </c>
      <c r="DF83" s="58">
        <v>7265</v>
      </c>
      <c r="DG83" s="58">
        <v>7265</v>
      </c>
      <c r="DH83" s="58">
        <v>4385</v>
      </c>
      <c r="DI83" s="58">
        <v>3935</v>
      </c>
      <c r="DJ83" s="58">
        <v>965</v>
      </c>
      <c r="DK83" s="107"/>
      <c r="DL83" s="107"/>
      <c r="DM83" s="107"/>
      <c r="DN83" s="107"/>
      <c r="DO83" s="107"/>
      <c r="DP83" s="107"/>
      <c r="DQ83" s="107"/>
      <c r="DR83" s="107"/>
      <c r="DS83" s="107"/>
      <c r="DT83" s="107"/>
      <c r="DU83" s="107"/>
      <c r="DV83" s="107"/>
      <c r="DW83" s="107"/>
      <c r="DX83" s="107"/>
      <c r="DY83" s="107"/>
      <c r="DZ83" s="107"/>
      <c r="EA83" s="107"/>
      <c r="EB83" s="107"/>
      <c r="EC83" s="107"/>
      <c r="ED83" s="107"/>
      <c r="EE83" s="107"/>
      <c r="EF83" s="107"/>
      <c r="EG83" s="107"/>
      <c r="EH83" s="107"/>
      <c r="EI83" s="107"/>
      <c r="EJ83" s="107"/>
      <c r="EK83" s="107"/>
      <c r="EL83" s="107"/>
      <c r="EM83" s="107"/>
      <c r="EN83" s="107"/>
      <c r="EO83" s="107"/>
      <c r="EP83" s="107"/>
      <c r="EQ83" s="107"/>
      <c r="ER83" s="107"/>
      <c r="ES83" s="107"/>
      <c r="ET83" s="107"/>
      <c r="EU83" s="107"/>
      <c r="EV83" s="107"/>
      <c r="EW83" s="107"/>
      <c r="EX83" s="107"/>
      <c r="EY83" s="107"/>
      <c r="EZ83" s="107"/>
      <c r="FA83" s="107"/>
      <c r="FB83" s="107"/>
      <c r="FC83" s="107"/>
      <c r="FD83" s="107"/>
      <c r="FE83" s="107"/>
      <c r="FF83" s="107"/>
      <c r="FG83" s="107"/>
      <c r="FH83" s="107"/>
      <c r="FI83" s="107"/>
      <c r="FJ83" s="107"/>
      <c r="FK83" s="107"/>
      <c r="FL83" s="107"/>
      <c r="FM83" s="107"/>
      <c r="FN83" s="107"/>
      <c r="FO83" s="107"/>
      <c r="FP83" s="107"/>
      <c r="FQ83" s="107"/>
      <c r="FR83" s="107"/>
      <c r="FS83" s="107"/>
      <c r="FT83" s="107"/>
    </row>
    <row r="84" spans="1:176" x14ac:dyDescent="0.25">
      <c r="A84" s="107"/>
      <c r="B84" s="107"/>
      <c r="C84" s="107"/>
      <c r="D84" s="107"/>
      <c r="E84" s="107"/>
      <c r="F84" s="107"/>
      <c r="G84" s="147" t="str">
        <f>IF(_ibpOfflineCondition_,"000000000000564803-1", _xll.EPMOlapMemberO("[PRDID].[].[000000000000564803-1]","","000000000000564803-1","","000"))</f>
        <v>000000000000564803-1</v>
      </c>
      <c r="H84" s="147" t="str">
        <f>IF(_ibpOfflineCondition_,"FGR+ FIGAROLLPLUS 5/280+40 ROT BRAAS", _xll.EPMOlapMemberO("[PRDDESCR].[].[FGR+ FIGAROLLPLUS 5/280+40 ROT BRAAS]","","FGR+ FIGAROLLPLUS 5/280+40 ROT BRAAS","","000"))</f>
        <v>FGR+ FIGAROLLPLUS 5/280+40 ROT BRAAS</v>
      </c>
      <c r="I84" s="147" t="str">
        <f>IF(_ibpOfflineCondition_,"X0", _xll.EPMOlapMemberO("[MRPTYPE].[].[X0]","","X0","","000"))</f>
        <v>X0</v>
      </c>
      <c r="J84" s="147" t="str">
        <f>IF(_ibpOfflineCondition_,"GSCRM Actual Sales and Unconstrained Demand", _xll.EPMOlapMemberO("[KEY_FIGURES].[].[ZGSCRMACTUALUNCONSDEMAND]","","GSCRM Actual Sales and Unconstrained Demand","","000"))</f>
        <v>GSCRM Actual Sales and Unconstrained Demand</v>
      </c>
      <c r="K84" s="58">
        <v>540</v>
      </c>
      <c r="L84" s="58">
        <v>360</v>
      </c>
      <c r="M84" s="58">
        <v>630</v>
      </c>
      <c r="N84" s="58"/>
      <c r="O84" s="58">
        <v>1710</v>
      </c>
      <c r="P84" s="58">
        <v>630</v>
      </c>
      <c r="Q84" s="58">
        <v>180</v>
      </c>
      <c r="R84" s="58">
        <v>270</v>
      </c>
      <c r="S84" s="58"/>
      <c r="T84" s="58">
        <v>270</v>
      </c>
      <c r="U84" s="58">
        <v>540</v>
      </c>
      <c r="V84" s="58"/>
      <c r="W84" s="58"/>
      <c r="X84" s="58"/>
      <c r="Y84" s="58"/>
      <c r="Z84" s="58">
        <v>1080</v>
      </c>
      <c r="AA84" s="58">
        <v>360</v>
      </c>
      <c r="AB84" s="58">
        <v>360</v>
      </c>
      <c r="AC84" s="58">
        <v>630</v>
      </c>
      <c r="AD84" s="58">
        <v>810</v>
      </c>
      <c r="AE84" s="58">
        <v>900</v>
      </c>
      <c r="AF84" s="58">
        <v>180</v>
      </c>
      <c r="AG84" s="58">
        <v>90</v>
      </c>
      <c r="AH84" s="58"/>
      <c r="AI84" s="58">
        <v>810</v>
      </c>
      <c r="AJ84" s="58">
        <v>630</v>
      </c>
      <c r="AK84" s="58"/>
      <c r="AL84" s="58"/>
      <c r="AM84" s="58">
        <v>180</v>
      </c>
      <c r="AN84" s="58">
        <v>360</v>
      </c>
      <c r="AO84" s="58">
        <v>90</v>
      </c>
      <c r="AP84" s="58">
        <v>360</v>
      </c>
      <c r="AQ84" s="58">
        <v>180</v>
      </c>
      <c r="AR84" s="58">
        <v>1170</v>
      </c>
      <c r="AS84" s="58">
        <v>450</v>
      </c>
      <c r="AT84" s="58">
        <v>630</v>
      </c>
      <c r="AU84" s="58"/>
      <c r="AV84" s="58">
        <v>810</v>
      </c>
      <c r="AW84" s="58">
        <v>90</v>
      </c>
      <c r="AX84" s="58">
        <v>90</v>
      </c>
      <c r="AY84" s="58">
        <v>1080</v>
      </c>
      <c r="AZ84" s="58"/>
      <c r="BA84" s="58">
        <v>180</v>
      </c>
      <c r="BB84" s="58">
        <v>540</v>
      </c>
      <c r="BC84" s="58">
        <v>540</v>
      </c>
      <c r="BD84" s="58">
        <v>90</v>
      </c>
      <c r="BE84" s="58"/>
      <c r="BF84" s="58"/>
      <c r="BG84" s="58">
        <v>90</v>
      </c>
      <c r="BH84" s="58">
        <v>720</v>
      </c>
      <c r="BI84" s="58">
        <v>1440</v>
      </c>
      <c r="BJ84" s="58">
        <v>450</v>
      </c>
      <c r="BK84" s="58">
        <v>630</v>
      </c>
      <c r="BL84" s="58">
        <v>1170</v>
      </c>
      <c r="BM84" s="58">
        <v>1080</v>
      </c>
      <c r="BN84" s="58">
        <v>990</v>
      </c>
      <c r="BO84" s="58">
        <v>1260</v>
      </c>
      <c r="BP84" s="58">
        <v>180</v>
      </c>
      <c r="BQ84" s="58">
        <v>270</v>
      </c>
      <c r="BR84" s="58">
        <v>540</v>
      </c>
      <c r="BS84" s="58">
        <v>270</v>
      </c>
      <c r="BT84" s="58">
        <v>450</v>
      </c>
      <c r="BU84" s="58">
        <v>180</v>
      </c>
      <c r="BV84" s="58">
        <v>360</v>
      </c>
      <c r="BW84" s="58">
        <v>270</v>
      </c>
      <c r="BX84" s="58">
        <v>270</v>
      </c>
      <c r="BY84" s="58">
        <v>270</v>
      </c>
      <c r="BZ84" s="58">
        <v>180</v>
      </c>
      <c r="CA84" s="58">
        <v>1980</v>
      </c>
      <c r="CB84" s="58">
        <v>630</v>
      </c>
      <c r="CC84" s="58">
        <v>810</v>
      </c>
      <c r="CD84" s="58">
        <v>540</v>
      </c>
      <c r="CE84" s="58">
        <v>450</v>
      </c>
      <c r="CF84" s="58"/>
      <c r="CG84" s="58"/>
      <c r="CH84" s="58">
        <v>540</v>
      </c>
      <c r="CI84" s="58">
        <v>720</v>
      </c>
      <c r="CJ84" s="58"/>
      <c r="CK84" s="58">
        <v>180</v>
      </c>
      <c r="CL84" s="58">
        <v>180</v>
      </c>
      <c r="CM84" s="58">
        <v>90</v>
      </c>
      <c r="CN84" s="58"/>
      <c r="CO84" s="58"/>
      <c r="CP84" s="58">
        <v>90</v>
      </c>
      <c r="CQ84" s="58">
        <v>810</v>
      </c>
      <c r="CR84" s="58"/>
      <c r="CS84" s="58">
        <v>90</v>
      </c>
      <c r="CT84" s="58">
        <v>270</v>
      </c>
      <c r="CU84" s="58"/>
      <c r="CV84" s="58"/>
      <c r="CW84" s="58"/>
      <c r="CX84" s="58"/>
      <c r="CY84" s="58">
        <v>270</v>
      </c>
      <c r="CZ84" s="58"/>
      <c r="DA84" s="58">
        <v>900</v>
      </c>
      <c r="DB84" s="58">
        <v>270</v>
      </c>
      <c r="DC84" s="58">
        <v>1080</v>
      </c>
      <c r="DD84" s="58">
        <v>450</v>
      </c>
      <c r="DE84" s="58"/>
      <c r="DF84" s="58"/>
      <c r="DG84" s="58"/>
      <c r="DH84" s="58">
        <v>1350</v>
      </c>
      <c r="DI84" s="58">
        <v>1080</v>
      </c>
      <c r="DJ84" s="58">
        <v>720</v>
      </c>
      <c r="DK84" s="107"/>
      <c r="DL84" s="107"/>
      <c r="DM84" s="107"/>
      <c r="DN84" s="107"/>
      <c r="DO84" s="107"/>
      <c r="DP84" s="107"/>
      <c r="DQ84" s="107"/>
      <c r="DR84" s="107"/>
      <c r="DS84" s="107"/>
      <c r="DT84" s="107"/>
      <c r="DU84" s="107"/>
      <c r="DV84" s="107"/>
      <c r="DW84" s="107"/>
      <c r="DX84" s="107"/>
      <c r="DY84" s="107"/>
      <c r="DZ84" s="107"/>
      <c r="EA84" s="107"/>
      <c r="EB84" s="107"/>
      <c r="EC84" s="107"/>
      <c r="ED84" s="107"/>
      <c r="EE84" s="107"/>
      <c r="EF84" s="107"/>
      <c r="EG84" s="107"/>
      <c r="EH84" s="107"/>
      <c r="EI84" s="107"/>
      <c r="EJ84" s="107"/>
      <c r="EK84" s="107"/>
      <c r="EL84" s="107"/>
      <c r="EM84" s="107"/>
      <c r="EN84" s="107"/>
      <c r="EO84" s="107"/>
      <c r="EP84" s="107"/>
      <c r="EQ84" s="107"/>
      <c r="ER84" s="107"/>
      <c r="ES84" s="107"/>
      <c r="ET84" s="107"/>
      <c r="EU84" s="107"/>
      <c r="EV84" s="107"/>
      <c r="EW84" s="107"/>
      <c r="EX84" s="107"/>
      <c r="EY84" s="107"/>
      <c r="EZ84" s="107"/>
      <c r="FA84" s="107"/>
      <c r="FB84" s="107"/>
      <c r="FC84" s="107"/>
      <c r="FD84" s="107"/>
      <c r="FE84" s="107"/>
      <c r="FF84" s="107"/>
      <c r="FG84" s="107"/>
      <c r="FH84" s="107"/>
      <c r="FI84" s="107"/>
      <c r="FJ84" s="107"/>
      <c r="FK84" s="107"/>
      <c r="FL84" s="107"/>
      <c r="FM84" s="107"/>
      <c r="FN84" s="107"/>
      <c r="FO84" s="107"/>
      <c r="FP84" s="107"/>
      <c r="FQ84" s="107"/>
      <c r="FR84" s="107"/>
      <c r="FS84" s="107"/>
      <c r="FT84" s="107"/>
    </row>
    <row r="85" spans="1:176" x14ac:dyDescent="0.25">
      <c r="A85" s="107"/>
      <c r="B85" s="107"/>
      <c r="C85" s="107"/>
      <c r="D85" s="107"/>
      <c r="E85" s="107"/>
      <c r="F85" s="107"/>
      <c r="G85" s="147" t="str">
        <f>IF(_ibpOfflineCondition_,"000000000000564803-1", _xll.EPMOlapMemberO("[PRDID].[].[000000000000564803-1]","","000000000000564803-1","","000"))</f>
        <v>000000000000564803-1</v>
      </c>
      <c r="H85" s="147" t="str">
        <f>IF(_ibpOfflineCondition_,"FGR+ FIGAROLLPLUS 5/280+40 ROT BRAAS", _xll.EPMOlapMemberO("[PRDDESCR].[].[FGR+ FIGAROLLPLUS 5/280+40 ROT BRAAS]","","FGR+ FIGAROLLPLUS 5/280+40 ROT BRAAS","","000"))</f>
        <v>FGR+ FIGAROLLPLUS 5/280+40 ROT BRAAS</v>
      </c>
      <c r="I85" s="147" t="str">
        <f>IF(_ibpOfflineCondition_,"X0", _xll.EPMOlapMemberO("[MRPTYPE].[].[X0]","","X0","","000"))</f>
        <v>X0</v>
      </c>
      <c r="J85" s="147" t="str">
        <f>IF(_ibpOfflineCondition_,"GSCRM Actuals and Future Production", _xll.EPMOlapMemberO("[KEY_FIGURES].[].[ZGSCRMACTUALSPRODUCTION]","","GSCRM Actuals and Future Production","","000"))</f>
        <v>GSCRM Actuals and Future Production</v>
      </c>
      <c r="K85" s="58">
        <v>0</v>
      </c>
      <c r="L85" s="58">
        <v>0</v>
      </c>
      <c r="M85" s="58">
        <v>2880</v>
      </c>
      <c r="N85" s="58">
        <v>0</v>
      </c>
      <c r="O85" s="58">
        <v>0</v>
      </c>
      <c r="P85" s="58">
        <v>0</v>
      </c>
      <c r="Q85" s="58">
        <v>0</v>
      </c>
      <c r="R85" s="58">
        <v>720</v>
      </c>
      <c r="S85" s="58">
        <v>0</v>
      </c>
      <c r="T85" s="58">
        <v>0</v>
      </c>
      <c r="U85" s="58">
        <v>0</v>
      </c>
      <c r="V85" s="58">
        <v>0</v>
      </c>
      <c r="W85" s="58">
        <v>0</v>
      </c>
      <c r="X85" s="58">
        <v>2160</v>
      </c>
      <c r="Y85" s="58"/>
      <c r="Z85" s="58">
        <v>0</v>
      </c>
      <c r="AA85" s="58">
        <v>0</v>
      </c>
      <c r="AB85" s="58">
        <v>2520</v>
      </c>
      <c r="AC85" s="58">
        <v>0</v>
      </c>
      <c r="AD85" s="58">
        <v>0</v>
      </c>
      <c r="AE85" s="58">
        <v>0</v>
      </c>
      <c r="AF85" s="58">
        <v>270</v>
      </c>
      <c r="AG85" s="58">
        <v>0</v>
      </c>
      <c r="AH85" s="58">
        <v>3330</v>
      </c>
      <c r="AI85" s="58">
        <v>0</v>
      </c>
      <c r="AJ85" s="58">
        <v>0</v>
      </c>
      <c r="AK85" s="58">
        <v>1800</v>
      </c>
      <c r="AL85" s="58"/>
      <c r="AM85" s="58">
        <v>0</v>
      </c>
      <c r="AN85" s="58">
        <v>0</v>
      </c>
      <c r="AO85" s="58">
        <v>0</v>
      </c>
      <c r="AP85" s="58">
        <v>0</v>
      </c>
      <c r="AQ85" s="58">
        <v>1620</v>
      </c>
      <c r="AR85" s="58">
        <v>0</v>
      </c>
      <c r="AS85" s="58">
        <v>0</v>
      </c>
      <c r="AT85" s="58">
        <v>540</v>
      </c>
      <c r="AU85" s="58"/>
      <c r="AV85" s="58">
        <v>1980</v>
      </c>
      <c r="AW85" s="58">
        <v>1440</v>
      </c>
      <c r="AX85" s="58">
        <v>1260</v>
      </c>
      <c r="AY85" s="58">
        <v>0</v>
      </c>
      <c r="AZ85" s="58"/>
      <c r="BA85" s="58">
        <v>0</v>
      </c>
      <c r="BB85" s="58">
        <v>0</v>
      </c>
      <c r="BC85" s="58">
        <v>0</v>
      </c>
      <c r="BD85" s="58">
        <v>5040</v>
      </c>
      <c r="BE85" s="58"/>
      <c r="BF85" s="58"/>
      <c r="BG85" s="58">
        <v>0</v>
      </c>
      <c r="BH85" s="58">
        <v>0</v>
      </c>
      <c r="BI85" s="58">
        <v>0</v>
      </c>
      <c r="BJ85" s="58">
        <v>0</v>
      </c>
      <c r="BK85" s="58">
        <v>360</v>
      </c>
      <c r="BL85" s="58">
        <v>0</v>
      </c>
      <c r="BM85" s="58">
        <v>0</v>
      </c>
      <c r="BN85" s="58">
        <v>2520</v>
      </c>
      <c r="BO85" s="58">
        <v>0</v>
      </c>
      <c r="BP85" s="58">
        <v>0</v>
      </c>
      <c r="BQ85" s="58">
        <v>2520</v>
      </c>
      <c r="BR85" s="58">
        <v>0</v>
      </c>
      <c r="BS85" s="58">
        <v>0</v>
      </c>
      <c r="BT85" s="58">
        <v>2520</v>
      </c>
      <c r="BU85" s="58">
        <v>0</v>
      </c>
      <c r="BV85" s="58">
        <v>0</v>
      </c>
      <c r="BW85" s="58">
        <v>0</v>
      </c>
      <c r="BX85" s="58">
        <v>0</v>
      </c>
      <c r="BY85" s="58">
        <v>0</v>
      </c>
      <c r="BZ85" s="58">
        <v>0</v>
      </c>
      <c r="CA85" s="58">
        <v>0</v>
      </c>
      <c r="CB85" s="58">
        <v>0</v>
      </c>
      <c r="CC85" s="58">
        <v>360</v>
      </c>
      <c r="CD85" s="58">
        <v>270</v>
      </c>
      <c r="CE85" s="58">
        <v>1890</v>
      </c>
      <c r="CF85" s="58"/>
      <c r="CG85" s="58"/>
      <c r="CH85" s="58">
        <v>900</v>
      </c>
      <c r="CI85" s="58">
        <v>0</v>
      </c>
      <c r="CJ85" s="58"/>
      <c r="CK85" s="58">
        <v>0</v>
      </c>
      <c r="CL85" s="58">
        <v>0</v>
      </c>
      <c r="CM85" s="58">
        <v>0</v>
      </c>
      <c r="CN85" s="58"/>
      <c r="CO85" s="58">
        <v>1710</v>
      </c>
      <c r="CP85" s="58">
        <v>0</v>
      </c>
      <c r="CQ85" s="58">
        <v>0</v>
      </c>
      <c r="CR85" s="58">
        <v>720</v>
      </c>
      <c r="CS85" s="58">
        <v>0</v>
      </c>
      <c r="CT85" s="58">
        <v>0</v>
      </c>
      <c r="CU85" s="58"/>
      <c r="CV85" s="58"/>
      <c r="CW85" s="58"/>
      <c r="CX85" s="58"/>
      <c r="CY85" s="58">
        <v>0</v>
      </c>
      <c r="CZ85" s="58"/>
      <c r="DA85" s="58">
        <v>0</v>
      </c>
      <c r="DB85" s="58">
        <v>2430</v>
      </c>
      <c r="DC85" s="58">
        <v>0</v>
      </c>
      <c r="DD85" s="58">
        <v>0</v>
      </c>
      <c r="DE85" s="58"/>
      <c r="DF85" s="58"/>
      <c r="DG85" s="58">
        <v>1350</v>
      </c>
      <c r="DH85" s="58">
        <v>0</v>
      </c>
      <c r="DI85" s="58">
        <v>0</v>
      </c>
      <c r="DJ85" s="58">
        <v>0</v>
      </c>
      <c r="DK85" s="107"/>
      <c r="DL85" s="107"/>
      <c r="DM85" s="107"/>
      <c r="DN85" s="107"/>
      <c r="DO85" s="107"/>
      <c r="DP85" s="107"/>
      <c r="DQ85" s="107"/>
      <c r="DR85" s="107"/>
      <c r="DS85" s="107"/>
      <c r="DT85" s="107"/>
      <c r="DU85" s="107"/>
      <c r="DV85" s="107"/>
      <c r="DW85" s="107"/>
      <c r="DX85" s="107"/>
      <c r="DY85" s="107"/>
      <c r="DZ85" s="107"/>
      <c r="EA85" s="107"/>
      <c r="EB85" s="107"/>
      <c r="EC85" s="107"/>
      <c r="ED85" s="107"/>
      <c r="EE85" s="107"/>
      <c r="EF85" s="107"/>
      <c r="EG85" s="107"/>
      <c r="EH85" s="107"/>
      <c r="EI85" s="107"/>
      <c r="EJ85" s="107"/>
      <c r="EK85" s="107"/>
      <c r="EL85" s="107"/>
      <c r="EM85" s="107"/>
      <c r="EN85" s="107"/>
      <c r="EO85" s="107"/>
      <c r="EP85" s="107"/>
      <c r="EQ85" s="107"/>
      <c r="ER85" s="107"/>
      <c r="ES85" s="107"/>
      <c r="ET85" s="107"/>
      <c r="EU85" s="107"/>
      <c r="EV85" s="107"/>
      <c r="EW85" s="107"/>
      <c r="EX85" s="107"/>
      <c r="EY85" s="107"/>
      <c r="EZ85" s="107"/>
      <c r="FA85" s="107"/>
      <c r="FB85" s="107"/>
      <c r="FC85" s="107"/>
      <c r="FD85" s="107"/>
      <c r="FE85" s="107"/>
      <c r="FF85" s="107"/>
      <c r="FG85" s="107"/>
      <c r="FH85" s="107"/>
      <c r="FI85" s="107"/>
      <c r="FJ85" s="107"/>
      <c r="FK85" s="107"/>
      <c r="FL85" s="107"/>
      <c r="FM85" s="107"/>
      <c r="FN85" s="107"/>
      <c r="FO85" s="107"/>
      <c r="FP85" s="107"/>
      <c r="FQ85" s="107"/>
      <c r="FR85" s="107"/>
      <c r="FS85" s="107"/>
      <c r="FT85" s="107"/>
    </row>
    <row r="86" spans="1:176" x14ac:dyDescent="0.25">
      <c r="A86" s="107"/>
      <c r="B86" s="107"/>
      <c r="C86" s="107"/>
      <c r="D86" s="107"/>
      <c r="E86" s="107"/>
      <c r="F86" s="107"/>
      <c r="G86" s="147" t="str">
        <f>IF(_ibpOfflineCondition_,"000000000000564803-1", _xll.EPMOlapMemberO("[PRDID].[].[000000000000564803-1]","","000000000000564803-1","","000"))</f>
        <v>000000000000564803-1</v>
      </c>
      <c r="H86" s="147" t="str">
        <f>IF(_ibpOfflineCondition_,"FGR+ FIGAROLLPLUS 5/280+40 ROT BRAAS", _xll.EPMOlapMemberO("[PRDDESCR].[].[FGR+ FIGAROLLPLUS 5/280+40 ROT BRAAS]","","FGR+ FIGAROLLPLUS 5/280+40 ROT BRAAS","","000"))</f>
        <v>FGR+ FIGAROLLPLUS 5/280+40 ROT BRAAS</v>
      </c>
      <c r="I86" s="147" t="str">
        <f>IF(_ibpOfflineCondition_,"X0", _xll.EPMOlapMemberO("[MRPTYPE].[].[X0]","","X0","","000"))</f>
        <v>X0</v>
      </c>
      <c r="J86" s="147" t="str">
        <f>IF(_ibpOfflineCondition_,"GSCRM Projected Stock (Unconstrained Demand)", _xll.EPMOlapMemberO("[KEY_FIGURES].[].[ZGSCRMUNCONSINVENTORY]","","GSCRM Projected Stock (Unconstrained Demand)","","000"))</f>
        <v>GSCRM Projected Stock (Unconstrained Demand)</v>
      </c>
      <c r="K86" s="58">
        <v>1064</v>
      </c>
      <c r="L86" s="58">
        <v>704</v>
      </c>
      <c r="M86" s="58">
        <v>2954</v>
      </c>
      <c r="N86" s="58">
        <v>2954</v>
      </c>
      <c r="O86" s="58">
        <v>1244</v>
      </c>
      <c r="P86" s="58">
        <v>434</v>
      </c>
      <c r="Q86" s="58">
        <v>434</v>
      </c>
      <c r="R86" s="58">
        <v>884</v>
      </c>
      <c r="S86" s="58"/>
      <c r="T86" s="58">
        <v>614</v>
      </c>
      <c r="U86" s="58">
        <v>74</v>
      </c>
      <c r="V86" s="58">
        <v>74</v>
      </c>
      <c r="W86" s="58">
        <v>74</v>
      </c>
      <c r="X86" s="58">
        <v>2234</v>
      </c>
      <c r="Y86" s="58">
        <v>2234</v>
      </c>
      <c r="Z86" s="58">
        <v>1154</v>
      </c>
      <c r="AA86" s="58">
        <v>794</v>
      </c>
      <c r="AB86" s="58">
        <v>2954</v>
      </c>
      <c r="AC86" s="58">
        <v>2594</v>
      </c>
      <c r="AD86" s="58">
        <v>2234</v>
      </c>
      <c r="AE86" s="58">
        <v>1334</v>
      </c>
      <c r="AF86" s="58">
        <v>1424</v>
      </c>
      <c r="AG86" s="58">
        <v>1784</v>
      </c>
      <c r="AH86" s="58">
        <v>4664</v>
      </c>
      <c r="AI86" s="58">
        <v>3314</v>
      </c>
      <c r="AJ86" s="58">
        <v>3224</v>
      </c>
      <c r="AK86" s="58">
        <v>5024</v>
      </c>
      <c r="AL86" s="58">
        <v>5024</v>
      </c>
      <c r="AM86" s="58">
        <v>4844</v>
      </c>
      <c r="AN86" s="58">
        <v>4484</v>
      </c>
      <c r="AO86" s="58">
        <v>4394</v>
      </c>
      <c r="AP86" s="58">
        <v>4034</v>
      </c>
      <c r="AQ86" s="58">
        <v>5474</v>
      </c>
      <c r="AR86" s="58">
        <v>4304</v>
      </c>
      <c r="AS86" s="58">
        <v>3854</v>
      </c>
      <c r="AT86" s="58">
        <v>3764</v>
      </c>
      <c r="AU86" s="58">
        <v>3764</v>
      </c>
      <c r="AV86" s="58">
        <v>4934</v>
      </c>
      <c r="AW86" s="58">
        <v>6284</v>
      </c>
      <c r="AX86" s="58">
        <v>7454</v>
      </c>
      <c r="AY86" s="58">
        <v>6374</v>
      </c>
      <c r="AZ86" s="58">
        <v>6374</v>
      </c>
      <c r="BA86" s="58">
        <v>6194</v>
      </c>
      <c r="BB86" s="58">
        <v>5654</v>
      </c>
      <c r="BC86" s="58">
        <v>5114</v>
      </c>
      <c r="BD86" s="58">
        <v>7544</v>
      </c>
      <c r="BE86" s="58">
        <v>7544</v>
      </c>
      <c r="BF86" s="58">
        <v>7544</v>
      </c>
      <c r="BG86" s="58">
        <v>7454</v>
      </c>
      <c r="BH86" s="58">
        <v>6554</v>
      </c>
      <c r="BI86" s="58">
        <v>5294</v>
      </c>
      <c r="BJ86" s="58">
        <v>4844</v>
      </c>
      <c r="BK86" s="58">
        <v>4214</v>
      </c>
      <c r="BL86" s="58">
        <v>3404</v>
      </c>
      <c r="BM86" s="58">
        <v>2324</v>
      </c>
      <c r="BN86" s="58">
        <v>3224</v>
      </c>
      <c r="BO86" s="58">
        <v>2594</v>
      </c>
      <c r="BP86" s="58">
        <v>2414</v>
      </c>
      <c r="BQ86" s="58">
        <v>4664</v>
      </c>
      <c r="BR86" s="58">
        <v>4034</v>
      </c>
      <c r="BS86" s="58">
        <v>4934</v>
      </c>
      <c r="BT86" s="58">
        <v>5924</v>
      </c>
      <c r="BU86" s="58">
        <v>5744</v>
      </c>
      <c r="BV86" s="58">
        <v>5384</v>
      </c>
      <c r="BW86" s="58">
        <v>5114</v>
      </c>
      <c r="BX86" s="58">
        <v>4844</v>
      </c>
      <c r="BY86" s="58">
        <v>4574</v>
      </c>
      <c r="BZ86" s="58">
        <v>4394</v>
      </c>
      <c r="CA86" s="58">
        <v>2414</v>
      </c>
      <c r="CB86" s="58">
        <v>1784</v>
      </c>
      <c r="CC86" s="58">
        <v>1334</v>
      </c>
      <c r="CD86" s="58">
        <v>2054</v>
      </c>
      <c r="CE86" s="58">
        <v>2504</v>
      </c>
      <c r="CF86" s="58">
        <v>2504</v>
      </c>
      <c r="CG86" s="58">
        <v>2504</v>
      </c>
      <c r="CH86" s="58">
        <v>2864</v>
      </c>
      <c r="CI86" s="58">
        <v>2144</v>
      </c>
      <c r="CJ86" s="58">
        <v>2144</v>
      </c>
      <c r="CK86" s="58">
        <v>1964</v>
      </c>
      <c r="CL86" s="58">
        <v>1784</v>
      </c>
      <c r="CM86" s="58">
        <v>1694</v>
      </c>
      <c r="CN86" s="58">
        <v>1694</v>
      </c>
      <c r="CO86" s="58">
        <v>3314</v>
      </c>
      <c r="CP86" s="58">
        <v>3314</v>
      </c>
      <c r="CQ86" s="58">
        <v>2504</v>
      </c>
      <c r="CR86" s="58">
        <v>3224</v>
      </c>
      <c r="CS86" s="58">
        <v>3134</v>
      </c>
      <c r="CT86" s="58">
        <v>2864</v>
      </c>
      <c r="CU86" s="58">
        <v>2864</v>
      </c>
      <c r="CV86" s="58">
        <v>2864</v>
      </c>
      <c r="CW86" s="58">
        <v>2864</v>
      </c>
      <c r="CX86" s="58">
        <v>2864</v>
      </c>
      <c r="CY86" s="58">
        <v>2594</v>
      </c>
      <c r="CZ86" s="58">
        <v>2594</v>
      </c>
      <c r="DA86" s="58">
        <v>1694</v>
      </c>
      <c r="DB86" s="58">
        <v>3854</v>
      </c>
      <c r="DC86" s="58">
        <v>2684</v>
      </c>
      <c r="DD86" s="58">
        <v>2324</v>
      </c>
      <c r="DE86" s="58">
        <v>2324</v>
      </c>
      <c r="DF86" s="58">
        <v>2324</v>
      </c>
      <c r="DG86" s="58">
        <v>3674</v>
      </c>
      <c r="DH86" s="58">
        <v>2324</v>
      </c>
      <c r="DI86" s="58">
        <v>1244</v>
      </c>
      <c r="DJ86" s="58">
        <v>74</v>
      </c>
      <c r="DK86" s="107"/>
      <c r="DL86" s="107"/>
      <c r="DM86" s="107"/>
      <c r="DN86" s="107"/>
      <c r="DO86" s="107"/>
      <c r="DP86" s="107"/>
      <c r="DQ86" s="107"/>
      <c r="DR86" s="107"/>
      <c r="DS86" s="107"/>
      <c r="DT86" s="107"/>
      <c r="DU86" s="107"/>
      <c r="DV86" s="107"/>
      <c r="DW86" s="107"/>
      <c r="DX86" s="107"/>
      <c r="DY86" s="107"/>
      <c r="DZ86" s="107"/>
      <c r="EA86" s="107"/>
      <c r="EB86" s="107"/>
      <c r="EC86" s="107"/>
      <c r="ED86" s="107"/>
      <c r="EE86" s="107"/>
      <c r="EF86" s="107"/>
      <c r="EG86" s="107"/>
      <c r="EH86" s="107"/>
      <c r="EI86" s="107"/>
      <c r="EJ86" s="107"/>
      <c r="EK86" s="107"/>
      <c r="EL86" s="107"/>
      <c r="EM86" s="107"/>
      <c r="EN86" s="107"/>
      <c r="EO86" s="107"/>
      <c r="EP86" s="107"/>
      <c r="EQ86" s="107"/>
      <c r="ER86" s="107"/>
      <c r="ES86" s="107"/>
      <c r="ET86" s="107"/>
      <c r="EU86" s="107"/>
      <c r="EV86" s="107"/>
      <c r="EW86" s="107"/>
      <c r="EX86" s="107"/>
      <c r="EY86" s="107"/>
      <c r="EZ86" s="107"/>
      <c r="FA86" s="107"/>
      <c r="FB86" s="107"/>
      <c r="FC86" s="107"/>
      <c r="FD86" s="107"/>
      <c r="FE86" s="107"/>
      <c r="FF86" s="107"/>
      <c r="FG86" s="107"/>
      <c r="FH86" s="107"/>
      <c r="FI86" s="107"/>
      <c r="FJ86" s="107"/>
      <c r="FK86" s="107"/>
      <c r="FL86" s="107"/>
      <c r="FM86" s="107"/>
      <c r="FN86" s="107"/>
      <c r="FO86" s="107"/>
      <c r="FP86" s="107"/>
      <c r="FQ86" s="107"/>
      <c r="FR86" s="107"/>
      <c r="FS86" s="107"/>
      <c r="FT86" s="107"/>
    </row>
    <row r="87" spans="1:176" x14ac:dyDescent="0.25">
      <c r="A87" s="107"/>
      <c r="B87" s="107"/>
      <c r="C87" s="107"/>
      <c r="D87" s="107"/>
      <c r="E87" s="107"/>
      <c r="F87" s="107"/>
      <c r="G87" s="147" t="str">
        <f>IF(_ibpOfflineCondition_,"000000000000564815-1", _xll.EPMOlapMemberO("[PRDID].[].[000000000000564815-1]","","000000000000564815-1","","000"))</f>
        <v>000000000000564815-1</v>
      </c>
      <c r="H87" s="147" t="str">
        <f>IF(_ibpOfflineCondition_,"FGR+ FIGAROLLPLUS 5/280+40 TIEFROT BRAAS", _xll.EPMOlapMemberO("[PRDDESCR].[].[FGR+ FIGAROLLPLUS 5/280+40 TIEFROT BRAAS]","","FGR+ FIGAROLLPLUS 5/280+40 TIEFROT BRAAS","","000"))</f>
        <v>FGR+ FIGAROLLPLUS 5/280+40 TIEFROT BRAAS</v>
      </c>
      <c r="I87" s="147" t="str">
        <f>IF(_ibpOfflineCondition_,"X0", _xll.EPMOlapMemberO("[MRPTYPE].[].[X0]","","X0","","000"))</f>
        <v>X0</v>
      </c>
      <c r="J87" s="147" t="str">
        <f>IF(_ibpOfflineCondition_,"GSCRM Actual Sales and Unconstrained Demand", _xll.EPMOlapMemberO("[KEY_FIGURES].[].[ZGSCRMACTUALUNCONSDEMAND]","","GSCRM Actual Sales and Unconstrained Demand","","000"))</f>
        <v>GSCRM Actual Sales and Unconstrained Demand</v>
      </c>
      <c r="K87" s="58">
        <v>180</v>
      </c>
      <c r="L87" s="58"/>
      <c r="M87" s="58">
        <v>270</v>
      </c>
      <c r="N87" s="58">
        <v>360</v>
      </c>
      <c r="O87" s="58"/>
      <c r="P87" s="58"/>
      <c r="Q87" s="58"/>
      <c r="R87" s="58"/>
      <c r="S87" s="58">
        <v>90</v>
      </c>
      <c r="T87" s="58"/>
      <c r="U87" s="58"/>
      <c r="V87" s="58">
        <v>90</v>
      </c>
      <c r="W87" s="58"/>
      <c r="X87" s="58"/>
      <c r="Y87" s="58">
        <v>90</v>
      </c>
      <c r="Z87" s="58">
        <v>90</v>
      </c>
      <c r="AA87" s="58"/>
      <c r="AB87" s="58"/>
      <c r="AC87" s="58"/>
      <c r="AD87" s="58">
        <v>180</v>
      </c>
      <c r="AE87" s="58"/>
      <c r="AF87" s="58"/>
      <c r="AG87" s="58">
        <v>90</v>
      </c>
      <c r="AH87" s="58"/>
      <c r="AI87" s="58">
        <v>90</v>
      </c>
      <c r="AJ87" s="58">
        <v>90</v>
      </c>
      <c r="AK87" s="58"/>
      <c r="AL87" s="58"/>
      <c r="AM87" s="58">
        <v>90</v>
      </c>
      <c r="AN87" s="58">
        <v>90</v>
      </c>
      <c r="AO87" s="58">
        <v>90</v>
      </c>
      <c r="AP87" s="58"/>
      <c r="AQ87" s="58"/>
      <c r="AR87" s="58"/>
      <c r="AS87" s="58"/>
      <c r="AT87" s="58"/>
      <c r="AU87" s="58">
        <v>90</v>
      </c>
      <c r="AV87" s="58">
        <v>180</v>
      </c>
      <c r="AW87" s="58"/>
      <c r="AX87" s="58">
        <v>90</v>
      </c>
      <c r="AY87" s="58">
        <v>90</v>
      </c>
      <c r="AZ87" s="58"/>
      <c r="BA87" s="58"/>
      <c r="BB87" s="58"/>
      <c r="BC87" s="58">
        <v>180</v>
      </c>
      <c r="BD87" s="58"/>
      <c r="BE87" s="58"/>
      <c r="BF87" s="58"/>
      <c r="BG87" s="58"/>
      <c r="BH87" s="58">
        <v>90</v>
      </c>
      <c r="BI87" s="58"/>
      <c r="BJ87" s="58">
        <v>450</v>
      </c>
      <c r="BK87" s="58"/>
      <c r="BL87" s="58">
        <v>360</v>
      </c>
      <c r="BM87" s="58"/>
      <c r="BN87" s="58">
        <v>90</v>
      </c>
      <c r="BO87" s="58"/>
      <c r="BP87" s="58">
        <v>90</v>
      </c>
      <c r="BQ87" s="58">
        <v>90</v>
      </c>
      <c r="BR87" s="58"/>
      <c r="BS87" s="58"/>
      <c r="BT87" s="58"/>
      <c r="BU87" s="58"/>
      <c r="BV87" s="58"/>
      <c r="BW87" s="58"/>
      <c r="BX87" s="58"/>
      <c r="BY87" s="58"/>
      <c r="BZ87" s="58">
        <v>90</v>
      </c>
      <c r="CA87" s="58">
        <v>90</v>
      </c>
      <c r="CB87" s="58"/>
      <c r="CC87" s="58"/>
      <c r="CD87" s="58"/>
      <c r="CE87" s="58"/>
      <c r="CF87" s="58"/>
      <c r="CG87" s="58"/>
      <c r="CH87" s="58"/>
      <c r="CI87" s="58">
        <v>180</v>
      </c>
      <c r="CJ87" s="58"/>
      <c r="CK87" s="58"/>
      <c r="CL87" s="58">
        <v>90</v>
      </c>
      <c r="CM87" s="58"/>
      <c r="CN87" s="58"/>
      <c r="CO87" s="58"/>
      <c r="CP87" s="58">
        <v>90</v>
      </c>
      <c r="CQ87" s="58">
        <v>90</v>
      </c>
      <c r="CR87" s="58"/>
      <c r="CS87" s="58"/>
      <c r="CT87" s="58"/>
      <c r="CU87" s="58"/>
      <c r="CV87" s="58"/>
      <c r="CW87" s="58"/>
      <c r="CX87" s="58">
        <v>90</v>
      </c>
      <c r="CY87" s="58"/>
      <c r="CZ87" s="58"/>
      <c r="DA87" s="58"/>
      <c r="DB87" s="58"/>
      <c r="DC87" s="58">
        <v>180</v>
      </c>
      <c r="DD87" s="58"/>
      <c r="DE87" s="58"/>
      <c r="DF87" s="58"/>
      <c r="DG87" s="58"/>
      <c r="DH87" s="58">
        <v>180</v>
      </c>
      <c r="DI87" s="58"/>
      <c r="DJ87" s="58"/>
      <c r="DK87" s="107"/>
      <c r="DL87" s="107"/>
      <c r="DM87" s="107"/>
      <c r="DN87" s="107"/>
      <c r="DO87" s="107"/>
      <c r="DP87" s="107"/>
      <c r="DQ87" s="107"/>
      <c r="DR87" s="107"/>
      <c r="DS87" s="107"/>
      <c r="DT87" s="107"/>
      <c r="DU87" s="107"/>
      <c r="DV87" s="107"/>
      <c r="DW87" s="107"/>
      <c r="DX87" s="107"/>
      <c r="DY87" s="107"/>
      <c r="DZ87" s="107"/>
      <c r="EA87" s="107"/>
      <c r="EB87" s="107"/>
      <c r="EC87" s="107"/>
      <c r="ED87" s="107"/>
      <c r="EE87" s="107"/>
      <c r="EF87" s="107"/>
      <c r="EG87" s="107"/>
      <c r="EH87" s="107"/>
      <c r="EI87" s="107"/>
      <c r="EJ87" s="107"/>
      <c r="EK87" s="107"/>
      <c r="EL87" s="107"/>
      <c r="EM87" s="107"/>
      <c r="EN87" s="107"/>
      <c r="EO87" s="107"/>
      <c r="EP87" s="107"/>
      <c r="EQ87" s="107"/>
      <c r="ER87" s="107"/>
      <c r="ES87" s="107"/>
      <c r="ET87" s="107"/>
      <c r="EU87" s="107"/>
      <c r="EV87" s="107"/>
      <c r="EW87" s="107"/>
      <c r="EX87" s="107"/>
      <c r="EY87" s="107"/>
      <c r="EZ87" s="107"/>
      <c r="FA87" s="107"/>
      <c r="FB87" s="107"/>
      <c r="FC87" s="107"/>
      <c r="FD87" s="107"/>
      <c r="FE87" s="107"/>
      <c r="FF87" s="107"/>
      <c r="FG87" s="107"/>
      <c r="FH87" s="107"/>
      <c r="FI87" s="107"/>
      <c r="FJ87" s="107"/>
      <c r="FK87" s="107"/>
      <c r="FL87" s="107"/>
      <c r="FM87" s="107"/>
      <c r="FN87" s="107"/>
      <c r="FO87" s="107"/>
      <c r="FP87" s="107"/>
      <c r="FQ87" s="107"/>
      <c r="FR87" s="107"/>
      <c r="FS87" s="107"/>
      <c r="FT87" s="107"/>
    </row>
    <row r="88" spans="1:176" x14ac:dyDescent="0.25">
      <c r="A88" s="107"/>
      <c r="B88" s="107"/>
      <c r="C88" s="107"/>
      <c r="D88" s="107"/>
      <c r="E88" s="107"/>
      <c r="F88" s="107"/>
      <c r="G88" s="147" t="str">
        <f>IF(_ibpOfflineCondition_,"000000000000564815-1", _xll.EPMOlapMemberO("[PRDID].[].[000000000000564815-1]","","000000000000564815-1","","000"))</f>
        <v>000000000000564815-1</v>
      </c>
      <c r="H88" s="147" t="str">
        <f>IF(_ibpOfflineCondition_,"FGR+ FIGAROLLPLUS 5/280+40 TIEFROT BRAAS", _xll.EPMOlapMemberO("[PRDDESCR].[].[FGR+ FIGAROLLPLUS 5/280+40 TIEFROT BRAAS]","","FGR+ FIGAROLLPLUS 5/280+40 TIEFROT BRAAS","","000"))</f>
        <v>FGR+ FIGAROLLPLUS 5/280+40 TIEFROT BRAAS</v>
      </c>
      <c r="I88" s="147" t="str">
        <f>IF(_ibpOfflineCondition_,"X0", _xll.EPMOlapMemberO("[MRPTYPE].[].[X0]","","X0","","000"))</f>
        <v>X0</v>
      </c>
      <c r="J88" s="147" t="str">
        <f>IF(_ibpOfflineCondition_,"GSCRM Actuals and Future Production", _xll.EPMOlapMemberO("[KEY_FIGURES].[].[ZGSCRMACTUALSPRODUCTION]","","GSCRM Actuals and Future Production","","000"))</f>
        <v>GSCRM Actuals and Future Production</v>
      </c>
      <c r="K88" s="58">
        <v>0</v>
      </c>
      <c r="L88" s="58">
        <v>0</v>
      </c>
      <c r="M88" s="58">
        <v>0</v>
      </c>
      <c r="N88" s="58">
        <v>0</v>
      </c>
      <c r="O88" s="58"/>
      <c r="P88" s="58"/>
      <c r="Q88" s="58"/>
      <c r="R88" s="58">
        <v>540</v>
      </c>
      <c r="S88" s="58">
        <v>0</v>
      </c>
      <c r="T88" s="58">
        <v>0</v>
      </c>
      <c r="U88" s="58">
        <v>0</v>
      </c>
      <c r="V88" s="58">
        <v>0</v>
      </c>
      <c r="W88" s="58">
        <v>0</v>
      </c>
      <c r="X88" s="58"/>
      <c r="Y88" s="58">
        <v>0</v>
      </c>
      <c r="Z88" s="58">
        <v>0</v>
      </c>
      <c r="AA88" s="58"/>
      <c r="AB88" s="58"/>
      <c r="AC88" s="58"/>
      <c r="AD88" s="58">
        <v>0</v>
      </c>
      <c r="AE88" s="58"/>
      <c r="AF88" s="58"/>
      <c r="AG88" s="58">
        <v>0</v>
      </c>
      <c r="AH88" s="58">
        <v>360</v>
      </c>
      <c r="AI88" s="58">
        <v>0</v>
      </c>
      <c r="AJ88" s="58">
        <v>0</v>
      </c>
      <c r="AK88" s="58">
        <v>360</v>
      </c>
      <c r="AL88" s="58"/>
      <c r="AM88" s="58">
        <v>0</v>
      </c>
      <c r="AN88" s="58">
        <v>0</v>
      </c>
      <c r="AO88" s="58">
        <v>0</v>
      </c>
      <c r="AP88" s="58"/>
      <c r="AQ88" s="58">
        <v>360</v>
      </c>
      <c r="AR88" s="58"/>
      <c r="AS88" s="58"/>
      <c r="AT88" s="58">
        <v>360</v>
      </c>
      <c r="AU88" s="58">
        <v>0</v>
      </c>
      <c r="AV88" s="58">
        <v>0</v>
      </c>
      <c r="AW88" s="58"/>
      <c r="AX88" s="58">
        <v>180</v>
      </c>
      <c r="AY88" s="58">
        <v>0</v>
      </c>
      <c r="AZ88" s="58"/>
      <c r="BA88" s="58"/>
      <c r="BB88" s="58"/>
      <c r="BC88" s="58">
        <v>0</v>
      </c>
      <c r="BD88" s="58">
        <v>1080</v>
      </c>
      <c r="BE88" s="58"/>
      <c r="BF88" s="58"/>
      <c r="BG88" s="58"/>
      <c r="BH88" s="58">
        <v>0</v>
      </c>
      <c r="BI88" s="58"/>
      <c r="BJ88" s="58">
        <v>0</v>
      </c>
      <c r="BK88" s="58"/>
      <c r="BL88" s="58">
        <v>0</v>
      </c>
      <c r="BM88" s="58"/>
      <c r="BN88" s="58">
        <v>0</v>
      </c>
      <c r="BO88" s="58"/>
      <c r="BP88" s="58">
        <v>0</v>
      </c>
      <c r="BQ88" s="58">
        <v>360</v>
      </c>
      <c r="BR88" s="58"/>
      <c r="BS88" s="58">
        <v>360</v>
      </c>
      <c r="BT88" s="58"/>
      <c r="BU88" s="58"/>
      <c r="BV88" s="58"/>
      <c r="BW88" s="58"/>
      <c r="BX88" s="58"/>
      <c r="BY88" s="58"/>
      <c r="BZ88" s="58">
        <v>0</v>
      </c>
      <c r="CA88" s="58">
        <v>0</v>
      </c>
      <c r="CB88" s="58"/>
      <c r="CC88" s="58"/>
      <c r="CD88" s="58"/>
      <c r="CE88" s="58"/>
      <c r="CF88" s="58"/>
      <c r="CG88" s="58"/>
      <c r="CH88" s="58"/>
      <c r="CI88" s="58">
        <v>0</v>
      </c>
      <c r="CJ88" s="58"/>
      <c r="CK88" s="58"/>
      <c r="CL88" s="58">
        <v>0</v>
      </c>
      <c r="CM88" s="58"/>
      <c r="CN88" s="58"/>
      <c r="CO88" s="58">
        <v>450</v>
      </c>
      <c r="CP88" s="58">
        <v>0</v>
      </c>
      <c r="CQ88" s="58">
        <v>0</v>
      </c>
      <c r="CR88" s="58"/>
      <c r="CS88" s="58"/>
      <c r="CT88" s="58"/>
      <c r="CU88" s="58"/>
      <c r="CV88" s="58"/>
      <c r="CW88" s="58"/>
      <c r="CX88" s="58">
        <v>0</v>
      </c>
      <c r="CY88" s="58"/>
      <c r="CZ88" s="58"/>
      <c r="DA88" s="58"/>
      <c r="DB88" s="58"/>
      <c r="DC88" s="58">
        <v>0</v>
      </c>
      <c r="DD88" s="58"/>
      <c r="DE88" s="58"/>
      <c r="DF88" s="58"/>
      <c r="DG88" s="58"/>
      <c r="DH88" s="58">
        <v>0</v>
      </c>
      <c r="DI88" s="58"/>
      <c r="DJ88" s="58"/>
      <c r="DK88" s="107"/>
      <c r="DL88" s="107"/>
      <c r="DM88" s="107"/>
      <c r="DN88" s="107"/>
      <c r="DO88" s="107"/>
      <c r="DP88" s="107"/>
      <c r="DQ88" s="107"/>
      <c r="DR88" s="107"/>
      <c r="DS88" s="107"/>
      <c r="DT88" s="107"/>
      <c r="DU88" s="107"/>
      <c r="DV88" s="107"/>
      <c r="DW88" s="107"/>
      <c r="DX88" s="107"/>
      <c r="DY88" s="107"/>
      <c r="DZ88" s="107"/>
      <c r="EA88" s="107"/>
      <c r="EB88" s="107"/>
      <c r="EC88" s="107"/>
      <c r="ED88" s="107"/>
      <c r="EE88" s="107"/>
      <c r="EF88" s="107"/>
      <c r="EG88" s="107"/>
      <c r="EH88" s="107"/>
      <c r="EI88" s="107"/>
      <c r="EJ88" s="107"/>
      <c r="EK88" s="107"/>
      <c r="EL88" s="107"/>
      <c r="EM88" s="107"/>
      <c r="EN88" s="107"/>
      <c r="EO88" s="107"/>
      <c r="EP88" s="107"/>
      <c r="EQ88" s="107"/>
      <c r="ER88" s="107"/>
      <c r="ES88" s="107"/>
      <c r="ET88" s="107"/>
      <c r="EU88" s="107"/>
      <c r="EV88" s="107"/>
      <c r="EW88" s="107"/>
      <c r="EX88" s="107"/>
      <c r="EY88" s="107"/>
      <c r="EZ88" s="107"/>
      <c r="FA88" s="107"/>
      <c r="FB88" s="107"/>
      <c r="FC88" s="107"/>
      <c r="FD88" s="107"/>
      <c r="FE88" s="107"/>
      <c r="FF88" s="107"/>
      <c r="FG88" s="107"/>
      <c r="FH88" s="107"/>
      <c r="FI88" s="107"/>
      <c r="FJ88" s="107"/>
      <c r="FK88" s="107"/>
      <c r="FL88" s="107"/>
      <c r="FM88" s="107"/>
      <c r="FN88" s="107"/>
      <c r="FO88" s="107"/>
      <c r="FP88" s="107"/>
      <c r="FQ88" s="107"/>
      <c r="FR88" s="107"/>
      <c r="FS88" s="107"/>
      <c r="FT88" s="107"/>
    </row>
    <row r="89" spans="1:176" x14ac:dyDescent="0.25">
      <c r="A89" s="107"/>
      <c r="B89" s="107"/>
      <c r="C89" s="107"/>
      <c r="D89" s="107"/>
      <c r="E89" s="107"/>
      <c r="F89" s="107"/>
      <c r="G89" s="147" t="str">
        <f>IF(_ibpOfflineCondition_,"000000000000564815-1", _xll.EPMOlapMemberO("[PRDID].[].[000000000000564815-1]","","000000000000564815-1","","000"))</f>
        <v>000000000000564815-1</v>
      </c>
      <c r="H89" s="147" t="str">
        <f>IF(_ibpOfflineCondition_,"FGR+ FIGAROLLPLUS 5/280+40 TIEFROT BRAAS", _xll.EPMOlapMemberO("[PRDDESCR].[].[FGR+ FIGAROLLPLUS 5/280+40 TIEFROT BRAAS]","","FGR+ FIGAROLLPLUS 5/280+40 TIEFROT BRAAS","","000"))</f>
        <v>FGR+ FIGAROLLPLUS 5/280+40 TIEFROT BRAAS</v>
      </c>
      <c r="I89" s="147" t="str">
        <f>IF(_ibpOfflineCondition_,"X0", _xll.EPMOlapMemberO("[MRPTYPE].[].[X0]","","X0","","000"))</f>
        <v>X0</v>
      </c>
      <c r="J89" s="147" t="str">
        <f>IF(_ibpOfflineCondition_,"GSCRM Projected Stock (Unconstrained Demand)", _xll.EPMOlapMemberO("[KEY_FIGURES].[].[ZGSCRMUNCONSINVENTORY]","","GSCRM Projected Stock (Unconstrained Demand)","","000"))</f>
        <v>GSCRM Projected Stock (Unconstrained Demand)</v>
      </c>
      <c r="K89" s="58">
        <v>720</v>
      </c>
      <c r="L89" s="58">
        <v>720</v>
      </c>
      <c r="M89" s="58">
        <v>450</v>
      </c>
      <c r="N89" s="58">
        <v>90</v>
      </c>
      <c r="O89" s="58">
        <v>90</v>
      </c>
      <c r="P89" s="58">
        <v>90</v>
      </c>
      <c r="Q89" s="58">
        <v>90</v>
      </c>
      <c r="R89" s="58">
        <v>630</v>
      </c>
      <c r="S89" s="58"/>
      <c r="T89" s="58">
        <v>540</v>
      </c>
      <c r="U89" s="58">
        <v>540</v>
      </c>
      <c r="V89" s="58">
        <v>450</v>
      </c>
      <c r="W89" s="58">
        <v>450</v>
      </c>
      <c r="X89" s="58">
        <v>450</v>
      </c>
      <c r="Y89" s="58">
        <v>360</v>
      </c>
      <c r="Z89" s="58">
        <v>270</v>
      </c>
      <c r="AA89" s="58">
        <v>270</v>
      </c>
      <c r="AB89" s="58">
        <v>270</v>
      </c>
      <c r="AC89" s="58">
        <v>270</v>
      </c>
      <c r="AD89" s="58">
        <v>180</v>
      </c>
      <c r="AE89" s="58">
        <v>180</v>
      </c>
      <c r="AF89" s="58">
        <v>180</v>
      </c>
      <c r="AG89" s="58">
        <v>90</v>
      </c>
      <c r="AH89" s="58">
        <v>450</v>
      </c>
      <c r="AI89" s="58">
        <v>360</v>
      </c>
      <c r="AJ89" s="58">
        <v>270</v>
      </c>
      <c r="AK89" s="58">
        <v>630</v>
      </c>
      <c r="AL89" s="58">
        <v>630</v>
      </c>
      <c r="AM89" s="58">
        <v>540</v>
      </c>
      <c r="AN89" s="58">
        <v>450</v>
      </c>
      <c r="AO89" s="58">
        <v>360</v>
      </c>
      <c r="AP89" s="58">
        <v>360</v>
      </c>
      <c r="AQ89" s="58">
        <v>720</v>
      </c>
      <c r="AR89" s="58">
        <v>720</v>
      </c>
      <c r="AS89" s="58">
        <v>720</v>
      </c>
      <c r="AT89" s="58">
        <v>1080</v>
      </c>
      <c r="AU89" s="58">
        <v>990</v>
      </c>
      <c r="AV89" s="58">
        <v>810</v>
      </c>
      <c r="AW89" s="58">
        <v>810</v>
      </c>
      <c r="AX89" s="58">
        <v>900</v>
      </c>
      <c r="AY89" s="58">
        <v>810</v>
      </c>
      <c r="AZ89" s="58">
        <v>810</v>
      </c>
      <c r="BA89" s="58">
        <v>810</v>
      </c>
      <c r="BB89" s="58">
        <v>810</v>
      </c>
      <c r="BC89" s="58">
        <v>630</v>
      </c>
      <c r="BD89" s="58">
        <v>1170</v>
      </c>
      <c r="BE89" s="58">
        <v>1170</v>
      </c>
      <c r="BF89" s="58">
        <v>1170</v>
      </c>
      <c r="BG89" s="58">
        <v>1080</v>
      </c>
      <c r="BH89" s="58">
        <v>1080</v>
      </c>
      <c r="BI89" s="58">
        <v>1080</v>
      </c>
      <c r="BJ89" s="58">
        <v>630</v>
      </c>
      <c r="BK89" s="58">
        <v>630</v>
      </c>
      <c r="BL89" s="58">
        <v>270</v>
      </c>
      <c r="BM89" s="58">
        <v>270</v>
      </c>
      <c r="BN89" s="58">
        <v>180</v>
      </c>
      <c r="BO89" s="58">
        <v>180</v>
      </c>
      <c r="BP89" s="58">
        <v>90</v>
      </c>
      <c r="BQ89" s="58">
        <v>360</v>
      </c>
      <c r="BR89" s="58">
        <v>360</v>
      </c>
      <c r="BS89" s="58">
        <v>720</v>
      </c>
      <c r="BT89" s="58">
        <v>720</v>
      </c>
      <c r="BU89" s="58">
        <v>720</v>
      </c>
      <c r="BV89" s="58">
        <v>720</v>
      </c>
      <c r="BW89" s="58">
        <v>720</v>
      </c>
      <c r="BX89" s="58">
        <v>720</v>
      </c>
      <c r="BY89" s="58">
        <v>720</v>
      </c>
      <c r="BZ89" s="58">
        <v>630</v>
      </c>
      <c r="CA89" s="58">
        <v>540</v>
      </c>
      <c r="CB89" s="58">
        <v>540</v>
      </c>
      <c r="CC89" s="58">
        <v>540</v>
      </c>
      <c r="CD89" s="58">
        <v>540</v>
      </c>
      <c r="CE89" s="58">
        <v>540</v>
      </c>
      <c r="CF89" s="58">
        <v>540</v>
      </c>
      <c r="CG89" s="58">
        <v>540</v>
      </c>
      <c r="CH89" s="58">
        <v>540</v>
      </c>
      <c r="CI89" s="58">
        <v>360</v>
      </c>
      <c r="CJ89" s="58">
        <v>360</v>
      </c>
      <c r="CK89" s="58">
        <v>360</v>
      </c>
      <c r="CL89" s="58">
        <v>270</v>
      </c>
      <c r="CM89" s="58">
        <v>270</v>
      </c>
      <c r="CN89" s="58">
        <v>270</v>
      </c>
      <c r="CO89" s="58">
        <v>720</v>
      </c>
      <c r="CP89" s="58">
        <v>630</v>
      </c>
      <c r="CQ89" s="58">
        <v>540</v>
      </c>
      <c r="CR89" s="58">
        <v>540</v>
      </c>
      <c r="CS89" s="58">
        <v>540</v>
      </c>
      <c r="CT89" s="58">
        <v>540</v>
      </c>
      <c r="CU89" s="58">
        <v>540</v>
      </c>
      <c r="CV89" s="58">
        <v>540</v>
      </c>
      <c r="CW89" s="58">
        <v>540</v>
      </c>
      <c r="CX89" s="58">
        <v>450</v>
      </c>
      <c r="CY89" s="58">
        <v>450</v>
      </c>
      <c r="CZ89" s="58">
        <v>450</v>
      </c>
      <c r="DA89" s="58">
        <v>450</v>
      </c>
      <c r="DB89" s="58">
        <v>450</v>
      </c>
      <c r="DC89" s="58">
        <v>270</v>
      </c>
      <c r="DD89" s="58">
        <v>270</v>
      </c>
      <c r="DE89" s="58">
        <v>270</v>
      </c>
      <c r="DF89" s="58">
        <v>270</v>
      </c>
      <c r="DG89" s="58">
        <v>270</v>
      </c>
      <c r="DH89" s="58">
        <v>90</v>
      </c>
      <c r="DI89" s="58">
        <v>90</v>
      </c>
      <c r="DJ89" s="58"/>
      <c r="DK89" s="107"/>
      <c r="DL89" s="107"/>
      <c r="DM89" s="107"/>
      <c r="DN89" s="107"/>
      <c r="DO89" s="107"/>
      <c r="DP89" s="107"/>
      <c r="DQ89" s="107"/>
      <c r="DR89" s="107"/>
      <c r="DS89" s="107"/>
      <c r="DT89" s="107"/>
      <c r="DU89" s="107"/>
      <c r="DV89" s="107"/>
      <c r="DW89" s="107"/>
      <c r="DX89" s="107"/>
      <c r="DY89" s="107"/>
      <c r="DZ89" s="107"/>
      <c r="EA89" s="107"/>
      <c r="EB89" s="107"/>
      <c r="EC89" s="107"/>
      <c r="ED89" s="107"/>
      <c r="EE89" s="107"/>
      <c r="EF89" s="107"/>
      <c r="EG89" s="107"/>
      <c r="EH89" s="107"/>
      <c r="EI89" s="107"/>
      <c r="EJ89" s="107"/>
      <c r="EK89" s="107"/>
      <c r="EL89" s="107"/>
      <c r="EM89" s="107"/>
      <c r="EN89" s="107"/>
      <c r="EO89" s="107"/>
      <c r="EP89" s="107"/>
      <c r="EQ89" s="107"/>
      <c r="ER89" s="107"/>
      <c r="ES89" s="107"/>
      <c r="ET89" s="107"/>
      <c r="EU89" s="107"/>
      <c r="EV89" s="107"/>
      <c r="EW89" s="107"/>
      <c r="EX89" s="107"/>
      <c r="EY89" s="107"/>
      <c r="EZ89" s="107"/>
      <c r="FA89" s="107"/>
      <c r="FB89" s="107"/>
      <c r="FC89" s="107"/>
      <c r="FD89" s="107"/>
      <c r="FE89" s="107"/>
      <c r="FF89" s="107"/>
      <c r="FG89" s="107"/>
      <c r="FH89" s="107"/>
      <c r="FI89" s="107"/>
      <c r="FJ89" s="107"/>
      <c r="FK89" s="107"/>
      <c r="FL89" s="107"/>
      <c r="FM89" s="107"/>
      <c r="FN89" s="107"/>
      <c r="FO89" s="107"/>
      <c r="FP89" s="107"/>
      <c r="FQ89" s="107"/>
      <c r="FR89" s="107"/>
      <c r="FS89" s="107"/>
      <c r="FT89" s="107"/>
    </row>
    <row r="90" spans="1:176" x14ac:dyDescent="0.25">
      <c r="A90" s="107"/>
      <c r="B90" s="107"/>
      <c r="C90" s="107"/>
      <c r="D90" s="107"/>
      <c r="E90" s="107"/>
      <c r="F90" s="107"/>
      <c r="G90" s="147" t="str">
        <f>IF(_ibpOfflineCondition_,"000000000000564820-1", _xll.EPMOlapMemberO("[PRDID].[].[000000000000564820-1]","","000000000000564820-1","","000"))</f>
        <v>000000000000564820-1</v>
      </c>
      <c r="H90" s="147" t="str">
        <f>IF(_ibpOfflineCondition_,"FGR+ FIGAROLLPLUS 5/280+40 SCHWARZ BRAAS", _xll.EPMOlapMemberO("[PRDDESCR].[].[FGR+ FIGAROLLPLUS 5/280+40 SCHWARZ BRAAS]","","FGR+ FIGAROLLPLUS 5/280+40 SCHWARZ BRAAS","","000"))</f>
        <v>FGR+ FIGAROLLPLUS 5/280+40 SCHWARZ BRAAS</v>
      </c>
      <c r="I90" s="147" t="str">
        <f>IF(_ibpOfflineCondition_,"X0", _xll.EPMOlapMemberO("[MRPTYPE].[].[X0]","","X0","","000"))</f>
        <v>X0</v>
      </c>
      <c r="J90" s="147" t="str">
        <f>IF(_ibpOfflineCondition_,"GSCRM Actual Sales and Unconstrained Demand", _xll.EPMOlapMemberO("[KEY_FIGURES].[].[ZGSCRMACTUALUNCONSDEMAND]","","GSCRM Actual Sales and Unconstrained Demand","","000"))</f>
        <v>GSCRM Actual Sales and Unconstrained Demand</v>
      </c>
      <c r="K90" s="58">
        <v>360</v>
      </c>
      <c r="L90" s="58">
        <v>90</v>
      </c>
      <c r="M90" s="58">
        <v>540</v>
      </c>
      <c r="N90" s="58"/>
      <c r="O90" s="58">
        <v>360</v>
      </c>
      <c r="P90" s="58">
        <v>90</v>
      </c>
      <c r="Q90" s="58"/>
      <c r="R90" s="58"/>
      <c r="S90" s="58">
        <v>270</v>
      </c>
      <c r="T90" s="58">
        <v>180</v>
      </c>
      <c r="U90" s="58">
        <v>180</v>
      </c>
      <c r="V90" s="58"/>
      <c r="W90" s="58">
        <v>450</v>
      </c>
      <c r="X90" s="58"/>
      <c r="Y90" s="58"/>
      <c r="Z90" s="58"/>
      <c r="AA90" s="58"/>
      <c r="AB90" s="58">
        <v>90</v>
      </c>
      <c r="AC90" s="58">
        <v>360</v>
      </c>
      <c r="AD90" s="58">
        <v>360</v>
      </c>
      <c r="AE90" s="58">
        <v>180</v>
      </c>
      <c r="AF90" s="58">
        <v>270</v>
      </c>
      <c r="AG90" s="58"/>
      <c r="AH90" s="58"/>
      <c r="AI90" s="58">
        <v>270</v>
      </c>
      <c r="AJ90" s="58">
        <v>360</v>
      </c>
      <c r="AK90" s="58"/>
      <c r="AL90" s="58">
        <v>270</v>
      </c>
      <c r="AM90" s="58">
        <v>90</v>
      </c>
      <c r="AN90" s="58"/>
      <c r="AO90" s="58">
        <v>90</v>
      </c>
      <c r="AP90" s="58"/>
      <c r="AQ90" s="58"/>
      <c r="AR90" s="58">
        <v>360</v>
      </c>
      <c r="AS90" s="58"/>
      <c r="AT90" s="58">
        <v>540</v>
      </c>
      <c r="AU90" s="58"/>
      <c r="AV90" s="58">
        <v>180</v>
      </c>
      <c r="AW90" s="58">
        <v>90</v>
      </c>
      <c r="AX90" s="58">
        <v>270</v>
      </c>
      <c r="AY90" s="58">
        <v>360</v>
      </c>
      <c r="AZ90" s="58"/>
      <c r="BA90" s="58">
        <v>270</v>
      </c>
      <c r="BB90" s="58"/>
      <c r="BC90" s="58"/>
      <c r="BD90" s="58">
        <v>90</v>
      </c>
      <c r="BE90" s="58"/>
      <c r="BF90" s="58"/>
      <c r="BG90" s="58">
        <v>180</v>
      </c>
      <c r="BH90" s="58"/>
      <c r="BI90" s="58">
        <v>450</v>
      </c>
      <c r="BJ90" s="58">
        <v>630</v>
      </c>
      <c r="BK90" s="58">
        <v>180</v>
      </c>
      <c r="BL90" s="58"/>
      <c r="BM90" s="58">
        <v>450</v>
      </c>
      <c r="BN90" s="58">
        <v>540</v>
      </c>
      <c r="BO90" s="58"/>
      <c r="BP90" s="58">
        <v>180</v>
      </c>
      <c r="BQ90" s="58"/>
      <c r="BR90" s="58">
        <v>540</v>
      </c>
      <c r="BS90" s="58"/>
      <c r="BT90" s="58"/>
      <c r="BU90" s="58"/>
      <c r="BV90" s="58">
        <v>270</v>
      </c>
      <c r="BW90" s="58">
        <v>90</v>
      </c>
      <c r="BX90" s="58"/>
      <c r="BY90" s="58"/>
      <c r="BZ90" s="58"/>
      <c r="CA90" s="58">
        <v>90</v>
      </c>
      <c r="CB90" s="58"/>
      <c r="CC90" s="58">
        <v>180</v>
      </c>
      <c r="CD90" s="58">
        <v>540</v>
      </c>
      <c r="CE90" s="58"/>
      <c r="CF90" s="58"/>
      <c r="CG90" s="58">
        <v>90</v>
      </c>
      <c r="CH90" s="58">
        <v>180</v>
      </c>
      <c r="CI90" s="58">
        <v>180</v>
      </c>
      <c r="CJ90" s="58"/>
      <c r="CK90" s="58">
        <v>180</v>
      </c>
      <c r="CL90" s="58"/>
      <c r="CM90" s="58">
        <v>90</v>
      </c>
      <c r="CN90" s="58"/>
      <c r="CO90" s="58"/>
      <c r="CP90" s="58">
        <v>90</v>
      </c>
      <c r="CQ90" s="58">
        <v>360</v>
      </c>
      <c r="CR90" s="58">
        <v>90</v>
      </c>
      <c r="CS90" s="58">
        <v>90</v>
      </c>
      <c r="CT90" s="58">
        <v>180</v>
      </c>
      <c r="CU90" s="58">
        <v>90</v>
      </c>
      <c r="CV90" s="58"/>
      <c r="CW90" s="58"/>
      <c r="CX90" s="58">
        <v>90</v>
      </c>
      <c r="CY90" s="58">
        <v>180</v>
      </c>
      <c r="CZ90" s="58"/>
      <c r="DA90" s="58">
        <v>180</v>
      </c>
      <c r="DB90" s="58">
        <v>90</v>
      </c>
      <c r="DC90" s="58">
        <v>180</v>
      </c>
      <c r="DD90" s="58">
        <v>900</v>
      </c>
      <c r="DE90" s="58"/>
      <c r="DF90" s="58"/>
      <c r="DG90" s="58"/>
      <c r="DH90" s="58">
        <v>270</v>
      </c>
      <c r="DI90" s="58">
        <v>270</v>
      </c>
      <c r="DJ90" s="58">
        <v>360</v>
      </c>
      <c r="DK90" s="107"/>
      <c r="DL90" s="107"/>
      <c r="DM90" s="107"/>
      <c r="DN90" s="107"/>
      <c r="DO90" s="107"/>
      <c r="DP90" s="107"/>
      <c r="DQ90" s="107"/>
      <c r="DR90" s="107"/>
      <c r="DS90" s="107"/>
      <c r="DT90" s="107"/>
      <c r="DU90" s="107"/>
      <c r="DV90" s="107"/>
      <c r="DW90" s="107"/>
      <c r="DX90" s="107"/>
      <c r="DY90" s="107"/>
      <c r="DZ90" s="107"/>
      <c r="EA90" s="107"/>
      <c r="EB90" s="107"/>
      <c r="EC90" s="107"/>
      <c r="ED90" s="107"/>
      <c r="EE90" s="107"/>
      <c r="EF90" s="107"/>
      <c r="EG90" s="107"/>
      <c r="EH90" s="107"/>
      <c r="EI90" s="107"/>
      <c r="EJ90" s="107"/>
      <c r="EK90" s="107"/>
      <c r="EL90" s="107"/>
      <c r="EM90" s="107"/>
      <c r="EN90" s="107"/>
      <c r="EO90" s="107"/>
      <c r="EP90" s="107"/>
      <c r="EQ90" s="107"/>
      <c r="ER90" s="107"/>
      <c r="ES90" s="107"/>
      <c r="ET90" s="107"/>
      <c r="EU90" s="107"/>
      <c r="EV90" s="107"/>
      <c r="EW90" s="107"/>
      <c r="EX90" s="107"/>
      <c r="EY90" s="107"/>
      <c r="EZ90" s="107"/>
      <c r="FA90" s="107"/>
      <c r="FB90" s="107"/>
      <c r="FC90" s="107"/>
      <c r="FD90" s="107"/>
      <c r="FE90" s="107"/>
      <c r="FF90" s="107"/>
      <c r="FG90" s="107"/>
      <c r="FH90" s="107"/>
      <c r="FI90" s="107"/>
      <c r="FJ90" s="107"/>
      <c r="FK90" s="107"/>
      <c r="FL90" s="107"/>
      <c r="FM90" s="107"/>
      <c r="FN90" s="107"/>
      <c r="FO90" s="107"/>
      <c r="FP90" s="107"/>
      <c r="FQ90" s="107"/>
      <c r="FR90" s="107"/>
      <c r="FS90" s="107"/>
      <c r="FT90" s="107"/>
    </row>
    <row r="91" spans="1:176" x14ac:dyDescent="0.25">
      <c r="A91" s="107"/>
      <c r="B91" s="107"/>
      <c r="C91" s="107"/>
      <c r="D91" s="107"/>
      <c r="E91" s="107"/>
      <c r="F91" s="107"/>
      <c r="G91" s="147" t="str">
        <f>IF(_ibpOfflineCondition_,"000000000000564820-1", _xll.EPMOlapMemberO("[PRDID].[].[000000000000564820-1]","","000000000000564820-1","","000"))</f>
        <v>000000000000564820-1</v>
      </c>
      <c r="H91" s="147" t="str">
        <f>IF(_ibpOfflineCondition_,"FGR+ FIGAROLLPLUS 5/280+40 SCHWARZ BRAAS", _xll.EPMOlapMemberO("[PRDDESCR].[].[FGR+ FIGAROLLPLUS 5/280+40 SCHWARZ BRAAS]","","FGR+ FIGAROLLPLUS 5/280+40 SCHWARZ BRAAS","","000"))</f>
        <v>FGR+ FIGAROLLPLUS 5/280+40 SCHWARZ BRAAS</v>
      </c>
      <c r="I91" s="147" t="str">
        <f>IF(_ibpOfflineCondition_,"X0", _xll.EPMOlapMemberO("[MRPTYPE].[].[X0]","","X0","","000"))</f>
        <v>X0</v>
      </c>
      <c r="J91" s="147" t="str">
        <f>IF(_ibpOfflineCondition_,"GSCRM Actuals and Future Production", _xll.EPMOlapMemberO("[KEY_FIGURES].[].[ZGSCRMACTUALSPRODUCTION]","","GSCRM Actuals and Future Production","","000"))</f>
        <v>GSCRM Actuals and Future Production</v>
      </c>
      <c r="K91" s="58">
        <v>0</v>
      </c>
      <c r="L91" s="58">
        <v>0</v>
      </c>
      <c r="M91" s="58">
        <v>450</v>
      </c>
      <c r="N91" s="58">
        <v>0</v>
      </c>
      <c r="O91" s="58">
        <v>0</v>
      </c>
      <c r="P91" s="58">
        <v>0</v>
      </c>
      <c r="Q91" s="58">
        <v>0</v>
      </c>
      <c r="R91" s="58">
        <v>1350</v>
      </c>
      <c r="S91" s="58">
        <v>0</v>
      </c>
      <c r="T91" s="58">
        <v>0</v>
      </c>
      <c r="U91" s="58">
        <v>0</v>
      </c>
      <c r="V91" s="58">
        <v>0</v>
      </c>
      <c r="W91" s="58">
        <v>0</v>
      </c>
      <c r="X91" s="58">
        <v>540</v>
      </c>
      <c r="Y91" s="58"/>
      <c r="Z91" s="58"/>
      <c r="AA91" s="58"/>
      <c r="AB91" s="58">
        <v>540</v>
      </c>
      <c r="AC91" s="58">
        <v>0</v>
      </c>
      <c r="AD91" s="58">
        <v>0</v>
      </c>
      <c r="AE91" s="58">
        <v>0</v>
      </c>
      <c r="AF91" s="58">
        <v>0</v>
      </c>
      <c r="AG91" s="58"/>
      <c r="AH91" s="58">
        <v>1080</v>
      </c>
      <c r="AI91" s="58">
        <v>0</v>
      </c>
      <c r="AJ91" s="58">
        <v>0</v>
      </c>
      <c r="AK91" s="58"/>
      <c r="AL91" s="58">
        <v>0</v>
      </c>
      <c r="AM91" s="58">
        <v>0</v>
      </c>
      <c r="AN91" s="58">
        <v>540</v>
      </c>
      <c r="AO91" s="58">
        <v>0</v>
      </c>
      <c r="AP91" s="58"/>
      <c r="AQ91" s="58">
        <v>540</v>
      </c>
      <c r="AR91" s="58">
        <v>0</v>
      </c>
      <c r="AS91" s="58"/>
      <c r="AT91" s="58">
        <v>540</v>
      </c>
      <c r="AU91" s="58"/>
      <c r="AV91" s="58">
        <v>0</v>
      </c>
      <c r="AW91" s="58">
        <v>360</v>
      </c>
      <c r="AX91" s="58">
        <v>1260</v>
      </c>
      <c r="AY91" s="58">
        <v>0</v>
      </c>
      <c r="AZ91" s="58"/>
      <c r="BA91" s="58">
        <v>0</v>
      </c>
      <c r="BB91" s="58"/>
      <c r="BC91" s="58">
        <v>720</v>
      </c>
      <c r="BD91" s="58">
        <v>1440</v>
      </c>
      <c r="BE91" s="58"/>
      <c r="BF91" s="58"/>
      <c r="BG91" s="58">
        <v>0</v>
      </c>
      <c r="BH91" s="58"/>
      <c r="BI91" s="58">
        <v>0</v>
      </c>
      <c r="BJ91" s="58">
        <v>0</v>
      </c>
      <c r="BK91" s="58">
        <v>0</v>
      </c>
      <c r="BL91" s="58"/>
      <c r="BM91" s="58">
        <v>0</v>
      </c>
      <c r="BN91" s="58">
        <v>0</v>
      </c>
      <c r="BO91" s="58"/>
      <c r="BP91" s="58">
        <v>0</v>
      </c>
      <c r="BQ91" s="58">
        <v>360</v>
      </c>
      <c r="BR91" s="58">
        <v>0</v>
      </c>
      <c r="BS91" s="58">
        <v>1080</v>
      </c>
      <c r="BT91" s="58"/>
      <c r="BU91" s="58"/>
      <c r="BV91" s="58">
        <v>0</v>
      </c>
      <c r="BW91" s="58">
        <v>0</v>
      </c>
      <c r="BX91" s="58">
        <v>540</v>
      </c>
      <c r="BY91" s="58"/>
      <c r="BZ91" s="58"/>
      <c r="CA91" s="58">
        <v>0</v>
      </c>
      <c r="CB91" s="58"/>
      <c r="CC91" s="58">
        <v>0</v>
      </c>
      <c r="CD91" s="58">
        <v>0</v>
      </c>
      <c r="CE91" s="58">
        <v>540</v>
      </c>
      <c r="CF91" s="58"/>
      <c r="CG91" s="58">
        <v>0</v>
      </c>
      <c r="CH91" s="58">
        <v>0</v>
      </c>
      <c r="CI91" s="58">
        <v>0</v>
      </c>
      <c r="CJ91" s="58"/>
      <c r="CK91" s="58">
        <v>0</v>
      </c>
      <c r="CL91" s="58"/>
      <c r="CM91" s="58">
        <v>0</v>
      </c>
      <c r="CN91" s="58"/>
      <c r="CO91" s="58">
        <v>720</v>
      </c>
      <c r="CP91" s="58">
        <v>0</v>
      </c>
      <c r="CQ91" s="58">
        <v>0</v>
      </c>
      <c r="CR91" s="58">
        <v>450</v>
      </c>
      <c r="CS91" s="58">
        <v>0</v>
      </c>
      <c r="CT91" s="58">
        <v>0</v>
      </c>
      <c r="CU91" s="58">
        <v>0</v>
      </c>
      <c r="CV91" s="58"/>
      <c r="CW91" s="58">
        <v>450</v>
      </c>
      <c r="CX91" s="58">
        <v>0</v>
      </c>
      <c r="CY91" s="58">
        <v>0</v>
      </c>
      <c r="CZ91" s="58"/>
      <c r="DA91" s="58">
        <v>0</v>
      </c>
      <c r="DB91" s="58">
        <v>0</v>
      </c>
      <c r="DC91" s="58">
        <v>450</v>
      </c>
      <c r="DD91" s="58">
        <v>0</v>
      </c>
      <c r="DE91" s="58"/>
      <c r="DF91" s="58"/>
      <c r="DG91" s="58">
        <v>450</v>
      </c>
      <c r="DH91" s="58">
        <v>0</v>
      </c>
      <c r="DI91" s="58">
        <v>900</v>
      </c>
      <c r="DJ91" s="58">
        <v>0</v>
      </c>
      <c r="DK91" s="107"/>
      <c r="DL91" s="107"/>
      <c r="DM91" s="107"/>
      <c r="DN91" s="107"/>
      <c r="DO91" s="107"/>
      <c r="DP91" s="107"/>
      <c r="DQ91" s="107"/>
      <c r="DR91" s="107"/>
      <c r="DS91" s="107"/>
      <c r="DT91" s="107"/>
      <c r="DU91" s="107"/>
      <c r="DV91" s="107"/>
      <c r="DW91" s="107"/>
      <c r="DX91" s="107"/>
      <c r="DY91" s="107"/>
      <c r="DZ91" s="107"/>
      <c r="EA91" s="107"/>
      <c r="EB91" s="107"/>
      <c r="EC91" s="107"/>
      <c r="ED91" s="107"/>
      <c r="EE91" s="107"/>
      <c r="EF91" s="107"/>
      <c r="EG91" s="107"/>
      <c r="EH91" s="107"/>
      <c r="EI91" s="107"/>
      <c r="EJ91" s="107"/>
      <c r="EK91" s="107"/>
      <c r="EL91" s="107"/>
      <c r="EM91" s="107"/>
      <c r="EN91" s="107"/>
      <c r="EO91" s="107"/>
      <c r="EP91" s="107"/>
      <c r="EQ91" s="107"/>
      <c r="ER91" s="107"/>
      <c r="ES91" s="107"/>
      <c r="ET91" s="107"/>
      <c r="EU91" s="107"/>
      <c r="EV91" s="107"/>
      <c r="EW91" s="107"/>
      <c r="EX91" s="107"/>
      <c r="EY91" s="107"/>
      <c r="EZ91" s="107"/>
      <c r="FA91" s="107"/>
      <c r="FB91" s="107"/>
      <c r="FC91" s="107"/>
      <c r="FD91" s="107"/>
      <c r="FE91" s="107"/>
      <c r="FF91" s="107"/>
      <c r="FG91" s="107"/>
      <c r="FH91" s="107"/>
      <c r="FI91" s="107"/>
      <c r="FJ91" s="107"/>
      <c r="FK91" s="107"/>
      <c r="FL91" s="107"/>
      <c r="FM91" s="107"/>
      <c r="FN91" s="107"/>
      <c r="FO91" s="107"/>
      <c r="FP91" s="107"/>
      <c r="FQ91" s="107"/>
      <c r="FR91" s="107"/>
      <c r="FS91" s="107"/>
      <c r="FT91" s="107"/>
    </row>
    <row r="92" spans="1:176" x14ac:dyDescent="0.25">
      <c r="A92" s="107"/>
      <c r="B92" s="107"/>
      <c r="C92" s="107"/>
      <c r="D92" s="107"/>
      <c r="E92" s="107"/>
      <c r="F92" s="107"/>
      <c r="G92" s="147" t="str">
        <f>IF(_ibpOfflineCondition_,"000000000000564820-1", _xll.EPMOlapMemberO("[PRDID].[].[000000000000564820-1]","","000000000000564820-1","","000"))</f>
        <v>000000000000564820-1</v>
      </c>
      <c r="H92" s="147" t="str">
        <f>IF(_ibpOfflineCondition_,"FGR+ FIGAROLLPLUS 5/280+40 SCHWARZ BRAAS", _xll.EPMOlapMemberO("[PRDDESCR].[].[FGR+ FIGAROLLPLUS 5/280+40 SCHWARZ BRAAS]","","FGR+ FIGAROLLPLUS 5/280+40 SCHWARZ BRAAS","","000"))</f>
        <v>FGR+ FIGAROLLPLUS 5/280+40 SCHWARZ BRAAS</v>
      </c>
      <c r="I92" s="147" t="str">
        <f>IF(_ibpOfflineCondition_,"X0", _xll.EPMOlapMemberO("[MRPTYPE].[].[X0]","","X0","","000"))</f>
        <v>X0</v>
      </c>
      <c r="J92" s="147" t="str">
        <f>IF(_ibpOfflineCondition_,"GSCRM Projected Stock (Unconstrained Demand)", _xll.EPMOlapMemberO("[KEY_FIGURES].[].[ZGSCRMUNCONSINVENTORY]","","GSCRM Projected Stock (Unconstrained Demand)","","000"))</f>
        <v>GSCRM Projected Stock (Unconstrained Demand)</v>
      </c>
      <c r="K92" s="58">
        <v>630</v>
      </c>
      <c r="L92" s="58">
        <v>540</v>
      </c>
      <c r="M92" s="58">
        <v>450</v>
      </c>
      <c r="N92" s="58">
        <v>450</v>
      </c>
      <c r="O92" s="58">
        <v>90</v>
      </c>
      <c r="P92" s="58"/>
      <c r="Q92" s="58"/>
      <c r="R92" s="58">
        <v>1350</v>
      </c>
      <c r="S92" s="58"/>
      <c r="T92" s="58">
        <v>900</v>
      </c>
      <c r="U92" s="58">
        <v>720</v>
      </c>
      <c r="V92" s="58">
        <v>720</v>
      </c>
      <c r="W92" s="58">
        <v>270</v>
      </c>
      <c r="X92" s="58">
        <v>810</v>
      </c>
      <c r="Y92" s="58">
        <v>810</v>
      </c>
      <c r="Z92" s="58">
        <v>810</v>
      </c>
      <c r="AA92" s="58">
        <v>810</v>
      </c>
      <c r="AB92" s="58">
        <v>1260</v>
      </c>
      <c r="AC92" s="58">
        <v>1170</v>
      </c>
      <c r="AD92" s="58">
        <v>900</v>
      </c>
      <c r="AE92" s="58">
        <v>810</v>
      </c>
      <c r="AF92" s="58">
        <v>540</v>
      </c>
      <c r="AG92" s="58">
        <v>540</v>
      </c>
      <c r="AH92" s="58">
        <v>1620</v>
      </c>
      <c r="AI92" s="58">
        <v>990</v>
      </c>
      <c r="AJ92" s="58">
        <v>990</v>
      </c>
      <c r="AK92" s="58">
        <v>990</v>
      </c>
      <c r="AL92" s="58">
        <v>720</v>
      </c>
      <c r="AM92" s="58">
        <v>630</v>
      </c>
      <c r="AN92" s="58">
        <v>1170</v>
      </c>
      <c r="AO92" s="58">
        <v>1080</v>
      </c>
      <c r="AP92" s="58">
        <v>1080</v>
      </c>
      <c r="AQ92" s="58">
        <v>1620</v>
      </c>
      <c r="AR92" s="58">
        <v>1260</v>
      </c>
      <c r="AS92" s="58">
        <v>1260</v>
      </c>
      <c r="AT92" s="58">
        <v>1260</v>
      </c>
      <c r="AU92" s="58">
        <v>1260</v>
      </c>
      <c r="AV92" s="58">
        <v>1080</v>
      </c>
      <c r="AW92" s="58">
        <v>1350</v>
      </c>
      <c r="AX92" s="58">
        <v>2340</v>
      </c>
      <c r="AY92" s="58">
        <v>1980</v>
      </c>
      <c r="AZ92" s="58">
        <v>1980</v>
      </c>
      <c r="BA92" s="58">
        <v>1710</v>
      </c>
      <c r="BB92" s="58">
        <v>1710</v>
      </c>
      <c r="BC92" s="58">
        <v>2430</v>
      </c>
      <c r="BD92" s="58">
        <v>3060</v>
      </c>
      <c r="BE92" s="58">
        <v>3060</v>
      </c>
      <c r="BF92" s="58">
        <v>3060</v>
      </c>
      <c r="BG92" s="58">
        <v>2880</v>
      </c>
      <c r="BH92" s="58">
        <v>2880</v>
      </c>
      <c r="BI92" s="58">
        <v>2430</v>
      </c>
      <c r="BJ92" s="58">
        <v>1800</v>
      </c>
      <c r="BK92" s="58">
        <v>1620</v>
      </c>
      <c r="BL92" s="58">
        <v>1620</v>
      </c>
      <c r="BM92" s="58">
        <v>1170</v>
      </c>
      <c r="BN92" s="58">
        <v>630</v>
      </c>
      <c r="BO92" s="58">
        <v>630</v>
      </c>
      <c r="BP92" s="58">
        <v>450</v>
      </c>
      <c r="BQ92" s="58">
        <v>810</v>
      </c>
      <c r="BR92" s="58">
        <v>270</v>
      </c>
      <c r="BS92" s="58">
        <v>1350</v>
      </c>
      <c r="BT92" s="58">
        <v>1350</v>
      </c>
      <c r="BU92" s="58">
        <v>1350</v>
      </c>
      <c r="BV92" s="58">
        <v>1080</v>
      </c>
      <c r="BW92" s="58">
        <v>990</v>
      </c>
      <c r="BX92" s="58">
        <v>1530</v>
      </c>
      <c r="BY92" s="58">
        <v>1530</v>
      </c>
      <c r="BZ92" s="58">
        <v>1530</v>
      </c>
      <c r="CA92" s="58">
        <v>1440</v>
      </c>
      <c r="CB92" s="58">
        <v>1440</v>
      </c>
      <c r="CC92" s="58">
        <v>1260</v>
      </c>
      <c r="CD92" s="58">
        <v>720</v>
      </c>
      <c r="CE92" s="58">
        <v>1260</v>
      </c>
      <c r="CF92" s="58">
        <v>1260</v>
      </c>
      <c r="CG92" s="58">
        <v>1170</v>
      </c>
      <c r="CH92" s="58">
        <v>990</v>
      </c>
      <c r="CI92" s="58">
        <v>810</v>
      </c>
      <c r="CJ92" s="58">
        <v>810</v>
      </c>
      <c r="CK92" s="58">
        <v>630</v>
      </c>
      <c r="CL92" s="58">
        <v>630</v>
      </c>
      <c r="CM92" s="58">
        <v>540</v>
      </c>
      <c r="CN92" s="58">
        <v>540</v>
      </c>
      <c r="CO92" s="58">
        <v>1170</v>
      </c>
      <c r="CP92" s="58">
        <v>1170</v>
      </c>
      <c r="CQ92" s="58">
        <v>810</v>
      </c>
      <c r="CR92" s="58">
        <v>1170</v>
      </c>
      <c r="CS92" s="58">
        <v>1080</v>
      </c>
      <c r="CT92" s="58">
        <v>900</v>
      </c>
      <c r="CU92" s="58">
        <v>810</v>
      </c>
      <c r="CV92" s="58">
        <v>810</v>
      </c>
      <c r="CW92" s="58">
        <v>1260</v>
      </c>
      <c r="CX92" s="58">
        <v>1170</v>
      </c>
      <c r="CY92" s="58">
        <v>990</v>
      </c>
      <c r="CZ92" s="58">
        <v>990</v>
      </c>
      <c r="DA92" s="58">
        <v>810</v>
      </c>
      <c r="DB92" s="58">
        <v>1170</v>
      </c>
      <c r="DC92" s="58">
        <v>540</v>
      </c>
      <c r="DD92" s="58">
        <v>90</v>
      </c>
      <c r="DE92" s="58">
        <v>90</v>
      </c>
      <c r="DF92" s="58">
        <v>90</v>
      </c>
      <c r="DG92" s="58">
        <v>630</v>
      </c>
      <c r="DH92" s="58">
        <v>270</v>
      </c>
      <c r="DI92" s="58">
        <v>900</v>
      </c>
      <c r="DJ92" s="58">
        <v>90</v>
      </c>
      <c r="DK92" s="107"/>
      <c r="DL92" s="107"/>
      <c r="DM92" s="107"/>
      <c r="DN92" s="107"/>
      <c r="DO92" s="107"/>
      <c r="DP92" s="107"/>
      <c r="DQ92" s="107"/>
      <c r="DR92" s="107"/>
      <c r="DS92" s="107"/>
      <c r="DT92" s="107"/>
      <c r="DU92" s="107"/>
      <c r="DV92" s="107"/>
      <c r="DW92" s="107"/>
      <c r="DX92" s="107"/>
      <c r="DY92" s="107"/>
      <c r="DZ92" s="107"/>
      <c r="EA92" s="107"/>
      <c r="EB92" s="107"/>
      <c r="EC92" s="107"/>
      <c r="ED92" s="107"/>
      <c r="EE92" s="107"/>
      <c r="EF92" s="107"/>
      <c r="EG92" s="107"/>
      <c r="EH92" s="107"/>
      <c r="EI92" s="107"/>
      <c r="EJ92" s="107"/>
      <c r="EK92" s="107"/>
      <c r="EL92" s="107"/>
      <c r="EM92" s="107"/>
      <c r="EN92" s="107"/>
      <c r="EO92" s="107"/>
      <c r="EP92" s="107"/>
      <c r="EQ92" s="107"/>
      <c r="ER92" s="107"/>
      <c r="ES92" s="107"/>
      <c r="ET92" s="107"/>
      <c r="EU92" s="107"/>
      <c r="EV92" s="107"/>
      <c r="EW92" s="107"/>
      <c r="EX92" s="107"/>
      <c r="EY92" s="107"/>
      <c r="EZ92" s="107"/>
      <c r="FA92" s="107"/>
      <c r="FB92" s="107"/>
      <c r="FC92" s="107"/>
      <c r="FD92" s="107"/>
      <c r="FE92" s="107"/>
      <c r="FF92" s="107"/>
      <c r="FG92" s="107"/>
      <c r="FH92" s="107"/>
      <c r="FI92" s="107"/>
      <c r="FJ92" s="107"/>
      <c r="FK92" s="107"/>
      <c r="FL92" s="107"/>
      <c r="FM92" s="107"/>
      <c r="FN92" s="107"/>
      <c r="FO92" s="107"/>
      <c r="FP92" s="107"/>
      <c r="FQ92" s="107"/>
      <c r="FR92" s="107"/>
      <c r="FS92" s="107"/>
      <c r="FT92" s="107"/>
    </row>
    <row r="93" spans="1:176" x14ac:dyDescent="0.25">
      <c r="A93" s="107"/>
      <c r="B93" s="107"/>
      <c r="C93" s="107"/>
      <c r="D93" s="107"/>
      <c r="E93" s="107"/>
      <c r="F93" s="107"/>
      <c r="G93" s="147" t="str">
        <f>IF(_ibpOfflineCondition_,"000000000000573601-1", _xll.EPMOlapMemberO("[PRDID].[].[000000000000573601-1]","","000000000000573601-1","","000"))</f>
        <v>000000000000573601-1</v>
      </c>
      <c r="H93" s="147" t="str">
        <f>IF(_ibpOfflineCondition_,"FGR+ FIGAROLLPLUS 10/280+40 BRAUN PL", _xll.EPMOlapMemberO("[PRDDESCR].[].[FGR+ FIGAROLLPLUS 10/280+40 BRAUN PL]","","FGR+ FIGAROLLPLUS 10/280+40 BRAUN PL","","000"))</f>
        <v>FGR+ FIGAROLLPLUS 10/280+40 BRAUN PL</v>
      </c>
      <c r="I93" s="147" t="str">
        <f>IF(_ibpOfflineCondition_,"X7", _xll.EPMOlapMemberO("[MRPTYPE].[].[X7]","","X7","","000"))</f>
        <v>X7</v>
      </c>
      <c r="J93" s="147" t="str">
        <f>IF(_ibpOfflineCondition_,"GSCRM Actual Sales and Unconstrained Demand", _xll.EPMOlapMemberO("[KEY_FIGURES].[].[ZGSCRMACTUALUNCONSDEMAND]","","GSCRM Actual Sales and Unconstrained Demand","","000"))</f>
        <v>GSCRM Actual Sales and Unconstrained Demand</v>
      </c>
      <c r="K93" s="58"/>
      <c r="L93" s="58"/>
      <c r="M93" s="58"/>
      <c r="N93" s="58"/>
      <c r="O93" s="58">
        <v>90</v>
      </c>
      <c r="P93" s="58"/>
      <c r="Q93" s="58"/>
      <c r="R93" s="58"/>
      <c r="S93" s="58">
        <v>45</v>
      </c>
      <c r="T93" s="58"/>
      <c r="U93" s="58">
        <v>315</v>
      </c>
      <c r="V93" s="58"/>
      <c r="W93" s="58"/>
      <c r="X93" s="58"/>
      <c r="Y93" s="58"/>
      <c r="Z93" s="58"/>
      <c r="AA93" s="58"/>
      <c r="AB93" s="58"/>
      <c r="AC93" s="58"/>
      <c r="AD93" s="58">
        <v>45</v>
      </c>
      <c r="AE93" s="58"/>
      <c r="AF93" s="58">
        <v>90</v>
      </c>
      <c r="AG93" s="58"/>
      <c r="AH93" s="58">
        <v>90</v>
      </c>
      <c r="AI93" s="58"/>
      <c r="AJ93" s="58"/>
      <c r="AK93" s="58"/>
      <c r="AL93" s="58">
        <v>45</v>
      </c>
      <c r="AM93" s="58"/>
      <c r="AN93" s="58">
        <v>90</v>
      </c>
      <c r="AO93" s="58">
        <v>90</v>
      </c>
      <c r="AP93" s="58">
        <v>45</v>
      </c>
      <c r="AQ93" s="58"/>
      <c r="AR93" s="58"/>
      <c r="AS93" s="58"/>
      <c r="AT93" s="58"/>
      <c r="AU93" s="58"/>
      <c r="AV93" s="58">
        <v>90</v>
      </c>
      <c r="AW93" s="58"/>
      <c r="AX93" s="58"/>
      <c r="AY93" s="58"/>
      <c r="AZ93" s="58"/>
      <c r="BA93" s="58">
        <v>45</v>
      </c>
      <c r="BB93" s="58">
        <v>45</v>
      </c>
      <c r="BC93" s="58"/>
      <c r="BD93" s="58"/>
      <c r="BE93" s="58"/>
      <c r="BF93" s="58"/>
      <c r="BG93" s="58"/>
      <c r="BH93" s="58">
        <v>135</v>
      </c>
      <c r="BI93" s="58">
        <v>180</v>
      </c>
      <c r="BJ93" s="58"/>
      <c r="BK93" s="58"/>
      <c r="BL93" s="58"/>
      <c r="BM93" s="58"/>
      <c r="BN93" s="58">
        <v>45</v>
      </c>
      <c r="BO93" s="58"/>
      <c r="BP93" s="58">
        <v>450</v>
      </c>
      <c r="BQ93" s="58"/>
      <c r="BR93" s="58"/>
      <c r="BS93" s="58">
        <v>90</v>
      </c>
      <c r="BT93" s="58"/>
      <c r="BU93" s="58"/>
      <c r="BV93" s="58"/>
      <c r="BW93" s="58"/>
      <c r="BX93" s="58"/>
      <c r="BY93" s="58"/>
      <c r="BZ93" s="58"/>
      <c r="CA93" s="58">
        <v>90</v>
      </c>
      <c r="CB93" s="58"/>
      <c r="CC93" s="58"/>
      <c r="CD93" s="58"/>
      <c r="CE93" s="58"/>
      <c r="CF93" s="58">
        <v>540</v>
      </c>
      <c r="CG93" s="58">
        <v>180</v>
      </c>
      <c r="CH93" s="58"/>
      <c r="CI93" s="58"/>
      <c r="CJ93" s="58"/>
      <c r="CK93" s="58"/>
      <c r="CL93" s="58"/>
      <c r="CM93" s="58"/>
      <c r="CN93" s="58"/>
      <c r="CO93" s="58"/>
      <c r="CP93" s="58"/>
      <c r="CQ93" s="58"/>
      <c r="CR93" s="58"/>
      <c r="CS93" s="58"/>
      <c r="CT93" s="58"/>
      <c r="CU93" s="58"/>
      <c r="CV93" s="58"/>
      <c r="CW93" s="58"/>
      <c r="CX93" s="58"/>
      <c r="CY93" s="58">
        <v>90</v>
      </c>
      <c r="CZ93" s="58"/>
      <c r="DA93" s="58"/>
      <c r="DB93" s="58"/>
      <c r="DC93" s="58"/>
      <c r="DD93" s="58"/>
      <c r="DE93" s="58"/>
      <c r="DF93" s="58"/>
      <c r="DG93" s="58"/>
      <c r="DH93" s="58">
        <v>90</v>
      </c>
      <c r="DI93" s="58">
        <v>180</v>
      </c>
      <c r="DJ93" s="58"/>
      <c r="DK93" s="107"/>
      <c r="DL93" s="107"/>
      <c r="DM93" s="107"/>
      <c r="DN93" s="107"/>
      <c r="DO93" s="107"/>
      <c r="DP93" s="107"/>
      <c r="DQ93" s="107"/>
      <c r="DR93" s="107"/>
      <c r="DS93" s="107"/>
      <c r="DT93" s="107"/>
      <c r="DU93" s="107"/>
      <c r="DV93" s="107"/>
      <c r="DW93" s="107"/>
      <c r="DX93" s="107"/>
      <c r="DY93" s="107"/>
      <c r="DZ93" s="107"/>
      <c r="EA93" s="107"/>
      <c r="EB93" s="107"/>
      <c r="EC93" s="107"/>
      <c r="ED93" s="107"/>
      <c r="EE93" s="107"/>
      <c r="EF93" s="107"/>
      <c r="EG93" s="107"/>
      <c r="EH93" s="107"/>
      <c r="EI93" s="107"/>
      <c r="EJ93" s="107"/>
      <c r="EK93" s="107"/>
      <c r="EL93" s="107"/>
      <c r="EM93" s="107"/>
      <c r="EN93" s="107"/>
      <c r="EO93" s="107"/>
      <c r="EP93" s="107"/>
      <c r="EQ93" s="107"/>
      <c r="ER93" s="107"/>
      <c r="ES93" s="107"/>
      <c r="ET93" s="107"/>
      <c r="EU93" s="107"/>
      <c r="EV93" s="107"/>
      <c r="EW93" s="107"/>
      <c r="EX93" s="107"/>
      <c r="EY93" s="107"/>
      <c r="EZ93" s="107"/>
      <c r="FA93" s="107"/>
      <c r="FB93" s="107"/>
      <c r="FC93" s="107"/>
      <c r="FD93" s="107"/>
      <c r="FE93" s="107"/>
      <c r="FF93" s="107"/>
      <c r="FG93" s="107"/>
      <c r="FH93" s="107"/>
      <c r="FI93" s="107"/>
      <c r="FJ93" s="107"/>
      <c r="FK93" s="107"/>
      <c r="FL93" s="107"/>
      <c r="FM93" s="107"/>
      <c r="FN93" s="107"/>
      <c r="FO93" s="107"/>
      <c r="FP93" s="107"/>
      <c r="FQ93" s="107"/>
      <c r="FR93" s="107"/>
      <c r="FS93" s="107"/>
      <c r="FT93" s="107"/>
    </row>
    <row r="94" spans="1:176" x14ac:dyDescent="0.25">
      <c r="A94" s="107"/>
      <c r="B94" s="107"/>
      <c r="C94" s="107"/>
      <c r="D94" s="107"/>
      <c r="E94" s="107"/>
      <c r="F94" s="107"/>
      <c r="G94" s="147" t="str">
        <f>IF(_ibpOfflineCondition_,"000000000000573601-1", _xll.EPMOlapMemberO("[PRDID].[].[000000000000573601-1]","","000000000000573601-1","","000"))</f>
        <v>000000000000573601-1</v>
      </c>
      <c r="H94" s="147" t="str">
        <f>IF(_ibpOfflineCondition_,"FGR+ FIGAROLLPLUS 10/280+40 BRAUN PL", _xll.EPMOlapMemberO("[PRDDESCR].[].[FGR+ FIGAROLLPLUS 10/280+40 BRAUN PL]","","FGR+ FIGAROLLPLUS 10/280+40 BRAUN PL","","000"))</f>
        <v>FGR+ FIGAROLLPLUS 10/280+40 BRAUN PL</v>
      </c>
      <c r="I94" s="147" t="str">
        <f>IF(_ibpOfflineCondition_,"X7", _xll.EPMOlapMemberO("[MRPTYPE].[].[X7]","","X7","","000"))</f>
        <v>X7</v>
      </c>
      <c r="J94" s="147" t="str">
        <f>IF(_ibpOfflineCondition_,"GSCRM Actuals and Future Production", _xll.EPMOlapMemberO("[KEY_FIGURES].[].[ZGSCRMACTUALSPRODUCTION]","","GSCRM Actuals and Future Production","","000"))</f>
        <v>GSCRM Actuals and Future Production</v>
      </c>
      <c r="K94" s="58"/>
      <c r="L94" s="58"/>
      <c r="M94" s="58"/>
      <c r="N94" s="58">
        <v>0</v>
      </c>
      <c r="O94" s="58">
        <v>0</v>
      </c>
      <c r="P94" s="58">
        <v>45</v>
      </c>
      <c r="Q94" s="58">
        <v>0</v>
      </c>
      <c r="R94" s="58">
        <v>0</v>
      </c>
      <c r="S94" s="58">
        <v>0</v>
      </c>
      <c r="T94" s="58">
        <v>45</v>
      </c>
      <c r="U94" s="58">
        <v>0</v>
      </c>
      <c r="V94" s="58">
        <v>0</v>
      </c>
      <c r="W94" s="58">
        <v>0</v>
      </c>
      <c r="X94" s="58">
        <v>315</v>
      </c>
      <c r="Y94" s="58"/>
      <c r="Z94" s="58"/>
      <c r="AA94" s="58"/>
      <c r="AB94" s="58"/>
      <c r="AC94" s="58"/>
      <c r="AD94" s="58">
        <v>0</v>
      </c>
      <c r="AE94" s="58"/>
      <c r="AF94" s="58">
        <v>0</v>
      </c>
      <c r="AG94" s="58"/>
      <c r="AH94" s="58">
        <v>270</v>
      </c>
      <c r="AI94" s="58"/>
      <c r="AJ94" s="58"/>
      <c r="AK94" s="58"/>
      <c r="AL94" s="58">
        <v>0</v>
      </c>
      <c r="AM94" s="58"/>
      <c r="AN94" s="58">
        <v>270</v>
      </c>
      <c r="AO94" s="58">
        <v>0</v>
      </c>
      <c r="AP94" s="58">
        <v>0</v>
      </c>
      <c r="AQ94" s="58"/>
      <c r="AR94" s="58"/>
      <c r="AS94" s="58"/>
      <c r="AT94" s="58"/>
      <c r="AU94" s="58"/>
      <c r="AV94" s="58">
        <v>0</v>
      </c>
      <c r="AW94" s="58"/>
      <c r="AX94" s="58"/>
      <c r="AY94" s="58"/>
      <c r="AZ94" s="58">
        <v>180</v>
      </c>
      <c r="BA94" s="58">
        <v>0</v>
      </c>
      <c r="BB94" s="58">
        <v>0</v>
      </c>
      <c r="BC94" s="58"/>
      <c r="BD94" s="58"/>
      <c r="BE94" s="58"/>
      <c r="BF94" s="58"/>
      <c r="BG94" s="58"/>
      <c r="BH94" s="58">
        <v>0</v>
      </c>
      <c r="BI94" s="58">
        <v>0</v>
      </c>
      <c r="BJ94" s="58"/>
      <c r="BK94" s="58"/>
      <c r="BL94" s="58"/>
      <c r="BM94" s="58"/>
      <c r="BN94" s="58">
        <v>720</v>
      </c>
      <c r="BO94" s="58"/>
      <c r="BP94" s="58">
        <v>0</v>
      </c>
      <c r="BQ94" s="58"/>
      <c r="BR94" s="58"/>
      <c r="BS94" s="58">
        <v>180</v>
      </c>
      <c r="BT94" s="58"/>
      <c r="BU94" s="58"/>
      <c r="BV94" s="58"/>
      <c r="BW94" s="58"/>
      <c r="BX94" s="58"/>
      <c r="BY94" s="58"/>
      <c r="BZ94" s="58"/>
      <c r="CA94" s="58">
        <v>0</v>
      </c>
      <c r="CB94" s="58">
        <v>270</v>
      </c>
      <c r="CC94" s="58"/>
      <c r="CD94" s="58"/>
      <c r="CE94" s="58">
        <v>360</v>
      </c>
      <c r="CF94" s="58">
        <v>0</v>
      </c>
      <c r="CG94" s="58">
        <v>0</v>
      </c>
      <c r="CH94" s="58"/>
      <c r="CI94" s="58"/>
      <c r="CJ94" s="58"/>
      <c r="CK94" s="58"/>
      <c r="CL94" s="58"/>
      <c r="CM94" s="58"/>
      <c r="CN94" s="58"/>
      <c r="CO94" s="58"/>
      <c r="CP94" s="58"/>
      <c r="CQ94" s="58"/>
      <c r="CR94" s="58"/>
      <c r="CS94" s="58"/>
      <c r="CT94" s="58"/>
      <c r="CU94" s="58"/>
      <c r="CV94" s="58"/>
      <c r="CW94" s="58"/>
      <c r="CX94" s="58"/>
      <c r="CY94" s="58">
        <v>0</v>
      </c>
      <c r="CZ94" s="58"/>
      <c r="DA94" s="58"/>
      <c r="DB94" s="58"/>
      <c r="DC94" s="58"/>
      <c r="DD94" s="58"/>
      <c r="DE94" s="58"/>
      <c r="DF94" s="58"/>
      <c r="DG94" s="58">
        <v>180</v>
      </c>
      <c r="DH94" s="58">
        <v>0</v>
      </c>
      <c r="DI94" s="58">
        <v>135</v>
      </c>
      <c r="DJ94" s="58"/>
      <c r="DK94" s="107"/>
      <c r="DL94" s="107"/>
      <c r="DM94" s="107"/>
      <c r="DN94" s="107"/>
      <c r="DO94" s="107"/>
      <c r="DP94" s="107"/>
      <c r="DQ94" s="107"/>
      <c r="DR94" s="107"/>
      <c r="DS94" s="107"/>
      <c r="DT94" s="107"/>
      <c r="DU94" s="107"/>
      <c r="DV94" s="107"/>
      <c r="DW94" s="107"/>
      <c r="DX94" s="107"/>
      <c r="DY94" s="107"/>
      <c r="DZ94" s="107"/>
      <c r="EA94" s="107"/>
      <c r="EB94" s="107"/>
      <c r="EC94" s="107"/>
      <c r="ED94" s="107"/>
      <c r="EE94" s="107"/>
      <c r="EF94" s="107"/>
      <c r="EG94" s="107"/>
      <c r="EH94" s="107"/>
      <c r="EI94" s="107"/>
      <c r="EJ94" s="107"/>
      <c r="EK94" s="107"/>
      <c r="EL94" s="107"/>
      <c r="EM94" s="107"/>
      <c r="EN94" s="107"/>
      <c r="EO94" s="107"/>
      <c r="EP94" s="107"/>
      <c r="EQ94" s="107"/>
      <c r="ER94" s="107"/>
      <c r="ES94" s="107"/>
      <c r="ET94" s="107"/>
      <c r="EU94" s="107"/>
      <c r="EV94" s="107"/>
      <c r="EW94" s="107"/>
      <c r="EX94" s="107"/>
      <c r="EY94" s="107"/>
      <c r="EZ94" s="107"/>
      <c r="FA94" s="107"/>
      <c r="FB94" s="107"/>
      <c r="FC94" s="107"/>
      <c r="FD94" s="107"/>
      <c r="FE94" s="107"/>
      <c r="FF94" s="107"/>
      <c r="FG94" s="107"/>
      <c r="FH94" s="107"/>
      <c r="FI94" s="107"/>
      <c r="FJ94" s="107"/>
      <c r="FK94" s="107"/>
      <c r="FL94" s="107"/>
      <c r="FM94" s="107"/>
      <c r="FN94" s="107"/>
      <c r="FO94" s="107"/>
      <c r="FP94" s="107"/>
      <c r="FQ94" s="107"/>
      <c r="FR94" s="107"/>
      <c r="FS94" s="107"/>
      <c r="FT94" s="107"/>
    </row>
    <row r="95" spans="1:176" x14ac:dyDescent="0.25">
      <c r="A95" s="107"/>
      <c r="B95" s="107"/>
      <c r="C95" s="107"/>
      <c r="D95" s="107"/>
      <c r="E95" s="107"/>
      <c r="F95" s="107"/>
      <c r="G95" s="147" t="str">
        <f>IF(_ibpOfflineCondition_,"000000000000573601-1", _xll.EPMOlapMemberO("[PRDID].[].[000000000000573601-1]","","000000000000573601-1","","000"))</f>
        <v>000000000000573601-1</v>
      </c>
      <c r="H95" s="147" t="str">
        <f>IF(_ibpOfflineCondition_,"FGR+ FIGAROLLPLUS 10/280+40 BRAUN PL", _xll.EPMOlapMemberO("[PRDDESCR].[].[FGR+ FIGAROLLPLUS 10/280+40 BRAUN PL]","","FGR+ FIGAROLLPLUS 10/280+40 BRAUN PL","","000"))</f>
        <v>FGR+ FIGAROLLPLUS 10/280+40 BRAUN PL</v>
      </c>
      <c r="I95" s="147" t="str">
        <f>IF(_ibpOfflineCondition_,"X7", _xll.EPMOlapMemberO("[MRPTYPE].[].[X7]","","X7","","000"))</f>
        <v>X7</v>
      </c>
      <c r="J95" s="147" t="str">
        <f>IF(_ibpOfflineCondition_,"GSCRM Projected Stock (Unconstrained Demand)", _xll.EPMOlapMemberO("[KEY_FIGURES].[].[ZGSCRMUNCONSINVENTORY]","","GSCRM Projected Stock (Unconstrained Demand)","","000"))</f>
        <v>GSCRM Projected Stock (Unconstrained Demand)</v>
      </c>
      <c r="K95" s="58">
        <v>360</v>
      </c>
      <c r="L95" s="58">
        <v>360</v>
      </c>
      <c r="M95" s="58">
        <v>360</v>
      </c>
      <c r="N95" s="58">
        <v>360</v>
      </c>
      <c r="O95" s="58">
        <v>270</v>
      </c>
      <c r="P95" s="58">
        <v>315</v>
      </c>
      <c r="Q95" s="58">
        <v>315</v>
      </c>
      <c r="R95" s="58">
        <v>315</v>
      </c>
      <c r="S95" s="58"/>
      <c r="T95" s="58">
        <v>315</v>
      </c>
      <c r="U95" s="58"/>
      <c r="V95" s="58"/>
      <c r="W95" s="58"/>
      <c r="X95" s="58">
        <v>315</v>
      </c>
      <c r="Y95" s="58">
        <v>315</v>
      </c>
      <c r="Z95" s="58">
        <v>315</v>
      </c>
      <c r="AA95" s="58">
        <v>315</v>
      </c>
      <c r="AB95" s="58">
        <v>315</v>
      </c>
      <c r="AC95" s="58">
        <v>315</v>
      </c>
      <c r="AD95" s="58">
        <v>270</v>
      </c>
      <c r="AE95" s="58">
        <v>270</v>
      </c>
      <c r="AF95" s="58">
        <v>180</v>
      </c>
      <c r="AG95" s="58">
        <v>180</v>
      </c>
      <c r="AH95" s="58">
        <v>360</v>
      </c>
      <c r="AI95" s="58">
        <v>360</v>
      </c>
      <c r="AJ95" s="58">
        <v>360</v>
      </c>
      <c r="AK95" s="58">
        <v>360</v>
      </c>
      <c r="AL95" s="58">
        <v>315</v>
      </c>
      <c r="AM95" s="58">
        <v>315</v>
      </c>
      <c r="AN95" s="58">
        <v>495</v>
      </c>
      <c r="AO95" s="58">
        <v>405</v>
      </c>
      <c r="AP95" s="58">
        <v>360</v>
      </c>
      <c r="AQ95" s="58">
        <v>360</v>
      </c>
      <c r="AR95" s="58">
        <v>360</v>
      </c>
      <c r="AS95" s="58">
        <v>360</v>
      </c>
      <c r="AT95" s="58">
        <v>360</v>
      </c>
      <c r="AU95" s="58">
        <v>360</v>
      </c>
      <c r="AV95" s="58">
        <v>270</v>
      </c>
      <c r="AW95" s="58">
        <v>270</v>
      </c>
      <c r="AX95" s="58">
        <v>270</v>
      </c>
      <c r="AY95" s="58">
        <v>270</v>
      </c>
      <c r="AZ95" s="58">
        <v>450</v>
      </c>
      <c r="BA95" s="58">
        <v>405</v>
      </c>
      <c r="BB95" s="58">
        <v>360</v>
      </c>
      <c r="BC95" s="58">
        <v>360</v>
      </c>
      <c r="BD95" s="58">
        <v>360</v>
      </c>
      <c r="BE95" s="58">
        <v>360</v>
      </c>
      <c r="BF95" s="58">
        <v>360</v>
      </c>
      <c r="BG95" s="58">
        <v>360</v>
      </c>
      <c r="BH95" s="58">
        <v>225</v>
      </c>
      <c r="BI95" s="58">
        <v>45</v>
      </c>
      <c r="BJ95" s="58">
        <v>45</v>
      </c>
      <c r="BK95" s="58">
        <v>45</v>
      </c>
      <c r="BL95" s="58">
        <v>45</v>
      </c>
      <c r="BM95" s="58">
        <v>45</v>
      </c>
      <c r="BN95" s="58">
        <v>720</v>
      </c>
      <c r="BO95" s="58">
        <v>720</v>
      </c>
      <c r="BP95" s="58">
        <v>270</v>
      </c>
      <c r="BQ95" s="58">
        <v>270</v>
      </c>
      <c r="BR95" s="58">
        <v>270</v>
      </c>
      <c r="BS95" s="58">
        <v>360</v>
      </c>
      <c r="BT95" s="58">
        <v>360</v>
      </c>
      <c r="BU95" s="58">
        <v>360</v>
      </c>
      <c r="BV95" s="58">
        <v>360</v>
      </c>
      <c r="BW95" s="58">
        <v>360</v>
      </c>
      <c r="BX95" s="58">
        <v>360</v>
      </c>
      <c r="BY95" s="58">
        <v>360</v>
      </c>
      <c r="BZ95" s="58">
        <v>360</v>
      </c>
      <c r="CA95" s="58">
        <v>270</v>
      </c>
      <c r="CB95" s="58">
        <v>540</v>
      </c>
      <c r="CC95" s="58">
        <v>540</v>
      </c>
      <c r="CD95" s="58">
        <v>540</v>
      </c>
      <c r="CE95" s="58">
        <v>900</v>
      </c>
      <c r="CF95" s="58">
        <v>360</v>
      </c>
      <c r="CG95" s="58">
        <v>180</v>
      </c>
      <c r="CH95" s="58">
        <v>180</v>
      </c>
      <c r="CI95" s="58">
        <v>180</v>
      </c>
      <c r="CJ95" s="58">
        <v>180</v>
      </c>
      <c r="CK95" s="58">
        <v>180</v>
      </c>
      <c r="CL95" s="58">
        <v>180</v>
      </c>
      <c r="CM95" s="58">
        <v>180</v>
      </c>
      <c r="CN95" s="58">
        <v>180</v>
      </c>
      <c r="CO95" s="58">
        <v>180</v>
      </c>
      <c r="CP95" s="58">
        <v>180</v>
      </c>
      <c r="CQ95" s="58">
        <v>180</v>
      </c>
      <c r="CR95" s="58">
        <v>180</v>
      </c>
      <c r="CS95" s="58">
        <v>180</v>
      </c>
      <c r="CT95" s="58">
        <v>180</v>
      </c>
      <c r="CU95" s="58">
        <v>180</v>
      </c>
      <c r="CV95" s="58">
        <v>180</v>
      </c>
      <c r="CW95" s="58">
        <v>180</v>
      </c>
      <c r="CX95" s="58">
        <v>180</v>
      </c>
      <c r="CY95" s="58">
        <v>90</v>
      </c>
      <c r="CZ95" s="58">
        <v>90</v>
      </c>
      <c r="DA95" s="58">
        <v>90</v>
      </c>
      <c r="DB95" s="58">
        <v>90</v>
      </c>
      <c r="DC95" s="58">
        <v>90</v>
      </c>
      <c r="DD95" s="58">
        <v>90</v>
      </c>
      <c r="DE95" s="58">
        <v>90</v>
      </c>
      <c r="DF95" s="58">
        <v>90</v>
      </c>
      <c r="DG95" s="58">
        <v>270</v>
      </c>
      <c r="DH95" s="58">
        <v>180</v>
      </c>
      <c r="DI95" s="58">
        <v>135</v>
      </c>
      <c r="DJ95" s="58">
        <v>135</v>
      </c>
      <c r="DK95" s="107"/>
      <c r="DL95" s="107"/>
      <c r="DM95" s="107"/>
      <c r="DN95" s="107"/>
      <c r="DO95" s="107"/>
      <c r="DP95" s="107"/>
      <c r="DQ95" s="107"/>
      <c r="DR95" s="107"/>
      <c r="DS95" s="107"/>
      <c r="DT95" s="107"/>
      <c r="DU95" s="107"/>
      <c r="DV95" s="107"/>
      <c r="DW95" s="107"/>
      <c r="DX95" s="107"/>
      <c r="DY95" s="107"/>
      <c r="DZ95" s="107"/>
      <c r="EA95" s="107"/>
      <c r="EB95" s="107"/>
      <c r="EC95" s="107"/>
      <c r="ED95" s="107"/>
      <c r="EE95" s="107"/>
      <c r="EF95" s="107"/>
      <c r="EG95" s="107"/>
      <c r="EH95" s="107"/>
      <c r="EI95" s="107"/>
      <c r="EJ95" s="107"/>
      <c r="EK95" s="107"/>
      <c r="EL95" s="107"/>
      <c r="EM95" s="107"/>
      <c r="EN95" s="107"/>
      <c r="EO95" s="107"/>
      <c r="EP95" s="107"/>
      <c r="EQ95" s="107"/>
      <c r="ER95" s="107"/>
      <c r="ES95" s="107"/>
      <c r="ET95" s="107"/>
      <c r="EU95" s="107"/>
      <c r="EV95" s="107"/>
      <c r="EW95" s="107"/>
      <c r="EX95" s="107"/>
      <c r="EY95" s="107"/>
      <c r="EZ95" s="107"/>
      <c r="FA95" s="107"/>
      <c r="FB95" s="107"/>
      <c r="FC95" s="107"/>
      <c r="FD95" s="107"/>
      <c r="FE95" s="107"/>
      <c r="FF95" s="107"/>
      <c r="FG95" s="107"/>
      <c r="FH95" s="107"/>
      <c r="FI95" s="107"/>
      <c r="FJ95" s="107"/>
      <c r="FK95" s="107"/>
      <c r="FL95" s="107"/>
      <c r="FM95" s="107"/>
      <c r="FN95" s="107"/>
      <c r="FO95" s="107"/>
      <c r="FP95" s="107"/>
      <c r="FQ95" s="107"/>
      <c r="FR95" s="107"/>
      <c r="FS95" s="107"/>
      <c r="FT95" s="107"/>
    </row>
    <row r="96" spans="1:176" x14ac:dyDescent="0.25">
      <c r="A96" s="107"/>
      <c r="B96" s="107"/>
      <c r="C96" s="107"/>
      <c r="D96" s="107"/>
      <c r="E96" s="107"/>
      <c r="F96" s="107"/>
      <c r="G96" s="147" t="str">
        <f>IF(_ibpOfflineCondition_,"000000000000573602-1", _xll.EPMOlapMemberO("[PRDID].[].[000000000000573602-1]","","000000000000573602-1","","000"))</f>
        <v>000000000000573602-1</v>
      </c>
      <c r="H96" s="147" t="str">
        <f>IF(_ibpOfflineCondition_,"FGR+ FIGAROLLPLUS 10/280+40 ANTHR PL", _xll.EPMOlapMemberO("[PRDDESCR].[].[FGR+ FIGAROLLPLUS 10/280+40 ANTHR PL]","","FGR+ FIGAROLLPLUS 10/280+40 ANTHR PL","","000"))</f>
        <v>FGR+ FIGAROLLPLUS 10/280+40 ANTHR PL</v>
      </c>
      <c r="I96" s="147" t="str">
        <f>IF(_ibpOfflineCondition_,"X0", _xll.EPMOlapMemberO("[MRPTYPE].[].[X0]","","X0","","000"))</f>
        <v>X0</v>
      </c>
      <c r="J96" s="147" t="str">
        <f>IF(_ibpOfflineCondition_,"GSCRM Actual Sales and Unconstrained Demand", _xll.EPMOlapMemberO("[KEY_FIGURES].[].[ZGSCRMACTUALUNCONSDEMAND]","","GSCRM Actual Sales and Unconstrained Demand","","000"))</f>
        <v>GSCRM Actual Sales and Unconstrained Demand</v>
      </c>
      <c r="K96" s="58"/>
      <c r="L96" s="58"/>
      <c r="M96" s="58"/>
      <c r="N96" s="58"/>
      <c r="O96" s="58">
        <v>2970</v>
      </c>
      <c r="P96" s="58"/>
      <c r="Q96" s="58"/>
      <c r="R96" s="58"/>
      <c r="S96" s="58"/>
      <c r="T96" s="58">
        <v>1395</v>
      </c>
      <c r="U96" s="58"/>
      <c r="V96" s="58"/>
      <c r="W96" s="58"/>
      <c r="X96" s="58"/>
      <c r="Y96" s="58"/>
      <c r="Z96" s="58"/>
      <c r="AA96" s="58"/>
      <c r="AB96" s="58"/>
      <c r="AC96" s="58">
        <v>1035</v>
      </c>
      <c r="AD96" s="58"/>
      <c r="AE96" s="58"/>
      <c r="AF96" s="58">
        <v>810</v>
      </c>
      <c r="AG96" s="58"/>
      <c r="AH96" s="58">
        <v>495</v>
      </c>
      <c r="AI96" s="58"/>
      <c r="AJ96" s="58"/>
      <c r="AK96" s="58"/>
      <c r="AL96" s="58"/>
      <c r="AM96" s="58">
        <v>1485</v>
      </c>
      <c r="AN96" s="58">
        <v>810</v>
      </c>
      <c r="AO96" s="58">
        <v>357</v>
      </c>
      <c r="AP96" s="58">
        <v>1128</v>
      </c>
      <c r="AQ96" s="58"/>
      <c r="AR96" s="58"/>
      <c r="AS96" s="58"/>
      <c r="AT96" s="58"/>
      <c r="AU96" s="58"/>
      <c r="AV96" s="58">
        <v>450</v>
      </c>
      <c r="AW96" s="58"/>
      <c r="AX96" s="58"/>
      <c r="AY96" s="58"/>
      <c r="AZ96" s="58"/>
      <c r="BA96" s="58"/>
      <c r="BB96" s="58"/>
      <c r="BC96" s="58"/>
      <c r="BD96" s="58"/>
      <c r="BE96" s="58"/>
      <c r="BF96" s="58"/>
      <c r="BG96" s="58"/>
      <c r="BH96" s="58">
        <v>360</v>
      </c>
      <c r="BI96" s="58">
        <v>3060</v>
      </c>
      <c r="BJ96" s="58">
        <v>1305</v>
      </c>
      <c r="BK96" s="58">
        <v>585</v>
      </c>
      <c r="BL96" s="58"/>
      <c r="BM96" s="58">
        <v>540</v>
      </c>
      <c r="BN96" s="58">
        <v>540</v>
      </c>
      <c r="BO96" s="58">
        <v>2025</v>
      </c>
      <c r="BP96" s="58"/>
      <c r="BQ96" s="58"/>
      <c r="BR96" s="58"/>
      <c r="BS96" s="58">
        <v>540</v>
      </c>
      <c r="BT96" s="58"/>
      <c r="BU96" s="58"/>
      <c r="BV96" s="58"/>
      <c r="BW96" s="58">
        <v>540</v>
      </c>
      <c r="BX96" s="58"/>
      <c r="BY96" s="58"/>
      <c r="BZ96" s="58"/>
      <c r="CA96" s="58"/>
      <c r="CB96" s="58">
        <v>540</v>
      </c>
      <c r="CC96" s="58"/>
      <c r="CD96" s="58"/>
      <c r="CE96" s="58">
        <v>540</v>
      </c>
      <c r="CF96" s="58"/>
      <c r="CG96" s="58">
        <v>1665</v>
      </c>
      <c r="CH96" s="58">
        <v>630</v>
      </c>
      <c r="CI96" s="58"/>
      <c r="CJ96" s="58"/>
      <c r="CK96" s="58"/>
      <c r="CL96" s="58">
        <v>1845</v>
      </c>
      <c r="CM96" s="58">
        <v>855</v>
      </c>
      <c r="CN96" s="58"/>
      <c r="CO96" s="58"/>
      <c r="CP96" s="58">
        <v>540</v>
      </c>
      <c r="CQ96" s="58"/>
      <c r="CR96" s="58"/>
      <c r="CS96" s="58"/>
      <c r="CT96" s="58"/>
      <c r="CU96" s="58">
        <v>540</v>
      </c>
      <c r="CV96" s="58"/>
      <c r="CW96" s="58"/>
      <c r="CX96" s="58"/>
      <c r="CY96" s="58"/>
      <c r="CZ96" s="58"/>
      <c r="DA96" s="58"/>
      <c r="DB96" s="58"/>
      <c r="DC96" s="58"/>
      <c r="DD96" s="58"/>
      <c r="DE96" s="58"/>
      <c r="DF96" s="58"/>
      <c r="DG96" s="58"/>
      <c r="DH96" s="58">
        <v>1080</v>
      </c>
      <c r="DI96" s="58">
        <v>2160</v>
      </c>
      <c r="DJ96" s="58"/>
      <c r="DK96" s="107"/>
      <c r="DL96" s="107"/>
      <c r="DM96" s="107"/>
      <c r="DN96" s="107"/>
      <c r="DO96" s="107"/>
      <c r="DP96" s="107"/>
      <c r="DQ96" s="107"/>
      <c r="DR96" s="107"/>
      <c r="DS96" s="107"/>
      <c r="DT96" s="107"/>
      <c r="DU96" s="107"/>
      <c r="DV96" s="107"/>
      <c r="DW96" s="107"/>
      <c r="DX96" s="107"/>
      <c r="DY96" s="107"/>
      <c r="DZ96" s="107"/>
      <c r="EA96" s="107"/>
      <c r="EB96" s="107"/>
      <c r="EC96" s="107"/>
      <c r="ED96" s="107"/>
      <c r="EE96" s="107"/>
      <c r="EF96" s="107"/>
      <c r="EG96" s="107"/>
      <c r="EH96" s="107"/>
      <c r="EI96" s="107"/>
      <c r="EJ96" s="107"/>
      <c r="EK96" s="107"/>
      <c r="EL96" s="107"/>
      <c r="EM96" s="107"/>
      <c r="EN96" s="107"/>
      <c r="EO96" s="107"/>
      <c r="EP96" s="107"/>
      <c r="EQ96" s="107"/>
      <c r="ER96" s="107"/>
      <c r="ES96" s="107"/>
      <c r="ET96" s="107"/>
      <c r="EU96" s="107"/>
      <c r="EV96" s="107"/>
      <c r="EW96" s="107"/>
      <c r="EX96" s="107"/>
      <c r="EY96" s="107"/>
      <c r="EZ96" s="107"/>
      <c r="FA96" s="107"/>
      <c r="FB96" s="107"/>
      <c r="FC96" s="107"/>
      <c r="FD96" s="107"/>
      <c r="FE96" s="107"/>
      <c r="FF96" s="107"/>
      <c r="FG96" s="107"/>
      <c r="FH96" s="107"/>
      <c r="FI96" s="107"/>
      <c r="FJ96" s="107"/>
      <c r="FK96" s="107"/>
      <c r="FL96" s="107"/>
      <c r="FM96" s="107"/>
      <c r="FN96" s="107"/>
      <c r="FO96" s="107"/>
      <c r="FP96" s="107"/>
      <c r="FQ96" s="107"/>
      <c r="FR96" s="107"/>
      <c r="FS96" s="107"/>
      <c r="FT96" s="107"/>
    </row>
    <row r="97" spans="1:176" x14ac:dyDescent="0.25">
      <c r="A97" s="107"/>
      <c r="B97" s="107"/>
      <c r="C97" s="107"/>
      <c r="D97" s="107"/>
      <c r="E97" s="107"/>
      <c r="F97" s="107"/>
      <c r="G97" s="147" t="str">
        <f>IF(_ibpOfflineCondition_,"000000000000573602-1", _xll.EPMOlapMemberO("[PRDID].[].[000000000000573602-1]","","000000000000573602-1","","000"))</f>
        <v>000000000000573602-1</v>
      </c>
      <c r="H97" s="147" t="str">
        <f>IF(_ibpOfflineCondition_,"FGR+ FIGAROLLPLUS 10/280+40 ANTHR PL", _xll.EPMOlapMemberO("[PRDDESCR].[].[FGR+ FIGAROLLPLUS 10/280+40 ANTHR PL]","","FGR+ FIGAROLLPLUS 10/280+40 ANTHR PL","","000"))</f>
        <v>FGR+ FIGAROLLPLUS 10/280+40 ANTHR PL</v>
      </c>
      <c r="I97" s="147" t="str">
        <f>IF(_ibpOfflineCondition_,"X0", _xll.EPMOlapMemberO("[MRPTYPE].[].[X0]","","X0","","000"))</f>
        <v>X0</v>
      </c>
      <c r="J97" s="147" t="str">
        <f>IF(_ibpOfflineCondition_,"GSCRM Actuals and Future Production", _xll.EPMOlapMemberO("[KEY_FIGURES].[].[ZGSCRMACTUALSPRODUCTION]","","GSCRM Actuals and Future Production","","000"))</f>
        <v>GSCRM Actuals and Future Production</v>
      </c>
      <c r="K97" s="58"/>
      <c r="L97" s="58"/>
      <c r="M97" s="58"/>
      <c r="N97" s="58">
        <v>0</v>
      </c>
      <c r="O97" s="58">
        <v>0</v>
      </c>
      <c r="P97" s="58">
        <v>0</v>
      </c>
      <c r="Q97" s="58">
        <v>0</v>
      </c>
      <c r="R97" s="58">
        <v>0</v>
      </c>
      <c r="S97" s="58">
        <v>0</v>
      </c>
      <c r="T97" s="58">
        <v>0</v>
      </c>
      <c r="U97" s="58">
        <v>0</v>
      </c>
      <c r="V97" s="58">
        <v>0</v>
      </c>
      <c r="W97" s="58">
        <v>0</v>
      </c>
      <c r="X97" s="58"/>
      <c r="Y97" s="58">
        <v>1080</v>
      </c>
      <c r="Z97" s="58"/>
      <c r="AA97" s="58"/>
      <c r="AB97" s="58">
        <v>765</v>
      </c>
      <c r="AC97" s="58">
        <v>0</v>
      </c>
      <c r="AD97" s="58"/>
      <c r="AE97" s="58"/>
      <c r="AF97" s="58">
        <v>540</v>
      </c>
      <c r="AG97" s="58"/>
      <c r="AH97" s="58">
        <v>0</v>
      </c>
      <c r="AI97" s="58">
        <v>630</v>
      </c>
      <c r="AJ97" s="58">
        <v>1035</v>
      </c>
      <c r="AK97" s="58">
        <v>405</v>
      </c>
      <c r="AL97" s="58">
        <v>315</v>
      </c>
      <c r="AM97" s="58">
        <v>0</v>
      </c>
      <c r="AN97" s="58">
        <v>3645</v>
      </c>
      <c r="AO97" s="58">
        <v>1260</v>
      </c>
      <c r="AP97" s="58">
        <v>0</v>
      </c>
      <c r="AQ97" s="58">
        <v>225</v>
      </c>
      <c r="AR97" s="58">
        <v>405</v>
      </c>
      <c r="AS97" s="58"/>
      <c r="AT97" s="58"/>
      <c r="AU97" s="58"/>
      <c r="AV97" s="58">
        <v>0</v>
      </c>
      <c r="AW97" s="58"/>
      <c r="AX97" s="58">
        <v>540</v>
      </c>
      <c r="AY97" s="58"/>
      <c r="AZ97" s="58"/>
      <c r="BA97" s="58"/>
      <c r="BB97" s="58"/>
      <c r="BC97" s="58"/>
      <c r="BD97" s="58">
        <v>2520</v>
      </c>
      <c r="BE97" s="58"/>
      <c r="BF97" s="58"/>
      <c r="BG97" s="58"/>
      <c r="BH97" s="58">
        <v>0</v>
      </c>
      <c r="BI97" s="58">
        <v>0</v>
      </c>
      <c r="BJ97" s="58">
        <v>0</v>
      </c>
      <c r="BK97" s="58">
        <v>675</v>
      </c>
      <c r="BL97" s="58">
        <v>765</v>
      </c>
      <c r="BM97" s="58">
        <v>270</v>
      </c>
      <c r="BN97" s="58">
        <v>1440</v>
      </c>
      <c r="BO97" s="58">
        <v>0</v>
      </c>
      <c r="BP97" s="58"/>
      <c r="BQ97" s="58">
        <v>1260</v>
      </c>
      <c r="BR97" s="58"/>
      <c r="BS97" s="58">
        <v>0</v>
      </c>
      <c r="BT97" s="58">
        <v>900</v>
      </c>
      <c r="BU97" s="58"/>
      <c r="BV97" s="58"/>
      <c r="BW97" s="58">
        <v>0</v>
      </c>
      <c r="BX97" s="58"/>
      <c r="BY97" s="58"/>
      <c r="BZ97" s="58"/>
      <c r="CA97" s="58"/>
      <c r="CB97" s="58">
        <v>0</v>
      </c>
      <c r="CC97" s="58"/>
      <c r="CD97" s="58"/>
      <c r="CE97" s="58">
        <v>1935</v>
      </c>
      <c r="CF97" s="58"/>
      <c r="CG97" s="58">
        <v>0</v>
      </c>
      <c r="CH97" s="58">
        <v>2565</v>
      </c>
      <c r="CI97" s="58"/>
      <c r="CJ97" s="58"/>
      <c r="CK97" s="58">
        <v>2430</v>
      </c>
      <c r="CL97" s="58">
        <v>0</v>
      </c>
      <c r="CM97" s="58">
        <v>0</v>
      </c>
      <c r="CN97" s="58"/>
      <c r="CO97" s="58"/>
      <c r="CP97" s="58">
        <v>0</v>
      </c>
      <c r="CQ97" s="58"/>
      <c r="CR97" s="58"/>
      <c r="CS97" s="58">
        <v>585</v>
      </c>
      <c r="CT97" s="58"/>
      <c r="CU97" s="58">
        <v>0</v>
      </c>
      <c r="CV97" s="58"/>
      <c r="CW97" s="58">
        <v>450</v>
      </c>
      <c r="CX97" s="58"/>
      <c r="CY97" s="58"/>
      <c r="CZ97" s="58"/>
      <c r="DA97" s="58"/>
      <c r="DB97" s="58">
        <v>2655</v>
      </c>
      <c r="DC97" s="58"/>
      <c r="DD97" s="58"/>
      <c r="DE97" s="58"/>
      <c r="DF97" s="58"/>
      <c r="DG97" s="58"/>
      <c r="DH97" s="58">
        <v>0</v>
      </c>
      <c r="DI97" s="58">
        <v>0</v>
      </c>
      <c r="DJ97" s="58">
        <v>1035</v>
      </c>
      <c r="DK97" s="107"/>
      <c r="DL97" s="107"/>
      <c r="DM97" s="107"/>
      <c r="DN97" s="107"/>
      <c r="DO97" s="107"/>
      <c r="DP97" s="107"/>
      <c r="DQ97" s="107"/>
      <c r="DR97" s="107"/>
      <c r="DS97" s="107"/>
      <c r="DT97" s="107"/>
      <c r="DU97" s="107"/>
      <c r="DV97" s="107"/>
      <c r="DW97" s="107"/>
      <c r="DX97" s="107"/>
      <c r="DY97" s="107"/>
      <c r="DZ97" s="107"/>
      <c r="EA97" s="107"/>
      <c r="EB97" s="107"/>
      <c r="EC97" s="107"/>
      <c r="ED97" s="107"/>
      <c r="EE97" s="107"/>
      <c r="EF97" s="107"/>
      <c r="EG97" s="107"/>
      <c r="EH97" s="107"/>
      <c r="EI97" s="107"/>
      <c r="EJ97" s="107"/>
      <c r="EK97" s="107"/>
      <c r="EL97" s="107"/>
      <c r="EM97" s="107"/>
      <c r="EN97" s="107"/>
      <c r="EO97" s="107"/>
      <c r="EP97" s="107"/>
      <c r="EQ97" s="107"/>
      <c r="ER97" s="107"/>
      <c r="ES97" s="107"/>
      <c r="ET97" s="107"/>
      <c r="EU97" s="107"/>
      <c r="EV97" s="107"/>
      <c r="EW97" s="107"/>
      <c r="EX97" s="107"/>
      <c r="EY97" s="107"/>
      <c r="EZ97" s="107"/>
      <c r="FA97" s="107"/>
      <c r="FB97" s="107"/>
      <c r="FC97" s="107"/>
      <c r="FD97" s="107"/>
      <c r="FE97" s="107"/>
      <c r="FF97" s="107"/>
      <c r="FG97" s="107"/>
      <c r="FH97" s="107"/>
      <c r="FI97" s="107"/>
      <c r="FJ97" s="107"/>
      <c r="FK97" s="107"/>
      <c r="FL97" s="107"/>
      <c r="FM97" s="107"/>
      <c r="FN97" s="107"/>
      <c r="FO97" s="107"/>
      <c r="FP97" s="107"/>
      <c r="FQ97" s="107"/>
      <c r="FR97" s="107"/>
      <c r="FS97" s="107"/>
      <c r="FT97" s="107"/>
    </row>
    <row r="98" spans="1:176" x14ac:dyDescent="0.25">
      <c r="A98" s="107"/>
      <c r="B98" s="107"/>
      <c r="C98" s="107"/>
      <c r="D98" s="107"/>
      <c r="E98" s="107"/>
      <c r="F98" s="107"/>
      <c r="G98" s="147" t="str">
        <f>IF(_ibpOfflineCondition_,"000000000000573602-1", _xll.EPMOlapMemberO("[PRDID].[].[000000000000573602-1]","","000000000000573602-1","","000"))</f>
        <v>000000000000573602-1</v>
      </c>
      <c r="H98" s="147" t="str">
        <f>IF(_ibpOfflineCondition_,"FGR+ FIGAROLLPLUS 10/280+40 ANTHR PL", _xll.EPMOlapMemberO("[PRDDESCR].[].[FGR+ FIGAROLLPLUS 10/280+40 ANTHR PL]","","FGR+ FIGAROLLPLUS 10/280+40 ANTHR PL","","000"))</f>
        <v>FGR+ FIGAROLLPLUS 10/280+40 ANTHR PL</v>
      </c>
      <c r="I98" s="147" t="str">
        <f>IF(_ibpOfflineCondition_,"X0", _xll.EPMOlapMemberO("[MRPTYPE].[].[X0]","","X0","","000"))</f>
        <v>X0</v>
      </c>
      <c r="J98" s="147" t="str">
        <f>IF(_ibpOfflineCondition_,"GSCRM Projected Stock (Unconstrained Demand)", _xll.EPMOlapMemberO("[KEY_FIGURES].[].[ZGSCRMUNCONSINVENTORY]","","GSCRM Projected Stock (Unconstrained Demand)","","000"))</f>
        <v>GSCRM Projected Stock (Unconstrained Demand)</v>
      </c>
      <c r="K98" s="58">
        <v>4635</v>
      </c>
      <c r="L98" s="58">
        <v>4635</v>
      </c>
      <c r="M98" s="58">
        <v>4632</v>
      </c>
      <c r="N98" s="58">
        <v>4632</v>
      </c>
      <c r="O98" s="58">
        <v>1662</v>
      </c>
      <c r="P98" s="58">
        <v>1662</v>
      </c>
      <c r="Q98" s="58">
        <v>1662</v>
      </c>
      <c r="R98" s="58">
        <v>1662</v>
      </c>
      <c r="S98" s="58"/>
      <c r="T98" s="58">
        <v>267</v>
      </c>
      <c r="U98" s="58">
        <v>267</v>
      </c>
      <c r="V98" s="58">
        <v>267</v>
      </c>
      <c r="W98" s="58">
        <v>267</v>
      </c>
      <c r="X98" s="58">
        <v>267</v>
      </c>
      <c r="Y98" s="58">
        <v>1347</v>
      </c>
      <c r="Z98" s="58">
        <v>1347</v>
      </c>
      <c r="AA98" s="58">
        <v>1347</v>
      </c>
      <c r="AB98" s="58">
        <v>2112</v>
      </c>
      <c r="AC98" s="58">
        <v>1077</v>
      </c>
      <c r="AD98" s="58">
        <v>1032</v>
      </c>
      <c r="AE98" s="58">
        <v>1032</v>
      </c>
      <c r="AF98" s="58">
        <v>762</v>
      </c>
      <c r="AG98" s="58">
        <v>762</v>
      </c>
      <c r="AH98" s="58">
        <v>267</v>
      </c>
      <c r="AI98" s="58">
        <v>897</v>
      </c>
      <c r="AJ98" s="58">
        <v>1932</v>
      </c>
      <c r="AK98" s="58">
        <v>2337</v>
      </c>
      <c r="AL98" s="58">
        <v>2652</v>
      </c>
      <c r="AM98" s="58">
        <v>1167</v>
      </c>
      <c r="AN98" s="58">
        <v>4002</v>
      </c>
      <c r="AO98" s="58">
        <v>4905</v>
      </c>
      <c r="AP98" s="58">
        <v>3777</v>
      </c>
      <c r="AQ98" s="58">
        <v>4002</v>
      </c>
      <c r="AR98" s="58">
        <v>4407</v>
      </c>
      <c r="AS98" s="58">
        <v>4407</v>
      </c>
      <c r="AT98" s="58">
        <v>4407</v>
      </c>
      <c r="AU98" s="58">
        <v>4407</v>
      </c>
      <c r="AV98" s="58">
        <v>3957</v>
      </c>
      <c r="AW98" s="58">
        <v>3957</v>
      </c>
      <c r="AX98" s="58">
        <v>4497</v>
      </c>
      <c r="AY98" s="58">
        <v>4497</v>
      </c>
      <c r="AZ98" s="58">
        <v>4497</v>
      </c>
      <c r="BA98" s="58">
        <v>4497</v>
      </c>
      <c r="BB98" s="58">
        <v>4497</v>
      </c>
      <c r="BC98" s="58">
        <v>4497</v>
      </c>
      <c r="BD98" s="58">
        <v>5757</v>
      </c>
      <c r="BE98" s="58">
        <v>5757</v>
      </c>
      <c r="BF98" s="58">
        <v>5757</v>
      </c>
      <c r="BG98" s="58">
        <v>5757</v>
      </c>
      <c r="BH98" s="58">
        <v>5397</v>
      </c>
      <c r="BI98" s="58">
        <v>2337</v>
      </c>
      <c r="BJ98" s="58">
        <v>1032</v>
      </c>
      <c r="BK98" s="58">
        <v>1122</v>
      </c>
      <c r="BL98" s="58">
        <v>2157</v>
      </c>
      <c r="BM98" s="58">
        <v>1977</v>
      </c>
      <c r="BN98" s="58">
        <v>2517</v>
      </c>
      <c r="BO98" s="58">
        <v>492</v>
      </c>
      <c r="BP98" s="58">
        <v>537</v>
      </c>
      <c r="BQ98" s="58">
        <v>1797</v>
      </c>
      <c r="BR98" s="58">
        <v>1797</v>
      </c>
      <c r="BS98" s="58">
        <v>1527</v>
      </c>
      <c r="BT98" s="58">
        <v>2157</v>
      </c>
      <c r="BU98" s="58">
        <v>2157</v>
      </c>
      <c r="BV98" s="58">
        <v>2157</v>
      </c>
      <c r="BW98" s="58">
        <v>1617</v>
      </c>
      <c r="BX98" s="58">
        <v>1617</v>
      </c>
      <c r="BY98" s="58">
        <v>1617</v>
      </c>
      <c r="BZ98" s="58">
        <v>1617</v>
      </c>
      <c r="CA98" s="58">
        <v>1617</v>
      </c>
      <c r="CB98" s="58">
        <v>1077</v>
      </c>
      <c r="CC98" s="58">
        <v>1077</v>
      </c>
      <c r="CD98" s="58">
        <v>1077</v>
      </c>
      <c r="CE98" s="58">
        <v>2472</v>
      </c>
      <c r="CF98" s="58">
        <v>2472</v>
      </c>
      <c r="CG98" s="58">
        <v>807</v>
      </c>
      <c r="CH98" s="58">
        <v>2742</v>
      </c>
      <c r="CI98" s="58">
        <v>2742</v>
      </c>
      <c r="CJ98" s="58">
        <v>2787</v>
      </c>
      <c r="CK98" s="58">
        <v>5172</v>
      </c>
      <c r="CL98" s="58">
        <v>3327</v>
      </c>
      <c r="CM98" s="58">
        <v>2472</v>
      </c>
      <c r="CN98" s="58">
        <v>2472</v>
      </c>
      <c r="CO98" s="58">
        <v>2472</v>
      </c>
      <c r="CP98" s="58">
        <v>1932</v>
      </c>
      <c r="CQ98" s="58">
        <v>1932</v>
      </c>
      <c r="CR98" s="58">
        <v>1932</v>
      </c>
      <c r="CS98" s="58">
        <v>2517</v>
      </c>
      <c r="CT98" s="58">
        <v>2517</v>
      </c>
      <c r="CU98" s="58">
        <v>1977</v>
      </c>
      <c r="CV98" s="58">
        <v>1977</v>
      </c>
      <c r="CW98" s="58">
        <v>2427</v>
      </c>
      <c r="CX98" s="58">
        <v>2427</v>
      </c>
      <c r="CY98" s="58">
        <v>2427</v>
      </c>
      <c r="CZ98" s="58">
        <v>2427</v>
      </c>
      <c r="DA98" s="58">
        <v>2427</v>
      </c>
      <c r="DB98" s="58">
        <v>5082</v>
      </c>
      <c r="DC98" s="58">
        <v>5082</v>
      </c>
      <c r="DD98" s="58">
        <v>5082</v>
      </c>
      <c r="DE98" s="58">
        <v>5082</v>
      </c>
      <c r="DF98" s="58">
        <v>5082</v>
      </c>
      <c r="DG98" s="58">
        <v>5082</v>
      </c>
      <c r="DH98" s="58">
        <v>4002</v>
      </c>
      <c r="DI98" s="58">
        <v>1842</v>
      </c>
      <c r="DJ98" s="58">
        <v>2877</v>
      </c>
      <c r="DK98" s="107"/>
      <c r="DL98" s="107"/>
      <c r="DM98" s="107"/>
      <c r="DN98" s="107"/>
      <c r="DO98" s="107"/>
      <c r="DP98" s="107"/>
      <c r="DQ98" s="107"/>
      <c r="DR98" s="107"/>
      <c r="DS98" s="107"/>
      <c r="DT98" s="107"/>
      <c r="DU98" s="107"/>
      <c r="DV98" s="107"/>
      <c r="DW98" s="107"/>
      <c r="DX98" s="107"/>
      <c r="DY98" s="107"/>
      <c r="DZ98" s="107"/>
      <c r="EA98" s="107"/>
      <c r="EB98" s="107"/>
      <c r="EC98" s="107"/>
      <c r="ED98" s="107"/>
      <c r="EE98" s="107"/>
      <c r="EF98" s="107"/>
      <c r="EG98" s="107"/>
      <c r="EH98" s="107"/>
      <c r="EI98" s="107"/>
      <c r="EJ98" s="107"/>
      <c r="EK98" s="107"/>
      <c r="EL98" s="107"/>
      <c r="EM98" s="107"/>
      <c r="EN98" s="107"/>
      <c r="EO98" s="107"/>
      <c r="EP98" s="107"/>
      <c r="EQ98" s="107"/>
      <c r="ER98" s="107"/>
      <c r="ES98" s="107"/>
      <c r="ET98" s="107"/>
      <c r="EU98" s="107"/>
      <c r="EV98" s="107"/>
      <c r="EW98" s="107"/>
      <c r="EX98" s="107"/>
      <c r="EY98" s="107"/>
      <c r="EZ98" s="107"/>
      <c r="FA98" s="107"/>
      <c r="FB98" s="107"/>
      <c r="FC98" s="107"/>
      <c r="FD98" s="107"/>
      <c r="FE98" s="107"/>
      <c r="FF98" s="107"/>
      <c r="FG98" s="107"/>
      <c r="FH98" s="107"/>
      <c r="FI98" s="107"/>
      <c r="FJ98" s="107"/>
      <c r="FK98" s="107"/>
      <c r="FL98" s="107"/>
      <c r="FM98" s="107"/>
      <c r="FN98" s="107"/>
      <c r="FO98" s="107"/>
      <c r="FP98" s="107"/>
      <c r="FQ98" s="107"/>
      <c r="FR98" s="107"/>
      <c r="FS98" s="107"/>
      <c r="FT98" s="107"/>
    </row>
    <row r="99" spans="1:176" x14ac:dyDescent="0.25">
      <c r="A99" s="107"/>
      <c r="B99" s="107"/>
      <c r="C99" s="107"/>
      <c r="D99" s="107"/>
      <c r="E99" s="107"/>
      <c r="F99" s="107"/>
      <c r="G99" s="147" t="str">
        <f>IF(_ibpOfflineCondition_,"000000000000573603-1", _xll.EPMOlapMemberO("[PRDID].[].[000000000000573603-1]","","000000000000573603-1","","000"))</f>
        <v>000000000000573603-1</v>
      </c>
      <c r="H99" s="147" t="str">
        <f>IF(_ibpOfflineCondition_,"FGR+ FIGAROLLPLUS 10/280+40 ROT PL", _xll.EPMOlapMemberO("[PRDDESCR].[].[FGR+ FIGAROLLPLUS 10/280+40 ROT PL]","","FGR+ FIGAROLLPLUS 10/280+40 ROT PL","","000"))</f>
        <v>FGR+ FIGAROLLPLUS 10/280+40 ROT PL</v>
      </c>
      <c r="I99" s="147" t="str">
        <f>IF(_ibpOfflineCondition_,"X7", _xll.EPMOlapMemberO("[MRPTYPE].[].[X7]","","X7","","000"))</f>
        <v>X7</v>
      </c>
      <c r="J99" s="147" t="str">
        <f>IF(_ibpOfflineCondition_,"GSCRM Actual Sales and Unconstrained Demand", _xll.EPMOlapMemberO("[KEY_FIGURES].[].[ZGSCRMACTUALUNCONSDEMAND]","","GSCRM Actual Sales and Unconstrained Demand","","000"))</f>
        <v>GSCRM Actual Sales and Unconstrained Demand</v>
      </c>
      <c r="K99" s="58"/>
      <c r="L99" s="58">
        <v>90</v>
      </c>
      <c r="M99" s="58"/>
      <c r="N99" s="58">
        <v>45</v>
      </c>
      <c r="O99" s="58">
        <v>270</v>
      </c>
      <c r="P99" s="58"/>
      <c r="Q99" s="58"/>
      <c r="R99" s="58">
        <v>135</v>
      </c>
      <c r="S99" s="58">
        <v>225</v>
      </c>
      <c r="T99" s="58"/>
      <c r="U99" s="58">
        <v>225</v>
      </c>
      <c r="V99" s="58">
        <v>45</v>
      </c>
      <c r="W99" s="58"/>
      <c r="X99" s="58"/>
      <c r="Y99" s="58"/>
      <c r="Z99" s="58"/>
      <c r="AA99" s="58">
        <v>45</v>
      </c>
      <c r="AB99" s="58"/>
      <c r="AC99" s="58">
        <v>90</v>
      </c>
      <c r="AD99" s="58"/>
      <c r="AE99" s="58"/>
      <c r="AF99" s="58">
        <v>180</v>
      </c>
      <c r="AG99" s="58"/>
      <c r="AH99" s="58">
        <v>135</v>
      </c>
      <c r="AI99" s="58"/>
      <c r="AJ99" s="58"/>
      <c r="AK99" s="58">
        <v>135</v>
      </c>
      <c r="AL99" s="58">
        <v>90</v>
      </c>
      <c r="AM99" s="58">
        <v>225</v>
      </c>
      <c r="AN99" s="58"/>
      <c r="AO99" s="58"/>
      <c r="AP99" s="58">
        <v>225</v>
      </c>
      <c r="AQ99" s="58">
        <v>45</v>
      </c>
      <c r="AR99" s="58"/>
      <c r="AS99" s="58">
        <v>315</v>
      </c>
      <c r="AT99" s="58"/>
      <c r="AU99" s="58"/>
      <c r="AV99" s="58"/>
      <c r="AW99" s="58"/>
      <c r="AX99" s="58"/>
      <c r="AY99" s="58"/>
      <c r="AZ99" s="58"/>
      <c r="BA99" s="58">
        <v>45</v>
      </c>
      <c r="BB99" s="58">
        <v>90</v>
      </c>
      <c r="BC99" s="58"/>
      <c r="BD99" s="58"/>
      <c r="BE99" s="58"/>
      <c r="BF99" s="58"/>
      <c r="BG99" s="58"/>
      <c r="BH99" s="58">
        <v>180</v>
      </c>
      <c r="BI99" s="58"/>
      <c r="BJ99" s="58"/>
      <c r="BK99" s="58"/>
      <c r="BL99" s="58">
        <v>90</v>
      </c>
      <c r="BM99" s="58">
        <v>1035</v>
      </c>
      <c r="BN99" s="58"/>
      <c r="BO99" s="58">
        <v>270</v>
      </c>
      <c r="BP99" s="58"/>
      <c r="BQ99" s="58"/>
      <c r="BR99" s="58"/>
      <c r="BS99" s="58"/>
      <c r="BT99" s="58"/>
      <c r="BU99" s="58"/>
      <c r="BV99" s="58"/>
      <c r="BW99" s="58"/>
      <c r="BX99" s="58"/>
      <c r="BY99" s="58"/>
      <c r="BZ99" s="58"/>
      <c r="CA99" s="58"/>
      <c r="CB99" s="58"/>
      <c r="CC99" s="58"/>
      <c r="CD99" s="58"/>
      <c r="CE99" s="58"/>
      <c r="CF99" s="58">
        <v>360</v>
      </c>
      <c r="CG99" s="58">
        <v>270</v>
      </c>
      <c r="CH99" s="58"/>
      <c r="CI99" s="58"/>
      <c r="CJ99" s="58"/>
      <c r="CK99" s="58"/>
      <c r="CL99" s="58"/>
      <c r="CM99" s="58">
        <v>180</v>
      </c>
      <c r="CN99" s="58"/>
      <c r="CO99" s="58"/>
      <c r="CP99" s="58"/>
      <c r="CQ99" s="58"/>
      <c r="CR99" s="58"/>
      <c r="CS99" s="58">
        <v>45</v>
      </c>
      <c r="CT99" s="58"/>
      <c r="CU99" s="58">
        <v>180</v>
      </c>
      <c r="CV99" s="58"/>
      <c r="CW99" s="58"/>
      <c r="CX99" s="58"/>
      <c r="CY99" s="58">
        <v>180</v>
      </c>
      <c r="CZ99" s="58"/>
      <c r="DA99" s="58"/>
      <c r="DB99" s="58"/>
      <c r="DC99" s="58"/>
      <c r="DD99" s="58"/>
      <c r="DE99" s="58"/>
      <c r="DF99" s="58"/>
      <c r="DG99" s="58"/>
      <c r="DH99" s="58"/>
      <c r="DI99" s="58">
        <v>360</v>
      </c>
      <c r="DJ99" s="58">
        <v>225</v>
      </c>
      <c r="DK99" s="107"/>
      <c r="DL99" s="107"/>
      <c r="DM99" s="107"/>
      <c r="DN99" s="107"/>
      <c r="DO99" s="107"/>
      <c r="DP99" s="107"/>
      <c r="DQ99" s="107"/>
      <c r="DR99" s="107"/>
      <c r="DS99" s="107"/>
      <c r="DT99" s="107"/>
      <c r="DU99" s="107"/>
      <c r="DV99" s="107"/>
      <c r="DW99" s="107"/>
      <c r="DX99" s="107"/>
      <c r="DY99" s="107"/>
      <c r="DZ99" s="107"/>
      <c r="EA99" s="107"/>
      <c r="EB99" s="107"/>
      <c r="EC99" s="107"/>
      <c r="ED99" s="107"/>
      <c r="EE99" s="107"/>
      <c r="EF99" s="107"/>
      <c r="EG99" s="107"/>
      <c r="EH99" s="107"/>
      <c r="EI99" s="107"/>
      <c r="EJ99" s="107"/>
      <c r="EK99" s="107"/>
      <c r="EL99" s="107"/>
      <c r="EM99" s="107"/>
      <c r="EN99" s="107"/>
      <c r="EO99" s="107"/>
      <c r="EP99" s="107"/>
      <c r="EQ99" s="107"/>
      <c r="ER99" s="107"/>
      <c r="ES99" s="107"/>
      <c r="ET99" s="107"/>
      <c r="EU99" s="107"/>
      <c r="EV99" s="107"/>
      <c r="EW99" s="107"/>
      <c r="EX99" s="107"/>
      <c r="EY99" s="107"/>
      <c r="EZ99" s="107"/>
      <c r="FA99" s="107"/>
      <c r="FB99" s="107"/>
      <c r="FC99" s="107"/>
      <c r="FD99" s="107"/>
      <c r="FE99" s="107"/>
      <c r="FF99" s="107"/>
      <c r="FG99" s="107"/>
      <c r="FH99" s="107"/>
      <c r="FI99" s="107"/>
      <c r="FJ99" s="107"/>
      <c r="FK99" s="107"/>
      <c r="FL99" s="107"/>
      <c r="FM99" s="107"/>
      <c r="FN99" s="107"/>
      <c r="FO99" s="107"/>
      <c r="FP99" s="107"/>
      <c r="FQ99" s="107"/>
      <c r="FR99" s="107"/>
      <c r="FS99" s="107"/>
      <c r="FT99" s="107"/>
    </row>
    <row r="100" spans="1:176" x14ac:dyDescent="0.25">
      <c r="A100" s="107"/>
      <c r="B100" s="107"/>
      <c r="C100" s="107"/>
      <c r="D100" s="107"/>
      <c r="E100" s="107"/>
      <c r="F100" s="107"/>
      <c r="G100" s="147" t="str">
        <f>IF(_ibpOfflineCondition_,"000000000000573603-1", _xll.EPMOlapMemberO("[PRDID].[].[000000000000573603-1]","","000000000000573603-1","","000"))</f>
        <v>000000000000573603-1</v>
      </c>
      <c r="H100" s="147" t="str">
        <f>IF(_ibpOfflineCondition_,"FGR+ FIGAROLLPLUS 10/280+40 ROT PL", _xll.EPMOlapMemberO("[PRDDESCR].[].[FGR+ FIGAROLLPLUS 10/280+40 ROT PL]","","FGR+ FIGAROLLPLUS 10/280+40 ROT PL","","000"))</f>
        <v>FGR+ FIGAROLLPLUS 10/280+40 ROT PL</v>
      </c>
      <c r="I100" s="147" t="str">
        <f>IF(_ibpOfflineCondition_,"X7", _xll.EPMOlapMemberO("[MRPTYPE].[].[X7]","","X7","","000"))</f>
        <v>X7</v>
      </c>
      <c r="J100" s="147" t="str">
        <f>IF(_ibpOfflineCondition_,"GSCRM Actuals and Future Production", _xll.EPMOlapMemberO("[KEY_FIGURES].[].[ZGSCRMACTUALSPRODUCTION]","","GSCRM Actuals and Future Production","","000"))</f>
        <v>GSCRM Actuals and Future Production</v>
      </c>
      <c r="K100" s="58">
        <v>0</v>
      </c>
      <c r="L100" s="58">
        <v>0</v>
      </c>
      <c r="M100" s="58">
        <v>180</v>
      </c>
      <c r="N100" s="58">
        <v>0</v>
      </c>
      <c r="O100" s="58">
        <v>0</v>
      </c>
      <c r="P100" s="58">
        <v>360</v>
      </c>
      <c r="Q100" s="58">
        <v>180</v>
      </c>
      <c r="R100" s="58">
        <v>0</v>
      </c>
      <c r="S100" s="58">
        <v>0</v>
      </c>
      <c r="T100" s="58">
        <v>405</v>
      </c>
      <c r="U100" s="58">
        <v>0</v>
      </c>
      <c r="V100" s="58">
        <v>0</v>
      </c>
      <c r="W100" s="58">
        <v>0</v>
      </c>
      <c r="X100" s="58"/>
      <c r="Y100" s="58"/>
      <c r="Z100" s="58"/>
      <c r="AA100" s="58">
        <v>0</v>
      </c>
      <c r="AB100" s="58"/>
      <c r="AC100" s="58">
        <v>0</v>
      </c>
      <c r="AD100" s="58"/>
      <c r="AE100" s="58"/>
      <c r="AF100" s="58">
        <v>630</v>
      </c>
      <c r="AG100" s="58"/>
      <c r="AH100" s="58">
        <v>0</v>
      </c>
      <c r="AI100" s="58"/>
      <c r="AJ100" s="58"/>
      <c r="AK100" s="58">
        <v>0</v>
      </c>
      <c r="AL100" s="58">
        <v>0</v>
      </c>
      <c r="AM100" s="58">
        <v>0</v>
      </c>
      <c r="AN100" s="58">
        <v>360</v>
      </c>
      <c r="AO100" s="58">
        <v>180</v>
      </c>
      <c r="AP100" s="58">
        <v>0</v>
      </c>
      <c r="AQ100" s="58">
        <v>180</v>
      </c>
      <c r="AR100" s="58"/>
      <c r="AS100" s="58">
        <v>0</v>
      </c>
      <c r="AT100" s="58">
        <v>180</v>
      </c>
      <c r="AU100" s="58"/>
      <c r="AV100" s="58"/>
      <c r="AW100" s="58">
        <v>270</v>
      </c>
      <c r="AX100" s="58"/>
      <c r="AY100" s="58"/>
      <c r="AZ100" s="58"/>
      <c r="BA100" s="58">
        <v>0</v>
      </c>
      <c r="BB100" s="58">
        <v>0</v>
      </c>
      <c r="BC100" s="58"/>
      <c r="BD100" s="58"/>
      <c r="BE100" s="58"/>
      <c r="BF100" s="58"/>
      <c r="BG100" s="58"/>
      <c r="BH100" s="58">
        <v>0</v>
      </c>
      <c r="BI100" s="58"/>
      <c r="BJ100" s="58"/>
      <c r="BK100" s="58">
        <v>900</v>
      </c>
      <c r="BL100" s="58">
        <v>45</v>
      </c>
      <c r="BM100" s="58">
        <v>135</v>
      </c>
      <c r="BN100" s="58">
        <v>360</v>
      </c>
      <c r="BO100" s="58">
        <v>0</v>
      </c>
      <c r="BP100" s="58"/>
      <c r="BQ100" s="58">
        <v>180</v>
      </c>
      <c r="BR100" s="58"/>
      <c r="BS100" s="58"/>
      <c r="BT100" s="58"/>
      <c r="BU100" s="58"/>
      <c r="BV100" s="58"/>
      <c r="BW100" s="58"/>
      <c r="BX100" s="58"/>
      <c r="BY100" s="58"/>
      <c r="BZ100" s="58"/>
      <c r="CA100" s="58"/>
      <c r="CB100" s="58"/>
      <c r="CC100" s="58"/>
      <c r="CD100" s="58">
        <v>450</v>
      </c>
      <c r="CE100" s="58"/>
      <c r="CF100" s="58">
        <v>0</v>
      </c>
      <c r="CG100" s="58">
        <v>0</v>
      </c>
      <c r="CH100" s="58"/>
      <c r="CI100" s="58"/>
      <c r="CJ100" s="58"/>
      <c r="CK100" s="58"/>
      <c r="CL100" s="58"/>
      <c r="CM100" s="58">
        <v>0</v>
      </c>
      <c r="CN100" s="58"/>
      <c r="CO100" s="58"/>
      <c r="CP100" s="58"/>
      <c r="CQ100" s="58"/>
      <c r="CR100" s="58"/>
      <c r="CS100" s="58">
        <v>45</v>
      </c>
      <c r="CT100" s="58"/>
      <c r="CU100" s="58">
        <v>0</v>
      </c>
      <c r="CV100" s="58"/>
      <c r="CW100" s="58">
        <v>180</v>
      </c>
      <c r="CX100" s="58"/>
      <c r="CY100" s="58">
        <v>0</v>
      </c>
      <c r="CZ100" s="58"/>
      <c r="DA100" s="58"/>
      <c r="DB100" s="58"/>
      <c r="DC100" s="58"/>
      <c r="DD100" s="58">
        <v>360</v>
      </c>
      <c r="DE100" s="58"/>
      <c r="DF100" s="58"/>
      <c r="DG100" s="58">
        <v>225</v>
      </c>
      <c r="DH100" s="58"/>
      <c r="DI100" s="58">
        <v>360</v>
      </c>
      <c r="DJ100" s="58">
        <v>0</v>
      </c>
      <c r="DK100" s="107"/>
      <c r="DL100" s="107"/>
      <c r="DM100" s="107"/>
      <c r="DN100" s="107"/>
      <c r="DO100" s="107"/>
      <c r="DP100" s="107"/>
      <c r="DQ100" s="107"/>
      <c r="DR100" s="107"/>
      <c r="DS100" s="107"/>
      <c r="DT100" s="107"/>
      <c r="DU100" s="107"/>
      <c r="DV100" s="107"/>
      <c r="DW100" s="107"/>
      <c r="DX100" s="107"/>
      <c r="DY100" s="107"/>
      <c r="DZ100" s="107"/>
      <c r="EA100" s="107"/>
      <c r="EB100" s="107"/>
      <c r="EC100" s="107"/>
      <c r="ED100" s="107"/>
      <c r="EE100" s="107"/>
      <c r="EF100" s="107"/>
      <c r="EG100" s="107"/>
      <c r="EH100" s="107"/>
      <c r="EI100" s="107"/>
      <c r="EJ100" s="107"/>
      <c r="EK100" s="107"/>
      <c r="EL100" s="107"/>
      <c r="EM100" s="107"/>
      <c r="EN100" s="107"/>
      <c r="EO100" s="107"/>
      <c r="EP100" s="107"/>
      <c r="EQ100" s="107"/>
      <c r="ER100" s="107"/>
      <c r="ES100" s="107"/>
      <c r="ET100" s="107"/>
      <c r="EU100" s="107"/>
      <c r="EV100" s="107"/>
      <c r="EW100" s="107"/>
      <c r="EX100" s="107"/>
      <c r="EY100" s="107"/>
      <c r="EZ100" s="107"/>
      <c r="FA100" s="107"/>
      <c r="FB100" s="107"/>
      <c r="FC100" s="107"/>
      <c r="FD100" s="107"/>
      <c r="FE100" s="107"/>
      <c r="FF100" s="107"/>
      <c r="FG100" s="107"/>
      <c r="FH100" s="107"/>
      <c r="FI100" s="107"/>
      <c r="FJ100" s="107"/>
      <c r="FK100" s="107"/>
      <c r="FL100" s="107"/>
      <c r="FM100" s="107"/>
      <c r="FN100" s="107"/>
      <c r="FO100" s="107"/>
      <c r="FP100" s="107"/>
      <c r="FQ100" s="107"/>
      <c r="FR100" s="107"/>
      <c r="FS100" s="107"/>
      <c r="FT100" s="107"/>
    </row>
    <row r="101" spans="1:176" x14ac:dyDescent="0.25">
      <c r="A101" s="107"/>
      <c r="B101" s="107"/>
      <c r="C101" s="107"/>
      <c r="D101" s="107"/>
      <c r="E101" s="107"/>
      <c r="F101" s="107"/>
      <c r="G101" s="147" t="str">
        <f>IF(_ibpOfflineCondition_,"000000000000573603-1", _xll.EPMOlapMemberO("[PRDID].[].[000000000000573603-1]","","000000000000573603-1","","000"))</f>
        <v>000000000000573603-1</v>
      </c>
      <c r="H101" s="147" t="str">
        <f>IF(_ibpOfflineCondition_,"FGR+ FIGAROLLPLUS 10/280+40 ROT PL", _xll.EPMOlapMemberO("[PRDDESCR].[].[FGR+ FIGAROLLPLUS 10/280+40 ROT PL]","","FGR+ FIGAROLLPLUS 10/280+40 ROT PL","","000"))</f>
        <v>FGR+ FIGAROLLPLUS 10/280+40 ROT PL</v>
      </c>
      <c r="I101" s="147" t="str">
        <f>IF(_ibpOfflineCondition_,"X7", _xll.EPMOlapMemberO("[MRPTYPE].[].[X7]","","X7","","000"))</f>
        <v>X7</v>
      </c>
      <c r="J101" s="147" t="str">
        <f>IF(_ibpOfflineCondition_,"GSCRM Projected Stock (Unconstrained Demand)", _xll.EPMOlapMemberO("[KEY_FIGURES].[].[ZGSCRMUNCONSINVENTORY]","","GSCRM Projected Stock (Unconstrained Demand)","","000"))</f>
        <v>GSCRM Projected Stock (Unconstrained Demand)</v>
      </c>
      <c r="K101" s="58">
        <v>225</v>
      </c>
      <c r="L101" s="58">
        <v>135</v>
      </c>
      <c r="M101" s="58">
        <v>315</v>
      </c>
      <c r="N101" s="58">
        <v>270</v>
      </c>
      <c r="O101" s="58"/>
      <c r="P101" s="58">
        <v>360</v>
      </c>
      <c r="Q101" s="58">
        <v>540</v>
      </c>
      <c r="R101" s="58">
        <v>405</v>
      </c>
      <c r="S101" s="58"/>
      <c r="T101" s="58">
        <v>585</v>
      </c>
      <c r="U101" s="58">
        <v>360</v>
      </c>
      <c r="V101" s="58">
        <v>315</v>
      </c>
      <c r="W101" s="58">
        <v>315</v>
      </c>
      <c r="X101" s="58">
        <v>315</v>
      </c>
      <c r="Y101" s="58">
        <v>315</v>
      </c>
      <c r="Z101" s="58">
        <v>315</v>
      </c>
      <c r="AA101" s="58">
        <v>270</v>
      </c>
      <c r="AB101" s="58">
        <v>270</v>
      </c>
      <c r="AC101" s="58">
        <v>180</v>
      </c>
      <c r="AD101" s="58">
        <v>180</v>
      </c>
      <c r="AE101" s="58">
        <v>180</v>
      </c>
      <c r="AF101" s="58">
        <v>630</v>
      </c>
      <c r="AG101" s="58">
        <v>630</v>
      </c>
      <c r="AH101" s="58">
        <v>495</v>
      </c>
      <c r="AI101" s="58">
        <v>495</v>
      </c>
      <c r="AJ101" s="58">
        <v>495</v>
      </c>
      <c r="AK101" s="58">
        <v>360</v>
      </c>
      <c r="AL101" s="58">
        <v>270</v>
      </c>
      <c r="AM101" s="58">
        <v>45</v>
      </c>
      <c r="AN101" s="58">
        <v>585</v>
      </c>
      <c r="AO101" s="58">
        <v>585</v>
      </c>
      <c r="AP101" s="58">
        <v>360</v>
      </c>
      <c r="AQ101" s="58">
        <v>495</v>
      </c>
      <c r="AR101" s="58">
        <v>495</v>
      </c>
      <c r="AS101" s="58">
        <v>180</v>
      </c>
      <c r="AT101" s="58">
        <v>360</v>
      </c>
      <c r="AU101" s="58">
        <v>360</v>
      </c>
      <c r="AV101" s="58">
        <v>360</v>
      </c>
      <c r="AW101" s="58">
        <v>630</v>
      </c>
      <c r="AX101" s="58">
        <v>630</v>
      </c>
      <c r="AY101" s="58">
        <v>630</v>
      </c>
      <c r="AZ101" s="58">
        <v>630</v>
      </c>
      <c r="BA101" s="58">
        <v>585</v>
      </c>
      <c r="BB101" s="58">
        <v>495</v>
      </c>
      <c r="BC101" s="58">
        <v>495</v>
      </c>
      <c r="BD101" s="58">
        <v>495</v>
      </c>
      <c r="BE101" s="58">
        <v>495</v>
      </c>
      <c r="BF101" s="58">
        <v>495</v>
      </c>
      <c r="BG101" s="58">
        <v>495</v>
      </c>
      <c r="BH101" s="58">
        <v>315</v>
      </c>
      <c r="BI101" s="58">
        <v>315</v>
      </c>
      <c r="BJ101" s="58">
        <v>315</v>
      </c>
      <c r="BK101" s="58">
        <v>1215</v>
      </c>
      <c r="BL101" s="58">
        <v>1305</v>
      </c>
      <c r="BM101" s="58">
        <v>270</v>
      </c>
      <c r="BN101" s="58">
        <v>585</v>
      </c>
      <c r="BO101" s="58">
        <v>360</v>
      </c>
      <c r="BP101" s="58">
        <v>360</v>
      </c>
      <c r="BQ101" s="58">
        <v>540</v>
      </c>
      <c r="BR101" s="58">
        <v>540</v>
      </c>
      <c r="BS101" s="58">
        <v>540</v>
      </c>
      <c r="BT101" s="58">
        <v>540</v>
      </c>
      <c r="BU101" s="58">
        <v>540</v>
      </c>
      <c r="BV101" s="58">
        <v>540</v>
      </c>
      <c r="BW101" s="58">
        <v>540</v>
      </c>
      <c r="BX101" s="58">
        <v>540</v>
      </c>
      <c r="BY101" s="58">
        <v>540</v>
      </c>
      <c r="BZ101" s="58">
        <v>540</v>
      </c>
      <c r="CA101" s="58">
        <v>540</v>
      </c>
      <c r="CB101" s="58">
        <v>540</v>
      </c>
      <c r="CC101" s="58">
        <v>540</v>
      </c>
      <c r="CD101" s="58">
        <v>990</v>
      </c>
      <c r="CE101" s="58">
        <v>990</v>
      </c>
      <c r="CF101" s="58">
        <v>630</v>
      </c>
      <c r="CG101" s="58">
        <v>360</v>
      </c>
      <c r="CH101" s="58">
        <v>360</v>
      </c>
      <c r="CI101" s="58">
        <v>360</v>
      </c>
      <c r="CJ101" s="58">
        <v>360</v>
      </c>
      <c r="CK101" s="58">
        <v>360</v>
      </c>
      <c r="CL101" s="58">
        <v>360</v>
      </c>
      <c r="CM101" s="58">
        <v>180</v>
      </c>
      <c r="CN101" s="58">
        <v>180</v>
      </c>
      <c r="CO101" s="58">
        <v>180</v>
      </c>
      <c r="CP101" s="58">
        <v>180</v>
      </c>
      <c r="CQ101" s="58">
        <v>180</v>
      </c>
      <c r="CR101" s="58">
        <v>135</v>
      </c>
      <c r="CS101" s="58">
        <v>180</v>
      </c>
      <c r="CT101" s="58">
        <v>180</v>
      </c>
      <c r="CU101" s="58"/>
      <c r="CV101" s="58"/>
      <c r="CW101" s="58">
        <v>180</v>
      </c>
      <c r="CX101" s="58">
        <v>180</v>
      </c>
      <c r="CY101" s="58"/>
      <c r="CZ101" s="58"/>
      <c r="DA101" s="58"/>
      <c r="DB101" s="58"/>
      <c r="DC101" s="58"/>
      <c r="DD101" s="58">
        <v>360</v>
      </c>
      <c r="DE101" s="58">
        <v>360</v>
      </c>
      <c r="DF101" s="58">
        <v>360</v>
      </c>
      <c r="DG101" s="58">
        <v>585</v>
      </c>
      <c r="DH101" s="58">
        <v>585</v>
      </c>
      <c r="DI101" s="58">
        <v>585</v>
      </c>
      <c r="DJ101" s="58">
        <v>360</v>
      </c>
      <c r="DK101" s="107"/>
      <c r="DL101" s="107"/>
      <c r="DM101" s="107"/>
      <c r="DN101" s="107"/>
      <c r="DO101" s="107"/>
      <c r="DP101" s="107"/>
      <c r="DQ101" s="107"/>
      <c r="DR101" s="107"/>
      <c r="DS101" s="107"/>
      <c r="DT101" s="107"/>
      <c r="DU101" s="107"/>
      <c r="DV101" s="107"/>
      <c r="DW101" s="107"/>
      <c r="DX101" s="107"/>
      <c r="DY101" s="107"/>
      <c r="DZ101" s="107"/>
      <c r="EA101" s="107"/>
      <c r="EB101" s="107"/>
      <c r="EC101" s="107"/>
      <c r="ED101" s="107"/>
      <c r="EE101" s="107"/>
      <c r="EF101" s="107"/>
      <c r="EG101" s="107"/>
      <c r="EH101" s="107"/>
      <c r="EI101" s="107"/>
      <c r="EJ101" s="107"/>
      <c r="EK101" s="107"/>
      <c r="EL101" s="107"/>
      <c r="EM101" s="107"/>
      <c r="EN101" s="107"/>
      <c r="EO101" s="107"/>
      <c r="EP101" s="107"/>
      <c r="EQ101" s="107"/>
      <c r="ER101" s="107"/>
      <c r="ES101" s="107"/>
      <c r="ET101" s="107"/>
      <c r="EU101" s="107"/>
      <c r="EV101" s="107"/>
      <c r="EW101" s="107"/>
      <c r="EX101" s="107"/>
      <c r="EY101" s="107"/>
      <c r="EZ101" s="107"/>
      <c r="FA101" s="107"/>
      <c r="FB101" s="107"/>
      <c r="FC101" s="107"/>
      <c r="FD101" s="107"/>
      <c r="FE101" s="107"/>
      <c r="FF101" s="107"/>
      <c r="FG101" s="107"/>
      <c r="FH101" s="107"/>
      <c r="FI101" s="107"/>
      <c r="FJ101" s="107"/>
      <c r="FK101" s="107"/>
      <c r="FL101" s="107"/>
      <c r="FM101" s="107"/>
      <c r="FN101" s="107"/>
      <c r="FO101" s="107"/>
      <c r="FP101" s="107"/>
      <c r="FQ101" s="107"/>
      <c r="FR101" s="107"/>
      <c r="FS101" s="107"/>
      <c r="FT101" s="107"/>
    </row>
    <row r="102" spans="1:176" x14ac:dyDescent="0.25">
      <c r="A102" s="107"/>
      <c r="B102" s="107"/>
      <c r="C102" s="107"/>
      <c r="D102" s="107"/>
      <c r="E102" s="107"/>
      <c r="F102" s="107"/>
      <c r="G102" s="147" t="str">
        <f>IF(_ibpOfflineCondition_,"000000000000573620-1", _xll.EPMOlapMemberO("[PRDID].[].[000000000000573620-1]","","000000000000573620-1","","000"))</f>
        <v>000000000000573620-1</v>
      </c>
      <c r="H102" s="147" t="str">
        <f>IF(_ibpOfflineCondition_,"FGR+ FIGAROLLPLUS 10/280+40 SCHWARZ PL", _xll.EPMOlapMemberO("[PRDDESCR].[].[FGR+ FIGAROLLPLUS 10/280+40 SCHWARZ PL]","","FGR+ FIGAROLLPLUS 10/280+40 SCHWARZ PL","","000"))</f>
        <v>FGR+ FIGAROLLPLUS 10/280+40 SCHWARZ PL</v>
      </c>
      <c r="I102" s="147" t="str">
        <f>IF(_ibpOfflineCondition_,"X7", _xll.EPMOlapMemberO("[MRPTYPE].[].[X7]","","X7","","000"))</f>
        <v>X7</v>
      </c>
      <c r="J102" s="147" t="str">
        <f>IF(_ibpOfflineCondition_,"GSCRM Actual Sales and Unconstrained Demand", _xll.EPMOlapMemberO("[KEY_FIGURES].[].[ZGSCRMACTUALUNCONSDEMAND]","","GSCRM Actual Sales and Unconstrained Demand","","000"))</f>
        <v>GSCRM Actual Sales and Unconstrained Demand</v>
      </c>
      <c r="K102" s="58"/>
      <c r="L102" s="58">
        <v>45</v>
      </c>
      <c r="M102" s="58"/>
      <c r="N102" s="58"/>
      <c r="O102" s="58">
        <v>1170</v>
      </c>
      <c r="P102" s="58">
        <v>450</v>
      </c>
      <c r="Q102" s="58"/>
      <c r="R102" s="58"/>
      <c r="S102" s="58">
        <v>630</v>
      </c>
      <c r="T102" s="58"/>
      <c r="U102" s="58"/>
      <c r="V102" s="58"/>
      <c r="W102" s="58"/>
      <c r="X102" s="58"/>
      <c r="Y102" s="58"/>
      <c r="Z102" s="58"/>
      <c r="AA102" s="58"/>
      <c r="AB102" s="58"/>
      <c r="AC102" s="58"/>
      <c r="AD102" s="58">
        <v>180</v>
      </c>
      <c r="AE102" s="58"/>
      <c r="AF102" s="58">
        <v>540</v>
      </c>
      <c r="AG102" s="58"/>
      <c r="AH102" s="58">
        <v>315</v>
      </c>
      <c r="AI102" s="58"/>
      <c r="AJ102" s="58"/>
      <c r="AK102" s="58">
        <v>315</v>
      </c>
      <c r="AL102" s="58">
        <v>405</v>
      </c>
      <c r="AM102" s="58"/>
      <c r="AN102" s="58">
        <v>180</v>
      </c>
      <c r="AO102" s="58">
        <v>360</v>
      </c>
      <c r="AP102" s="58">
        <v>315</v>
      </c>
      <c r="AQ102" s="58"/>
      <c r="AR102" s="58"/>
      <c r="AS102" s="58">
        <v>540</v>
      </c>
      <c r="AT102" s="58"/>
      <c r="AU102" s="58"/>
      <c r="AV102" s="58"/>
      <c r="AW102" s="58"/>
      <c r="AX102" s="58"/>
      <c r="AY102" s="58"/>
      <c r="AZ102" s="58"/>
      <c r="BA102" s="58">
        <v>360</v>
      </c>
      <c r="BB102" s="58"/>
      <c r="BC102" s="58"/>
      <c r="BD102" s="58"/>
      <c r="BE102" s="58"/>
      <c r="BF102" s="58"/>
      <c r="BG102" s="58"/>
      <c r="BH102" s="58">
        <v>585</v>
      </c>
      <c r="BI102" s="58">
        <v>765</v>
      </c>
      <c r="BJ102" s="58"/>
      <c r="BK102" s="58"/>
      <c r="BL102" s="58">
        <v>405</v>
      </c>
      <c r="BM102" s="58"/>
      <c r="BN102" s="58"/>
      <c r="BO102" s="58"/>
      <c r="BP102" s="58"/>
      <c r="BQ102" s="58">
        <v>1980</v>
      </c>
      <c r="BR102" s="58"/>
      <c r="BS102" s="58">
        <v>630</v>
      </c>
      <c r="BT102" s="58"/>
      <c r="BU102" s="58"/>
      <c r="BV102" s="58"/>
      <c r="BW102" s="58"/>
      <c r="BX102" s="58"/>
      <c r="BY102" s="58">
        <v>405</v>
      </c>
      <c r="BZ102" s="58"/>
      <c r="CA102" s="58"/>
      <c r="CB102" s="58"/>
      <c r="CC102" s="58"/>
      <c r="CD102" s="58"/>
      <c r="CE102" s="58"/>
      <c r="CF102" s="58">
        <v>1080</v>
      </c>
      <c r="CG102" s="58">
        <v>900</v>
      </c>
      <c r="CH102" s="58"/>
      <c r="CI102" s="58"/>
      <c r="CJ102" s="58"/>
      <c r="CK102" s="58"/>
      <c r="CL102" s="58"/>
      <c r="CM102" s="58">
        <v>450</v>
      </c>
      <c r="CN102" s="58"/>
      <c r="CO102" s="58"/>
      <c r="CP102" s="58"/>
      <c r="CQ102" s="58"/>
      <c r="CR102" s="58"/>
      <c r="CS102" s="58"/>
      <c r="CT102" s="58"/>
      <c r="CU102" s="58"/>
      <c r="CV102" s="58"/>
      <c r="CW102" s="58"/>
      <c r="CX102" s="58"/>
      <c r="CY102" s="58">
        <v>404</v>
      </c>
      <c r="CZ102" s="58"/>
      <c r="DA102" s="58"/>
      <c r="DB102" s="58"/>
      <c r="DC102" s="58"/>
      <c r="DD102" s="58"/>
      <c r="DE102" s="58"/>
      <c r="DF102" s="58"/>
      <c r="DG102" s="58"/>
      <c r="DH102" s="58">
        <v>675</v>
      </c>
      <c r="DI102" s="58">
        <v>810</v>
      </c>
      <c r="DJ102" s="58"/>
      <c r="DK102" s="107"/>
      <c r="DL102" s="107"/>
      <c r="DM102" s="107"/>
      <c r="DN102" s="107"/>
      <c r="DO102" s="107"/>
      <c r="DP102" s="107"/>
      <c r="DQ102" s="107"/>
      <c r="DR102" s="107"/>
      <c r="DS102" s="107"/>
      <c r="DT102" s="107"/>
      <c r="DU102" s="107"/>
      <c r="DV102" s="107"/>
      <c r="DW102" s="107"/>
      <c r="DX102" s="107"/>
      <c r="DY102" s="107"/>
      <c r="DZ102" s="107"/>
      <c r="EA102" s="107"/>
      <c r="EB102" s="107"/>
      <c r="EC102" s="107"/>
      <c r="ED102" s="107"/>
      <c r="EE102" s="107"/>
      <c r="EF102" s="107"/>
      <c r="EG102" s="107"/>
      <c r="EH102" s="107"/>
      <c r="EI102" s="107"/>
      <c r="EJ102" s="107"/>
      <c r="EK102" s="107"/>
      <c r="EL102" s="107"/>
      <c r="EM102" s="107"/>
      <c r="EN102" s="107"/>
      <c r="EO102" s="107"/>
      <c r="EP102" s="107"/>
      <c r="EQ102" s="107"/>
      <c r="ER102" s="107"/>
      <c r="ES102" s="107"/>
      <c r="ET102" s="107"/>
      <c r="EU102" s="107"/>
      <c r="EV102" s="107"/>
      <c r="EW102" s="107"/>
      <c r="EX102" s="107"/>
      <c r="EY102" s="107"/>
      <c r="EZ102" s="107"/>
      <c r="FA102" s="107"/>
      <c r="FB102" s="107"/>
      <c r="FC102" s="107"/>
      <c r="FD102" s="107"/>
      <c r="FE102" s="107"/>
      <c r="FF102" s="107"/>
      <c r="FG102" s="107"/>
      <c r="FH102" s="107"/>
      <c r="FI102" s="107"/>
      <c r="FJ102" s="107"/>
      <c r="FK102" s="107"/>
      <c r="FL102" s="107"/>
      <c r="FM102" s="107"/>
      <c r="FN102" s="107"/>
      <c r="FO102" s="107"/>
      <c r="FP102" s="107"/>
      <c r="FQ102" s="107"/>
      <c r="FR102" s="107"/>
      <c r="FS102" s="107"/>
      <c r="FT102" s="107"/>
    </row>
    <row r="103" spans="1:176" x14ac:dyDescent="0.25">
      <c r="A103" s="107"/>
      <c r="B103" s="107"/>
      <c r="C103" s="107"/>
      <c r="D103" s="107"/>
      <c r="E103" s="107"/>
      <c r="F103" s="107"/>
      <c r="G103" s="147" t="str">
        <f>IF(_ibpOfflineCondition_,"000000000000573620-1", _xll.EPMOlapMemberO("[PRDID].[].[000000000000573620-1]","","000000000000573620-1","","000"))</f>
        <v>000000000000573620-1</v>
      </c>
      <c r="H103" s="147" t="str">
        <f>IF(_ibpOfflineCondition_,"FGR+ FIGAROLLPLUS 10/280+40 SCHWARZ PL", _xll.EPMOlapMemberO("[PRDDESCR].[].[FGR+ FIGAROLLPLUS 10/280+40 SCHWARZ PL]","","FGR+ FIGAROLLPLUS 10/280+40 SCHWARZ PL","","000"))</f>
        <v>FGR+ FIGAROLLPLUS 10/280+40 SCHWARZ PL</v>
      </c>
      <c r="I103" s="147" t="str">
        <f>IF(_ibpOfflineCondition_,"X7", _xll.EPMOlapMemberO("[MRPTYPE].[].[X7]","","X7","","000"))</f>
        <v>X7</v>
      </c>
      <c r="J103" s="147" t="str">
        <f>IF(_ibpOfflineCondition_,"GSCRM Actuals and Future Production", _xll.EPMOlapMemberO("[KEY_FIGURES].[].[ZGSCRMACTUALSPRODUCTION]","","GSCRM Actuals and Future Production","","000"))</f>
        <v>GSCRM Actuals and Future Production</v>
      </c>
      <c r="K103" s="58">
        <v>0</v>
      </c>
      <c r="L103" s="58">
        <v>0</v>
      </c>
      <c r="M103" s="58">
        <v>0</v>
      </c>
      <c r="N103" s="58">
        <v>0</v>
      </c>
      <c r="O103" s="58">
        <v>0</v>
      </c>
      <c r="P103" s="58">
        <v>0</v>
      </c>
      <c r="Q103" s="58">
        <v>180</v>
      </c>
      <c r="R103" s="58">
        <v>0</v>
      </c>
      <c r="S103" s="58">
        <v>0</v>
      </c>
      <c r="T103" s="58">
        <v>0</v>
      </c>
      <c r="U103" s="58">
        <v>0</v>
      </c>
      <c r="V103" s="58">
        <v>0</v>
      </c>
      <c r="W103" s="58">
        <v>0</v>
      </c>
      <c r="X103" s="58"/>
      <c r="Y103" s="58">
        <v>270</v>
      </c>
      <c r="Z103" s="58"/>
      <c r="AA103" s="58"/>
      <c r="AB103" s="58">
        <v>450</v>
      </c>
      <c r="AC103" s="58"/>
      <c r="AD103" s="58">
        <v>0</v>
      </c>
      <c r="AE103" s="58"/>
      <c r="AF103" s="58">
        <v>540</v>
      </c>
      <c r="AG103" s="58"/>
      <c r="AH103" s="58">
        <v>0</v>
      </c>
      <c r="AI103" s="58">
        <v>1170</v>
      </c>
      <c r="AJ103" s="58"/>
      <c r="AK103" s="58">
        <v>0</v>
      </c>
      <c r="AL103" s="58">
        <v>0</v>
      </c>
      <c r="AM103" s="58"/>
      <c r="AN103" s="58">
        <v>1170</v>
      </c>
      <c r="AO103" s="58">
        <v>0</v>
      </c>
      <c r="AP103" s="58">
        <v>0</v>
      </c>
      <c r="AQ103" s="58">
        <v>540</v>
      </c>
      <c r="AR103" s="58"/>
      <c r="AS103" s="58">
        <v>0</v>
      </c>
      <c r="AT103" s="58">
        <v>450</v>
      </c>
      <c r="AU103" s="58"/>
      <c r="AV103" s="58"/>
      <c r="AW103" s="58"/>
      <c r="AX103" s="58"/>
      <c r="AY103" s="58"/>
      <c r="AZ103" s="58"/>
      <c r="BA103" s="58">
        <v>0</v>
      </c>
      <c r="BB103" s="58"/>
      <c r="BC103" s="58">
        <v>180</v>
      </c>
      <c r="BD103" s="58">
        <v>1440</v>
      </c>
      <c r="BE103" s="58"/>
      <c r="BF103" s="58"/>
      <c r="BG103" s="58"/>
      <c r="BH103" s="58">
        <v>0</v>
      </c>
      <c r="BI103" s="58">
        <v>0</v>
      </c>
      <c r="BJ103" s="58"/>
      <c r="BK103" s="58">
        <v>540</v>
      </c>
      <c r="BL103" s="58">
        <v>0</v>
      </c>
      <c r="BM103" s="58"/>
      <c r="BN103" s="58"/>
      <c r="BO103" s="58"/>
      <c r="BP103" s="58">
        <v>1800</v>
      </c>
      <c r="BQ103" s="58">
        <v>0</v>
      </c>
      <c r="BR103" s="58"/>
      <c r="BS103" s="58">
        <v>990</v>
      </c>
      <c r="BT103" s="58"/>
      <c r="BU103" s="58"/>
      <c r="BV103" s="58"/>
      <c r="BW103" s="58"/>
      <c r="BX103" s="58"/>
      <c r="BY103" s="58">
        <v>0</v>
      </c>
      <c r="BZ103" s="58"/>
      <c r="CA103" s="58"/>
      <c r="CB103" s="58"/>
      <c r="CC103" s="58"/>
      <c r="CD103" s="58"/>
      <c r="CE103" s="58">
        <v>2070</v>
      </c>
      <c r="CF103" s="58">
        <v>0</v>
      </c>
      <c r="CG103" s="58">
        <v>0</v>
      </c>
      <c r="CH103" s="58"/>
      <c r="CI103" s="58"/>
      <c r="CJ103" s="58"/>
      <c r="CK103" s="58"/>
      <c r="CL103" s="58"/>
      <c r="CM103" s="58">
        <v>0</v>
      </c>
      <c r="CN103" s="58"/>
      <c r="CO103" s="58"/>
      <c r="CP103" s="58"/>
      <c r="CQ103" s="58"/>
      <c r="CR103" s="58"/>
      <c r="CS103" s="58"/>
      <c r="CT103" s="58"/>
      <c r="CU103" s="58"/>
      <c r="CV103" s="58"/>
      <c r="CW103" s="58">
        <v>135</v>
      </c>
      <c r="CX103" s="58"/>
      <c r="CY103" s="58">
        <v>0</v>
      </c>
      <c r="CZ103" s="58"/>
      <c r="DA103" s="58"/>
      <c r="DB103" s="58"/>
      <c r="DC103" s="58"/>
      <c r="DD103" s="58">
        <v>405</v>
      </c>
      <c r="DE103" s="58"/>
      <c r="DF103" s="58"/>
      <c r="DG103" s="58">
        <v>1080</v>
      </c>
      <c r="DH103" s="58">
        <v>0</v>
      </c>
      <c r="DI103" s="58">
        <v>945</v>
      </c>
      <c r="DJ103" s="58"/>
      <c r="DK103" s="107"/>
      <c r="DL103" s="107"/>
      <c r="DM103" s="107"/>
      <c r="DN103" s="107"/>
      <c r="DO103" s="107"/>
      <c r="DP103" s="107"/>
      <c r="DQ103" s="107"/>
      <c r="DR103" s="107"/>
      <c r="DS103" s="107"/>
      <c r="DT103" s="107"/>
      <c r="DU103" s="107"/>
      <c r="DV103" s="107"/>
      <c r="DW103" s="107"/>
      <c r="DX103" s="107"/>
      <c r="DY103" s="107"/>
      <c r="DZ103" s="107"/>
      <c r="EA103" s="107"/>
      <c r="EB103" s="107"/>
      <c r="EC103" s="107"/>
      <c r="ED103" s="107"/>
      <c r="EE103" s="107"/>
      <c r="EF103" s="107"/>
      <c r="EG103" s="107"/>
      <c r="EH103" s="107"/>
      <c r="EI103" s="107"/>
      <c r="EJ103" s="107"/>
      <c r="EK103" s="107"/>
      <c r="EL103" s="107"/>
      <c r="EM103" s="107"/>
      <c r="EN103" s="107"/>
      <c r="EO103" s="107"/>
      <c r="EP103" s="107"/>
      <c r="EQ103" s="107"/>
      <c r="ER103" s="107"/>
      <c r="ES103" s="107"/>
      <c r="ET103" s="107"/>
      <c r="EU103" s="107"/>
      <c r="EV103" s="107"/>
      <c r="EW103" s="107"/>
      <c r="EX103" s="107"/>
      <c r="EY103" s="107"/>
      <c r="EZ103" s="107"/>
      <c r="FA103" s="107"/>
      <c r="FB103" s="107"/>
      <c r="FC103" s="107"/>
      <c r="FD103" s="107"/>
      <c r="FE103" s="107"/>
      <c r="FF103" s="107"/>
      <c r="FG103" s="107"/>
      <c r="FH103" s="107"/>
      <c r="FI103" s="107"/>
      <c r="FJ103" s="107"/>
      <c r="FK103" s="107"/>
      <c r="FL103" s="107"/>
      <c r="FM103" s="107"/>
      <c r="FN103" s="107"/>
      <c r="FO103" s="107"/>
      <c r="FP103" s="107"/>
      <c r="FQ103" s="107"/>
      <c r="FR103" s="107"/>
      <c r="FS103" s="107"/>
      <c r="FT103" s="107"/>
    </row>
    <row r="104" spans="1:176" x14ac:dyDescent="0.25">
      <c r="A104" s="107"/>
      <c r="B104" s="107"/>
      <c r="C104" s="107"/>
      <c r="D104" s="107"/>
      <c r="E104" s="107"/>
      <c r="F104" s="107"/>
      <c r="G104" s="147" t="str">
        <f>IF(_ibpOfflineCondition_,"000000000000573620-1", _xll.EPMOlapMemberO("[PRDID].[].[000000000000573620-1]","","000000000000573620-1","","000"))</f>
        <v>000000000000573620-1</v>
      </c>
      <c r="H104" s="147" t="str">
        <f>IF(_ibpOfflineCondition_,"FGR+ FIGAROLLPLUS 10/280+40 SCHWARZ PL", _xll.EPMOlapMemberO("[PRDDESCR].[].[FGR+ FIGAROLLPLUS 10/280+40 SCHWARZ PL]","","FGR+ FIGAROLLPLUS 10/280+40 SCHWARZ PL","","000"))</f>
        <v>FGR+ FIGAROLLPLUS 10/280+40 SCHWARZ PL</v>
      </c>
      <c r="I104" s="147" t="str">
        <f>IF(_ibpOfflineCondition_,"X7", _xll.EPMOlapMemberO("[MRPTYPE].[].[X7]","","X7","","000"))</f>
        <v>X7</v>
      </c>
      <c r="J104" s="147" t="str">
        <f>IF(_ibpOfflineCondition_,"GSCRM Projected Stock (Unconstrained Demand)", _xll.EPMOlapMemberO("[KEY_FIGURES].[].[ZGSCRMUNCONSINVENTORY]","","GSCRM Projected Stock (Unconstrained Demand)","","000"))</f>
        <v>GSCRM Projected Stock (Unconstrained Demand)</v>
      </c>
      <c r="K104" s="58">
        <v>2115</v>
      </c>
      <c r="L104" s="58">
        <v>2070</v>
      </c>
      <c r="M104" s="58">
        <v>2070</v>
      </c>
      <c r="N104" s="58">
        <v>2070</v>
      </c>
      <c r="O104" s="58">
        <v>900</v>
      </c>
      <c r="P104" s="58">
        <v>450</v>
      </c>
      <c r="Q104" s="58">
        <v>630</v>
      </c>
      <c r="R104" s="58">
        <v>630</v>
      </c>
      <c r="S104" s="58"/>
      <c r="T104" s="58"/>
      <c r="U104" s="58"/>
      <c r="V104" s="58"/>
      <c r="W104" s="58"/>
      <c r="X104" s="58"/>
      <c r="Y104" s="58">
        <v>270</v>
      </c>
      <c r="Z104" s="58">
        <v>270</v>
      </c>
      <c r="AA104" s="58">
        <v>270</v>
      </c>
      <c r="AB104" s="58">
        <v>720</v>
      </c>
      <c r="AC104" s="58">
        <v>720</v>
      </c>
      <c r="AD104" s="58">
        <v>630</v>
      </c>
      <c r="AE104" s="58">
        <v>630</v>
      </c>
      <c r="AF104" s="58">
        <v>630</v>
      </c>
      <c r="AG104" s="58">
        <v>630</v>
      </c>
      <c r="AH104" s="58">
        <v>315</v>
      </c>
      <c r="AI104" s="58">
        <v>1485</v>
      </c>
      <c r="AJ104" s="58">
        <v>1485</v>
      </c>
      <c r="AK104" s="58">
        <v>1170</v>
      </c>
      <c r="AL104" s="58">
        <v>765</v>
      </c>
      <c r="AM104" s="58">
        <v>765</v>
      </c>
      <c r="AN104" s="58">
        <v>1755</v>
      </c>
      <c r="AO104" s="58">
        <v>1395</v>
      </c>
      <c r="AP104" s="58">
        <v>1080</v>
      </c>
      <c r="AQ104" s="58">
        <v>1620</v>
      </c>
      <c r="AR104" s="58">
        <v>1620</v>
      </c>
      <c r="AS104" s="58">
        <v>1080</v>
      </c>
      <c r="AT104" s="58">
        <v>1530</v>
      </c>
      <c r="AU104" s="58">
        <v>1530</v>
      </c>
      <c r="AV104" s="58">
        <v>1530</v>
      </c>
      <c r="AW104" s="58">
        <v>1530</v>
      </c>
      <c r="AX104" s="58">
        <v>1530</v>
      </c>
      <c r="AY104" s="58">
        <v>1530</v>
      </c>
      <c r="AZ104" s="58">
        <v>1530</v>
      </c>
      <c r="BA104" s="58">
        <v>1170</v>
      </c>
      <c r="BB104" s="58">
        <v>1170</v>
      </c>
      <c r="BC104" s="58">
        <v>1350</v>
      </c>
      <c r="BD104" s="58">
        <v>2070</v>
      </c>
      <c r="BE104" s="58">
        <v>2070</v>
      </c>
      <c r="BF104" s="58">
        <v>2070</v>
      </c>
      <c r="BG104" s="58">
        <v>2070</v>
      </c>
      <c r="BH104" s="58">
        <v>1485</v>
      </c>
      <c r="BI104" s="58">
        <v>720</v>
      </c>
      <c r="BJ104" s="58">
        <v>720</v>
      </c>
      <c r="BK104" s="58">
        <v>1260</v>
      </c>
      <c r="BL104" s="58">
        <v>855</v>
      </c>
      <c r="BM104" s="58">
        <v>855</v>
      </c>
      <c r="BN104" s="58">
        <v>855</v>
      </c>
      <c r="BO104" s="58">
        <v>855</v>
      </c>
      <c r="BP104" s="58">
        <v>2655</v>
      </c>
      <c r="BQ104" s="58">
        <v>675</v>
      </c>
      <c r="BR104" s="58">
        <v>675</v>
      </c>
      <c r="BS104" s="58">
        <v>1035</v>
      </c>
      <c r="BT104" s="58">
        <v>1035</v>
      </c>
      <c r="BU104" s="58">
        <v>1035</v>
      </c>
      <c r="BV104" s="58">
        <v>1035</v>
      </c>
      <c r="BW104" s="58">
        <v>1035</v>
      </c>
      <c r="BX104" s="58">
        <v>1035</v>
      </c>
      <c r="BY104" s="58">
        <v>630</v>
      </c>
      <c r="BZ104" s="58">
        <v>630</v>
      </c>
      <c r="CA104" s="58">
        <v>630</v>
      </c>
      <c r="CB104" s="58">
        <v>630</v>
      </c>
      <c r="CC104" s="58">
        <v>630</v>
      </c>
      <c r="CD104" s="58">
        <v>630</v>
      </c>
      <c r="CE104" s="58">
        <v>2700</v>
      </c>
      <c r="CF104" s="58">
        <v>1620</v>
      </c>
      <c r="CG104" s="58">
        <v>720</v>
      </c>
      <c r="CH104" s="58">
        <v>720</v>
      </c>
      <c r="CI104" s="58">
        <v>720</v>
      </c>
      <c r="CJ104" s="58">
        <v>720</v>
      </c>
      <c r="CK104" s="58">
        <v>720</v>
      </c>
      <c r="CL104" s="58">
        <v>720</v>
      </c>
      <c r="CM104" s="58">
        <v>270</v>
      </c>
      <c r="CN104" s="58">
        <v>270</v>
      </c>
      <c r="CO104" s="58">
        <v>270</v>
      </c>
      <c r="CP104" s="58">
        <v>270</v>
      </c>
      <c r="CQ104" s="58">
        <v>270</v>
      </c>
      <c r="CR104" s="58">
        <v>270</v>
      </c>
      <c r="CS104" s="58">
        <v>270</v>
      </c>
      <c r="CT104" s="58">
        <v>270</v>
      </c>
      <c r="CU104" s="58">
        <v>270</v>
      </c>
      <c r="CV104" s="58">
        <v>270</v>
      </c>
      <c r="CW104" s="58">
        <v>404</v>
      </c>
      <c r="CX104" s="58">
        <v>404</v>
      </c>
      <c r="CY104" s="58"/>
      <c r="CZ104" s="58"/>
      <c r="DA104" s="58"/>
      <c r="DB104" s="58"/>
      <c r="DC104" s="58"/>
      <c r="DD104" s="58">
        <v>405</v>
      </c>
      <c r="DE104" s="58">
        <v>405</v>
      </c>
      <c r="DF104" s="58">
        <v>405</v>
      </c>
      <c r="DG104" s="58">
        <v>1485</v>
      </c>
      <c r="DH104" s="58">
        <v>810</v>
      </c>
      <c r="DI104" s="58">
        <v>945</v>
      </c>
      <c r="DJ104" s="58">
        <v>945</v>
      </c>
      <c r="DK104" s="107"/>
      <c r="DL104" s="107"/>
      <c r="DM104" s="107"/>
      <c r="DN104" s="107"/>
      <c r="DO104" s="107"/>
      <c r="DP104" s="107"/>
      <c r="DQ104" s="107"/>
      <c r="DR104" s="107"/>
      <c r="DS104" s="107"/>
      <c r="DT104" s="107"/>
      <c r="DU104" s="107"/>
      <c r="DV104" s="107"/>
      <c r="DW104" s="107"/>
      <c r="DX104" s="107"/>
      <c r="DY104" s="107"/>
      <c r="DZ104" s="107"/>
      <c r="EA104" s="107"/>
      <c r="EB104" s="107"/>
      <c r="EC104" s="107"/>
      <c r="ED104" s="107"/>
      <c r="EE104" s="107"/>
      <c r="EF104" s="107"/>
      <c r="EG104" s="107"/>
      <c r="EH104" s="107"/>
      <c r="EI104" s="107"/>
      <c r="EJ104" s="107"/>
      <c r="EK104" s="107"/>
      <c r="EL104" s="107"/>
      <c r="EM104" s="107"/>
      <c r="EN104" s="107"/>
      <c r="EO104" s="107"/>
      <c r="EP104" s="107"/>
      <c r="EQ104" s="107"/>
      <c r="ER104" s="107"/>
      <c r="ES104" s="107"/>
      <c r="ET104" s="107"/>
      <c r="EU104" s="107"/>
      <c r="EV104" s="107"/>
      <c r="EW104" s="107"/>
      <c r="EX104" s="107"/>
      <c r="EY104" s="107"/>
      <c r="EZ104" s="107"/>
      <c r="FA104" s="107"/>
      <c r="FB104" s="107"/>
      <c r="FC104" s="107"/>
      <c r="FD104" s="107"/>
      <c r="FE104" s="107"/>
      <c r="FF104" s="107"/>
      <c r="FG104" s="107"/>
      <c r="FH104" s="107"/>
      <c r="FI104" s="107"/>
      <c r="FJ104" s="107"/>
      <c r="FK104" s="107"/>
      <c r="FL104" s="107"/>
      <c r="FM104" s="107"/>
      <c r="FN104" s="107"/>
      <c r="FO104" s="107"/>
      <c r="FP104" s="107"/>
      <c r="FQ104" s="107"/>
      <c r="FR104" s="107"/>
      <c r="FS104" s="107"/>
      <c r="FT104" s="107"/>
    </row>
  </sheetData>
  <sheetProtection algorithmName="SHA-512" hashValue="YO06aKdtY2IrWo/6ph6woM4qyM9Kc6hXRmrUK3E3XB18gGP1QVcKtSrZCui3ZKdHT945nBHEFWPtF1l4W73RrQ==" saltValue="yg8MAPNRUXtAATfs9ZWcDw==" spinCount="100000" sheet="1" scenarios="1" formatColumns="0" formatRows="0" autoFilter="0"/>
  <autoFilter ref="G5:DJ104" xr:uid="{FD6E3EBA-7B3A-4C83-8B42-F21EA3C57E33}"/>
  <mergeCells count="7">
    <mergeCell ref="A4:J4"/>
    <mergeCell ref="H1:J1"/>
    <mergeCell ref="K1:P1"/>
    <mergeCell ref="Q1:V1"/>
    <mergeCell ref="H2:J2"/>
    <mergeCell ref="H3:J3"/>
    <mergeCell ref="K3:V3"/>
  </mergeCells>
  <pageMargins left="0.7" right="0.7" top="0.75" bottom="0.75" header="0.3" footer="0.3"/>
  <pageSetup orientation="portrait" horizontalDpi="300" r:id="rId1"/>
  <customProperties>
    <customPr name="FPMExcelClientCellBasedFunctionStatus" r:id="rId2"/>
    <customPr name="FPMExcelClientRefreshTime" r:id="rId3"/>
  </customProperties>
  <drawing r:id="rId4"/>
  <legacyDrawing r:id="rId5"/>
  <picture r:id="rId6"/>
  <controls>
    <mc:AlternateContent xmlns:mc="http://schemas.openxmlformats.org/markup-compatibility/2006">
      <mc:Choice Requires="x14">
        <control shapeId="31775" r:id="rId7" name="AnalyzerDynReportDC000tb1">
          <controlPr defaultSize="0" autoLine="0" autoPict="0" r:id="rId8">
            <anchor moveWithCells="1">
              <from>
                <xdr:col>0</xdr:col>
                <xdr:colOff>0</xdr:colOff>
                <xdr:row>0</xdr:row>
                <xdr:rowOff>0</xdr:rowOff>
              </from>
              <to>
                <xdr:col>6</xdr:col>
                <xdr:colOff>590550</xdr:colOff>
                <xdr:row>0</xdr:row>
                <xdr:rowOff>0</xdr:rowOff>
              </to>
            </anchor>
          </controlPr>
        </control>
      </mc:Choice>
      <mc:Fallback>
        <control shapeId="31775" r:id="rId7" name="AnalyzerDynReportDC000tb1"/>
      </mc:Fallback>
    </mc:AlternateContent>
    <mc:AlternateContent xmlns:mc="http://schemas.openxmlformats.org/markup-compatibility/2006">
      <mc:Choice Requires="x14">
        <control shapeId="31773" r:id="rId9" name="ReportSubmitControl_1DCtb1">
          <controlPr defaultSize="0" autoLine="0" autoPict="0" r:id="rId10">
            <anchor moveWithCells="1">
              <from>
                <xdr:col>0</xdr:col>
                <xdr:colOff>0</xdr:colOff>
                <xdr:row>0</xdr:row>
                <xdr:rowOff>0</xdr:rowOff>
              </from>
              <to>
                <xdr:col>6</xdr:col>
                <xdr:colOff>523875</xdr:colOff>
                <xdr:row>0</xdr:row>
                <xdr:rowOff>0</xdr:rowOff>
              </to>
            </anchor>
          </controlPr>
        </control>
      </mc:Choice>
      <mc:Fallback>
        <control shapeId="31773" r:id="rId9" name="ReportSubmitControl_1DCtb1"/>
      </mc:Fallback>
    </mc:AlternateContent>
    <mc:AlternateContent xmlns:mc="http://schemas.openxmlformats.org/markup-compatibility/2006">
      <mc:Choice Requires="x14">
        <control shapeId="31771" r:id="rId11" name="ReportSubmitManagerControlDCtb1">
          <controlPr defaultSize="0" autoLine="0" autoPict="0" r:id="rId12">
            <anchor moveWithCells="1">
              <from>
                <xdr:col>0</xdr:col>
                <xdr:colOff>0</xdr:colOff>
                <xdr:row>0</xdr:row>
                <xdr:rowOff>0</xdr:rowOff>
              </from>
              <to>
                <xdr:col>6</xdr:col>
                <xdr:colOff>523875</xdr:colOff>
                <xdr:row>0</xdr:row>
                <xdr:rowOff>0</xdr:rowOff>
              </to>
            </anchor>
          </controlPr>
        </control>
      </mc:Choice>
      <mc:Fallback>
        <control shapeId="31771" r:id="rId11" name="ReportSubmitManagerControlDCtb1"/>
      </mc:Fallback>
    </mc:AlternateContent>
    <mc:AlternateContent xmlns:mc="http://schemas.openxmlformats.org/markup-compatibility/2006">
      <mc:Choice Requires="x14">
        <control shapeId="31770" r:id="rId13" name="ReportSubmitManagerControlHCtb1">
          <controlPr defaultSize="0" autoLine="0" autoPict="0" r:id="rId12">
            <anchor moveWithCells="1">
              <from>
                <xdr:col>0</xdr:col>
                <xdr:colOff>0</xdr:colOff>
                <xdr:row>0</xdr:row>
                <xdr:rowOff>0</xdr:rowOff>
              </from>
              <to>
                <xdr:col>6</xdr:col>
                <xdr:colOff>523875</xdr:colOff>
                <xdr:row>0</xdr:row>
                <xdr:rowOff>0</xdr:rowOff>
              </to>
            </anchor>
          </controlPr>
        </control>
      </mc:Choice>
      <mc:Fallback>
        <control shapeId="31770" r:id="rId13" name="ReportSubmitManagerControlHCtb1"/>
      </mc:Fallback>
    </mc:AlternateContent>
    <mc:AlternateContent xmlns:mc="http://schemas.openxmlformats.org/markup-compatibility/2006">
      <mc:Choice Requires="x14">
        <control shapeId="31769" r:id="rId14" name="MultipleReportManagerInfoDCtb1">
          <controlPr defaultSize="0" autoLine="0" autoPict="0" r:id="rId10">
            <anchor moveWithCells="1">
              <from>
                <xdr:col>0</xdr:col>
                <xdr:colOff>0</xdr:colOff>
                <xdr:row>0</xdr:row>
                <xdr:rowOff>0</xdr:rowOff>
              </from>
              <to>
                <xdr:col>6</xdr:col>
                <xdr:colOff>523875</xdr:colOff>
                <xdr:row>0</xdr:row>
                <xdr:rowOff>0</xdr:rowOff>
              </to>
            </anchor>
          </controlPr>
        </control>
      </mc:Choice>
      <mc:Fallback>
        <control shapeId="31769" r:id="rId14" name="MultipleReportManagerInfoDCtb1"/>
      </mc:Fallback>
    </mc:AlternateContent>
    <mc:AlternateContent xmlns:mc="http://schemas.openxmlformats.org/markup-compatibility/2006">
      <mc:Choice Requires="x14">
        <control shapeId="31768" r:id="rId15" name="MultipleReportManagerInfoHCtb1">
          <controlPr defaultSize="0" autoLine="0" autoPict="0" r:id="rId10">
            <anchor moveWithCells="1">
              <from>
                <xdr:col>0</xdr:col>
                <xdr:colOff>0</xdr:colOff>
                <xdr:row>0</xdr:row>
                <xdr:rowOff>0</xdr:rowOff>
              </from>
              <to>
                <xdr:col>6</xdr:col>
                <xdr:colOff>523875</xdr:colOff>
                <xdr:row>0</xdr:row>
                <xdr:rowOff>0</xdr:rowOff>
              </to>
            </anchor>
          </controlPr>
        </control>
      </mc:Choice>
      <mc:Fallback>
        <control shapeId="31768" r:id="rId15" name="MultipleReportManagerInfoHCtb1"/>
      </mc:Fallback>
    </mc:AlternateContent>
    <mc:AlternateContent xmlns:mc="http://schemas.openxmlformats.org/markup-compatibility/2006">
      <mc:Choice Requires="x14">
        <control shapeId="31767" r:id="rId16" name="ConnectionDescriptorsInfoDCtb1">
          <controlPr defaultSize="0" autoLine="0" autoPict="0" r:id="rId10">
            <anchor moveWithCells="1">
              <from>
                <xdr:col>0</xdr:col>
                <xdr:colOff>0</xdr:colOff>
                <xdr:row>0</xdr:row>
                <xdr:rowOff>0</xdr:rowOff>
              </from>
              <to>
                <xdr:col>6</xdr:col>
                <xdr:colOff>523875</xdr:colOff>
                <xdr:row>0</xdr:row>
                <xdr:rowOff>0</xdr:rowOff>
              </to>
            </anchor>
          </controlPr>
        </control>
      </mc:Choice>
      <mc:Fallback>
        <control shapeId="31767" r:id="rId16" name="ConnectionDescriptorsInfoDCtb1"/>
      </mc:Fallback>
    </mc:AlternateContent>
    <mc:AlternateContent xmlns:mc="http://schemas.openxmlformats.org/markup-compatibility/2006">
      <mc:Choice Requires="x14">
        <control shapeId="31764" r:id="rId17" name="ReportSubmitManagerControltb1">
          <controlPr defaultSize="0" autoLine="0" autoPict="0" r:id="rId18">
            <anchor moveWithCells="1" sizeWithCells="1">
              <from>
                <xdr:col>0</xdr:col>
                <xdr:colOff>0</xdr:colOff>
                <xdr:row>0</xdr:row>
                <xdr:rowOff>0</xdr:rowOff>
              </from>
              <to>
                <xdr:col>7</xdr:col>
                <xdr:colOff>66675</xdr:colOff>
                <xdr:row>0</xdr:row>
                <xdr:rowOff>0</xdr:rowOff>
              </to>
            </anchor>
          </controlPr>
        </control>
      </mc:Choice>
      <mc:Fallback>
        <control shapeId="31764" r:id="rId17" name="ReportSubmitManagerControltb1"/>
      </mc:Fallback>
    </mc:AlternateContent>
    <mc:AlternateContent xmlns:mc="http://schemas.openxmlformats.org/markup-compatibility/2006">
      <mc:Choice Requires="x14">
        <control shapeId="31763" r:id="rId19" name="MultipleReportManagerInfotb1">
          <controlPr defaultSize="0" autoLine="0" autoPict="0" r:id="rId18">
            <anchor moveWithCells="1" sizeWithCells="1">
              <from>
                <xdr:col>0</xdr:col>
                <xdr:colOff>0</xdr:colOff>
                <xdr:row>0</xdr:row>
                <xdr:rowOff>0</xdr:rowOff>
              </from>
              <to>
                <xdr:col>7</xdr:col>
                <xdr:colOff>66675</xdr:colOff>
                <xdr:row>0</xdr:row>
                <xdr:rowOff>0</xdr:rowOff>
              </to>
            </anchor>
          </controlPr>
        </control>
      </mc:Choice>
      <mc:Fallback>
        <control shapeId="31763" r:id="rId19" name="MultipleReportManagerInfotb1"/>
      </mc:Fallback>
    </mc:AlternateContent>
    <mc:AlternateContent xmlns:mc="http://schemas.openxmlformats.org/markup-compatibility/2006">
      <mc:Choice Requires="x14">
        <control shapeId="31760" r:id="rId20" name="CheckBox3">
          <controlPr defaultSize="0" autoLine="0" r:id="rId21">
            <anchor>
              <from>
                <xdr:col>6</xdr:col>
                <xdr:colOff>352425</xdr:colOff>
                <xdr:row>5</xdr:row>
                <xdr:rowOff>85725</xdr:rowOff>
              </from>
              <to>
                <xdr:col>7</xdr:col>
                <xdr:colOff>38100</xdr:colOff>
                <xdr:row>6</xdr:row>
                <xdr:rowOff>161925</xdr:rowOff>
              </to>
            </anchor>
          </controlPr>
        </control>
      </mc:Choice>
      <mc:Fallback>
        <control shapeId="31760" r:id="rId20" name="CheckBox3"/>
      </mc:Fallback>
    </mc:AlternateContent>
    <mc:AlternateContent xmlns:mc="http://schemas.openxmlformats.org/markup-compatibility/2006">
      <mc:Choice Requires="x14">
        <control shapeId="31759" r:id="rId22" name="CheckBox2">
          <controlPr defaultSize="0" autoLine="0" r:id="rId23">
            <anchor>
              <from>
                <xdr:col>6</xdr:col>
                <xdr:colOff>352425</xdr:colOff>
                <xdr:row>4</xdr:row>
                <xdr:rowOff>85725</xdr:rowOff>
              </from>
              <to>
                <xdr:col>7</xdr:col>
                <xdr:colOff>38100</xdr:colOff>
                <xdr:row>5</xdr:row>
                <xdr:rowOff>161925</xdr:rowOff>
              </to>
            </anchor>
          </controlPr>
        </control>
      </mc:Choice>
      <mc:Fallback>
        <control shapeId="31759" r:id="rId22" name="CheckBox2"/>
      </mc:Fallback>
    </mc:AlternateContent>
    <mc:AlternateContent xmlns:mc="http://schemas.openxmlformats.org/markup-compatibility/2006">
      <mc:Choice Requires="x14">
        <control shapeId="31758" r:id="rId24" name="CheckBox1">
          <controlPr defaultSize="0" autoLine="0" r:id="rId25">
            <anchor>
              <from>
                <xdr:col>7</xdr:col>
                <xdr:colOff>133350</xdr:colOff>
                <xdr:row>4</xdr:row>
                <xdr:rowOff>85725</xdr:rowOff>
              </from>
              <to>
                <xdr:col>7</xdr:col>
                <xdr:colOff>828675</xdr:colOff>
                <xdr:row>5</xdr:row>
                <xdr:rowOff>161925</xdr:rowOff>
              </to>
            </anchor>
          </controlPr>
        </control>
      </mc:Choice>
      <mc:Fallback>
        <control shapeId="31758" r:id="rId24" name="CheckBox1"/>
      </mc:Fallback>
    </mc:AlternateContent>
    <mc:AlternateContent xmlns:mc="http://schemas.openxmlformats.org/markup-compatibility/2006">
      <mc:Choice Requires="x14">
        <control shapeId="31757" r:id="rId26" name="ListBox2">
          <controlPr defaultSize="0" autoLine="0" r:id="rId27">
            <anchor>
              <from>
                <xdr:col>6</xdr:col>
                <xdr:colOff>752475</xdr:colOff>
                <xdr:row>8</xdr:row>
                <xdr:rowOff>85725</xdr:rowOff>
              </from>
              <to>
                <xdr:col>6</xdr:col>
                <xdr:colOff>1000125</xdr:colOff>
                <xdr:row>8</xdr:row>
                <xdr:rowOff>161925</xdr:rowOff>
              </to>
            </anchor>
          </controlPr>
        </control>
      </mc:Choice>
      <mc:Fallback>
        <control shapeId="31757" r:id="rId26" name="ListBox2"/>
      </mc:Fallback>
    </mc:AlternateContent>
    <mc:AlternateContent xmlns:mc="http://schemas.openxmlformats.org/markup-compatibility/2006">
      <mc:Choice Requires="x14">
        <control shapeId="31756" r:id="rId28" name="ListBox1">
          <controlPr defaultSize="0" autoLine="0" r:id="rId29">
            <anchor>
              <from>
                <xdr:col>0</xdr:col>
                <xdr:colOff>57150</xdr:colOff>
                <xdr:row>8</xdr:row>
                <xdr:rowOff>85725</xdr:rowOff>
              </from>
              <to>
                <xdr:col>3</xdr:col>
                <xdr:colOff>28575</xdr:colOff>
                <xdr:row>8</xdr:row>
                <xdr:rowOff>161925</xdr:rowOff>
              </to>
            </anchor>
          </controlPr>
        </control>
      </mc:Choice>
      <mc:Fallback>
        <control shapeId="31756" r:id="rId28" name="ListBox1"/>
      </mc:Fallback>
    </mc:AlternateContent>
    <mc:AlternateContent xmlns:mc="http://schemas.openxmlformats.org/markup-compatibility/2006">
      <mc:Choice Requires="x14">
        <control shapeId="31755" r:id="rId30" name="CommandButton6">
          <controlPr defaultSize="0" autoLine="0" r:id="rId31">
            <anchor>
              <from>
                <xdr:col>0</xdr:col>
                <xdr:colOff>28575</xdr:colOff>
                <xdr:row>2</xdr:row>
                <xdr:rowOff>104775</xdr:rowOff>
              </from>
              <to>
                <xdr:col>2</xdr:col>
                <xdr:colOff>66675</xdr:colOff>
                <xdr:row>4</xdr:row>
                <xdr:rowOff>19050</xdr:rowOff>
              </to>
            </anchor>
          </controlPr>
        </control>
      </mc:Choice>
      <mc:Fallback>
        <control shapeId="31755" r:id="rId30" name="CommandButton6"/>
      </mc:Fallback>
    </mc:AlternateContent>
    <mc:AlternateContent xmlns:mc="http://schemas.openxmlformats.org/markup-compatibility/2006">
      <mc:Choice Requires="x14">
        <control shapeId="31754" r:id="rId32" name="CommandButton7">
          <controlPr defaultSize="0" autoLine="0" r:id="rId33">
            <anchor>
              <from>
                <xdr:col>0</xdr:col>
                <xdr:colOff>57150</xdr:colOff>
                <xdr:row>2</xdr:row>
                <xdr:rowOff>104775</xdr:rowOff>
              </from>
              <to>
                <xdr:col>3</xdr:col>
                <xdr:colOff>0</xdr:colOff>
                <xdr:row>4</xdr:row>
                <xdr:rowOff>19050</xdr:rowOff>
              </to>
            </anchor>
          </controlPr>
        </control>
      </mc:Choice>
      <mc:Fallback>
        <control shapeId="31754" r:id="rId32" name="CommandButton7"/>
      </mc:Fallback>
    </mc:AlternateContent>
    <mc:AlternateContent xmlns:mc="http://schemas.openxmlformats.org/markup-compatibility/2006">
      <mc:Choice Requires="x14">
        <control shapeId="31753" r:id="rId34" name="Label3">
          <controlPr defaultSize="0" autoLine="0" r:id="rId35">
            <anchor>
              <from>
                <xdr:col>6</xdr:col>
                <xdr:colOff>1323975</xdr:colOff>
                <xdr:row>7</xdr:row>
                <xdr:rowOff>28575</xdr:rowOff>
              </from>
              <to>
                <xdr:col>7</xdr:col>
                <xdr:colOff>238125</xdr:colOff>
                <xdr:row>7</xdr:row>
                <xdr:rowOff>180975</xdr:rowOff>
              </to>
            </anchor>
          </controlPr>
        </control>
      </mc:Choice>
      <mc:Fallback>
        <control shapeId="31753" r:id="rId34" name="Label3"/>
      </mc:Fallback>
    </mc:AlternateContent>
    <mc:AlternateContent xmlns:mc="http://schemas.openxmlformats.org/markup-compatibility/2006">
      <mc:Choice Requires="x14">
        <control shapeId="31752" r:id="rId36" name="CommandButton5">
          <controlPr defaultSize="0" autoLine="0" r:id="rId37">
            <anchor>
              <from>
                <xdr:col>6</xdr:col>
                <xdr:colOff>1038225</xdr:colOff>
                <xdr:row>7</xdr:row>
                <xdr:rowOff>0</xdr:rowOff>
              </from>
              <to>
                <xdr:col>6</xdr:col>
                <xdr:colOff>1276350</xdr:colOff>
                <xdr:row>8</xdr:row>
                <xdr:rowOff>38100</xdr:rowOff>
              </to>
            </anchor>
          </controlPr>
        </control>
      </mc:Choice>
      <mc:Fallback>
        <control shapeId="31752" r:id="rId36" name="CommandButton5"/>
      </mc:Fallback>
    </mc:AlternateContent>
    <mc:AlternateContent xmlns:mc="http://schemas.openxmlformats.org/markup-compatibility/2006">
      <mc:Choice Requires="x14">
        <control shapeId="31751" r:id="rId38" name="CommandButton4">
          <controlPr defaultSize="0" autoLine="0" r:id="rId39">
            <anchor>
              <from>
                <xdr:col>6</xdr:col>
                <xdr:colOff>752475</xdr:colOff>
                <xdr:row>7</xdr:row>
                <xdr:rowOff>0</xdr:rowOff>
              </from>
              <to>
                <xdr:col>6</xdr:col>
                <xdr:colOff>981075</xdr:colOff>
                <xdr:row>8</xdr:row>
                <xdr:rowOff>38100</xdr:rowOff>
              </to>
            </anchor>
          </controlPr>
        </control>
      </mc:Choice>
      <mc:Fallback>
        <control shapeId="31751" r:id="rId38" name="CommandButton4"/>
      </mc:Fallback>
    </mc:AlternateContent>
    <mc:AlternateContent xmlns:mc="http://schemas.openxmlformats.org/markup-compatibility/2006">
      <mc:Choice Requires="x14">
        <control shapeId="31750" r:id="rId40" name="Label2">
          <controlPr defaultSize="0" autoLine="0" r:id="rId41">
            <anchor>
              <from>
                <xdr:col>6</xdr:col>
                <xdr:colOff>28575</xdr:colOff>
                <xdr:row>7</xdr:row>
                <xdr:rowOff>28575</xdr:rowOff>
              </from>
              <to>
                <xdr:col>6</xdr:col>
                <xdr:colOff>657225</xdr:colOff>
                <xdr:row>7</xdr:row>
                <xdr:rowOff>180975</xdr:rowOff>
              </to>
            </anchor>
          </controlPr>
        </control>
      </mc:Choice>
      <mc:Fallback>
        <control shapeId="31750" r:id="rId40" name="Label2"/>
      </mc:Fallback>
    </mc:AlternateContent>
    <mc:AlternateContent xmlns:mc="http://schemas.openxmlformats.org/markup-compatibility/2006">
      <mc:Choice Requires="x14">
        <control shapeId="31749" r:id="rId42" name="CommandButton3">
          <controlPr defaultSize="0" autoLine="0" r:id="rId43">
            <anchor>
              <from>
                <xdr:col>3</xdr:col>
                <xdr:colOff>28575</xdr:colOff>
                <xdr:row>7</xdr:row>
                <xdr:rowOff>0</xdr:rowOff>
              </from>
              <to>
                <xdr:col>5</xdr:col>
                <xdr:colOff>66675</xdr:colOff>
                <xdr:row>8</xdr:row>
                <xdr:rowOff>38100</xdr:rowOff>
              </to>
            </anchor>
          </controlPr>
        </control>
      </mc:Choice>
      <mc:Fallback>
        <control shapeId="31749" r:id="rId42" name="CommandButton3"/>
      </mc:Fallback>
    </mc:AlternateContent>
    <mc:AlternateContent xmlns:mc="http://schemas.openxmlformats.org/markup-compatibility/2006">
      <mc:Choice Requires="x14">
        <control shapeId="31748" r:id="rId44" name="CommandButton2">
          <controlPr defaultSize="0" autoLine="0" r:id="rId39">
            <anchor>
              <from>
                <xdr:col>0</xdr:col>
                <xdr:colOff>57150</xdr:colOff>
                <xdr:row>7</xdr:row>
                <xdr:rowOff>0</xdr:rowOff>
              </from>
              <to>
                <xdr:col>3</xdr:col>
                <xdr:colOff>0</xdr:colOff>
                <xdr:row>8</xdr:row>
                <xdr:rowOff>38100</xdr:rowOff>
              </to>
            </anchor>
          </controlPr>
        </control>
      </mc:Choice>
      <mc:Fallback>
        <control shapeId="31748" r:id="rId44" name="CommandButton2"/>
      </mc:Fallback>
    </mc:AlternateContent>
    <mc:AlternateContent xmlns:mc="http://schemas.openxmlformats.org/markup-compatibility/2006">
      <mc:Choice Requires="x14">
        <control shapeId="31747" r:id="rId45" name="Label1">
          <controlPr defaultSize="0" autoLine="0" r:id="rId46">
            <anchor>
              <from>
                <xdr:col>3</xdr:col>
                <xdr:colOff>28575</xdr:colOff>
                <xdr:row>4</xdr:row>
                <xdr:rowOff>104775</xdr:rowOff>
              </from>
              <to>
                <xdr:col>6</xdr:col>
                <xdr:colOff>371475</xdr:colOff>
                <xdr:row>5</xdr:row>
                <xdr:rowOff>133350</xdr:rowOff>
              </to>
            </anchor>
          </controlPr>
        </control>
      </mc:Choice>
      <mc:Fallback>
        <control shapeId="31747" r:id="rId45" name="Label1"/>
      </mc:Fallback>
    </mc:AlternateContent>
    <mc:AlternateContent xmlns:mc="http://schemas.openxmlformats.org/markup-compatibility/2006">
      <mc:Choice Requires="x14">
        <control shapeId="31746" r:id="rId47" name="CommandButton1">
          <controlPr defaultSize="0" autoLine="0" altText="Refresh Chart" r:id="rId48">
            <anchor>
              <from>
                <xdr:col>0</xdr:col>
                <xdr:colOff>57150</xdr:colOff>
                <xdr:row>4</xdr:row>
                <xdr:rowOff>85725</xdr:rowOff>
              </from>
              <to>
                <xdr:col>3</xdr:col>
                <xdr:colOff>0</xdr:colOff>
                <xdr:row>5</xdr:row>
                <xdr:rowOff>123825</xdr:rowOff>
              </to>
            </anchor>
          </controlPr>
        </control>
      </mc:Choice>
      <mc:Fallback>
        <control shapeId="31746" r:id="rId47" name="CommandButton1"/>
      </mc:Fallback>
    </mc:AlternateContent>
    <mc:AlternateContent xmlns:mc="http://schemas.openxmlformats.org/markup-compatibility/2006">
      <mc:Choice Requires="x14">
        <control shapeId="31745" r:id="rId49" name="FPMExcelClientSheetOptionstb1">
          <controlPr defaultSize="0" autoLine="0" r:id="rId50">
            <anchor moveWithCells="1" sizeWithCells="1">
              <from>
                <xdr:col>0</xdr:col>
                <xdr:colOff>0</xdr:colOff>
                <xdr:row>0</xdr:row>
                <xdr:rowOff>0</xdr:rowOff>
              </from>
              <to>
                <xdr:col>0</xdr:col>
                <xdr:colOff>0</xdr:colOff>
                <xdr:row>0</xdr:row>
                <xdr:rowOff>0</xdr:rowOff>
              </to>
            </anchor>
          </controlPr>
        </control>
      </mc:Choice>
      <mc:Fallback>
        <control shapeId="31745" r:id="rId49"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46C59-0687-46DB-81A5-026BA3E9DE70}">
  <sheetPr codeName="Sheet11"/>
  <dimension ref="A1:EO89"/>
  <sheetViews>
    <sheetView showGridLines="0" tabSelected="1" zoomScale="70" zoomScaleNormal="70" workbookViewId="0">
      <pane xSplit="10" ySplit="5" topLeftCell="K6" activePane="bottomRight" state="frozen"/>
      <selection pane="topRight" activeCell="G1" sqref="G1"/>
      <selection pane="bottomLeft" activeCell="A6" sqref="A6"/>
      <selection pane="bottomRight" activeCell="M32" sqref="M32"/>
    </sheetView>
  </sheetViews>
  <sheetFormatPr defaultRowHeight="15" x14ac:dyDescent="0.25"/>
  <cols>
    <col min="1" max="4" width="1.42578125" bestFit="1" customWidth="1"/>
    <col min="5" max="6" width="1.42578125" customWidth="1"/>
    <col min="7" max="7" width="25.7109375" bestFit="1" customWidth="1"/>
    <col min="8" max="8" width="52.42578125" bestFit="1" customWidth="1"/>
    <col min="9" max="9" width="27.28515625" bestFit="1" customWidth="1"/>
    <col min="10" max="10" width="17.140625" bestFit="1" customWidth="1"/>
    <col min="11" max="11" width="19.5703125" bestFit="1" customWidth="1"/>
    <col min="12" max="19" width="19" bestFit="1" customWidth="1"/>
    <col min="20" max="20" width="18.5703125" bestFit="1" customWidth="1"/>
    <col min="21" max="21" width="18.28515625" bestFit="1" customWidth="1"/>
    <col min="22" max="29" width="18.5703125" bestFit="1" customWidth="1"/>
    <col min="30" max="30" width="19" bestFit="1" customWidth="1"/>
    <col min="31" max="31" width="18.5703125" bestFit="1" customWidth="1"/>
    <col min="32" max="40" width="19" bestFit="1" customWidth="1"/>
    <col min="41" max="41" width="18.5703125" bestFit="1" customWidth="1"/>
    <col min="42" max="50" width="19" bestFit="1" customWidth="1"/>
    <col min="51" max="51" width="18.5703125" bestFit="1" customWidth="1"/>
    <col min="52" max="60" width="19" bestFit="1" customWidth="1"/>
    <col min="61" max="61" width="18.5703125" bestFit="1" customWidth="1"/>
    <col min="62" max="62" width="19" bestFit="1" customWidth="1"/>
    <col min="63" max="63" width="18.5703125" bestFit="1" customWidth="1"/>
    <col min="64" max="71" width="19" bestFit="1" customWidth="1"/>
    <col min="72" max="72" width="18.5703125" bestFit="1" customWidth="1"/>
    <col min="73" max="73" width="18.28515625" bestFit="1" customWidth="1"/>
    <col min="74" max="81" width="18.5703125" bestFit="1" customWidth="1"/>
    <col min="82" max="82" width="19" bestFit="1" customWidth="1"/>
    <col min="83" max="83" width="18.5703125" bestFit="1" customWidth="1"/>
    <col min="84" max="91" width="19" bestFit="1" customWidth="1"/>
  </cols>
  <sheetData>
    <row r="1" spans="1:145" s="65" customFormat="1" ht="28.5" customHeight="1" x14ac:dyDescent="0.25">
      <c r="A1" s="100"/>
      <c r="B1" s="100"/>
      <c r="C1" s="100"/>
      <c r="D1" s="100"/>
      <c r="E1" s="100"/>
      <c r="F1" s="100"/>
      <c r="G1" s="100"/>
      <c r="H1" s="142" t="s">
        <v>253</v>
      </c>
      <c r="I1" s="142"/>
      <c r="J1" s="142"/>
      <c r="K1" s="139" t="str">
        <f>" "&amp;IFERROR(IF(SOP_Favorite_Name&lt;&gt;" ",SOP_Favorite_Name,IF(SOP_Template_Name&lt;&gt;" ",SOP_Template_Name,"Ad Hoc Planning View")),"Offline")</f>
        <v xml:space="preserve"> DDMRP Project Data</v>
      </c>
      <c r="L1" s="139"/>
      <c r="M1" s="139"/>
      <c r="N1" s="139"/>
      <c r="O1" s="139"/>
      <c r="P1" s="139"/>
      <c r="Q1" s="140" t="str">
        <f>IF(_ibpOfflineCondition_,"User: Selma Zukić-Jarrar   |    Planning Area: BMIDACHGLB
Template: 2-Supply Planning","User: "&amp;_xll.IBPUser()&amp;"   |    Planning Area: "&amp;IFERROR(SOP_Planning_Area,"Offline")&amp;"
"&amp;"Template: "&amp;IFERROR(SOP_Template_Name,"none"))</f>
        <v>User: Selma Zukić-Jarrar   |    Planning Area: BMIDACHGLB
Template: 2-Supply Planning</v>
      </c>
      <c r="R1" s="140"/>
      <c r="S1" s="140"/>
      <c r="T1" s="140"/>
      <c r="U1" s="140"/>
      <c r="V1" s="140"/>
      <c r="W1" s="101"/>
      <c r="X1" s="102"/>
      <c r="Y1" s="102"/>
      <c r="Z1" s="102"/>
      <c r="AA1" s="102"/>
      <c r="AB1" s="102"/>
      <c r="AC1" s="102"/>
      <c r="AD1" s="102"/>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76"/>
      <c r="BS1" s="76"/>
      <c r="BT1" s="76"/>
      <c r="BU1" s="76"/>
      <c r="BV1" s="76"/>
      <c r="BW1" s="76"/>
      <c r="BX1" s="76"/>
      <c r="BY1" s="76"/>
      <c r="BZ1" s="76"/>
      <c r="CA1" s="76"/>
      <c r="CB1" s="76"/>
      <c r="CC1" s="76"/>
      <c r="CD1" s="76"/>
      <c r="CE1" s="76"/>
      <c r="CF1" s="76"/>
      <c r="CG1" s="76"/>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row>
    <row r="2" spans="1:145" s="65" customFormat="1" ht="25.35" customHeight="1" x14ac:dyDescent="0.25">
      <c r="A2" s="104"/>
      <c r="B2" s="104"/>
      <c r="C2" s="104"/>
      <c r="D2" s="104"/>
      <c r="E2" s="104"/>
      <c r="F2" s="104"/>
      <c r="G2" s="104"/>
      <c r="H2" s="143" t="str">
        <f>"Unit of Measure : "&amp;SOP_TargetUoM</f>
        <v>Unit of Measure : ZUM</v>
      </c>
      <c r="I2" s="143"/>
      <c r="J2" s="143"/>
      <c r="K2" s="108"/>
      <c r="L2" s="108"/>
      <c r="M2" s="108"/>
      <c r="N2" s="108"/>
      <c r="O2" s="108"/>
      <c r="P2" s="108"/>
      <c r="Q2" s="109"/>
      <c r="R2" s="109"/>
      <c r="S2" s="109"/>
      <c r="T2" s="109"/>
      <c r="U2" s="109"/>
      <c r="V2" s="109"/>
      <c r="W2" s="101"/>
      <c r="X2" s="102"/>
      <c r="Y2" s="102"/>
      <c r="Z2" s="102"/>
      <c r="AA2" s="102"/>
      <c r="AB2" s="102"/>
      <c r="AC2" s="102"/>
      <c r="AD2" s="102"/>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76"/>
      <c r="BS2" s="76"/>
      <c r="BT2" s="76"/>
      <c r="BU2" s="76"/>
      <c r="BV2" s="76"/>
      <c r="BW2" s="76"/>
      <c r="BX2" s="76"/>
      <c r="BY2" s="76"/>
      <c r="BZ2" s="76"/>
      <c r="CA2" s="76"/>
      <c r="CB2" s="76"/>
      <c r="CC2" s="76"/>
      <c r="CD2" s="76"/>
      <c r="CE2" s="76"/>
      <c r="CF2" s="76"/>
      <c r="CG2" s="76"/>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row>
    <row r="3" spans="1:145" s="65" customFormat="1" ht="25.35" customHeight="1" x14ac:dyDescent="0.25">
      <c r="A3" s="104"/>
      <c r="B3" s="104"/>
      <c r="C3" s="104"/>
      <c r="D3" s="104"/>
      <c r="E3" s="104"/>
      <c r="F3" s="104"/>
      <c r="G3" s="104"/>
      <c r="H3" s="144" t="str">
        <f>" Currency : " &amp;SOP_TargetCurrency</f>
        <v xml:space="preserve"> Currency : EUR</v>
      </c>
      <c r="I3" s="144"/>
      <c r="J3" s="144"/>
      <c r="K3" s="141" t="str">
        <f>"  Last Refresh: "&amp;IFERROR(YEAR(SOP_Refresh_Timestamp)&amp;"-"&amp;TEXT(SOP_Refresh_Timestamp,"MMM")&amp;"-"&amp;DAY(SOP_Refresh_Timestamp)&amp;"   "&amp;TEXT(SOP_Refresh_Timestamp,"HH:MM:SS"),"Offline")</f>
        <v xml:space="preserve">  Last Refresh: 2026-Feb-3   08:34:00</v>
      </c>
      <c r="L3" s="141"/>
      <c r="M3" s="141"/>
      <c r="N3" s="141"/>
      <c r="O3" s="141"/>
      <c r="P3" s="141"/>
      <c r="Q3" s="141"/>
      <c r="R3" s="141"/>
      <c r="S3" s="141"/>
      <c r="T3" s="141"/>
      <c r="U3" s="141"/>
      <c r="V3" s="141"/>
      <c r="W3" s="101"/>
      <c r="X3" s="102"/>
      <c r="Y3" s="102"/>
      <c r="Z3" s="102"/>
      <c r="AA3" s="102"/>
      <c r="AB3" s="102"/>
      <c r="AC3" s="102"/>
      <c r="AD3" s="102"/>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76"/>
      <c r="BS3" s="76"/>
      <c r="BT3" s="76"/>
      <c r="BU3" s="76"/>
      <c r="BV3" s="76"/>
      <c r="BW3" s="76"/>
      <c r="BX3" s="76"/>
      <c r="BY3" s="76"/>
      <c r="BZ3" s="76"/>
      <c r="CA3" s="76"/>
      <c r="CB3" s="76"/>
      <c r="CC3" s="76"/>
      <c r="CD3" s="76"/>
      <c r="CE3" s="76"/>
      <c r="CF3" s="76"/>
      <c r="CG3" s="76"/>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row>
    <row r="4" spans="1:145" s="26" customFormat="1" ht="189.75" hidden="1" customHeight="1" x14ac:dyDescent="0.25">
      <c r="A4" s="138"/>
      <c r="B4" s="138"/>
      <c r="C4" s="138"/>
      <c r="D4" s="138"/>
      <c r="E4" s="138"/>
      <c r="F4" s="138"/>
      <c r="G4" s="138"/>
      <c r="H4" s="138"/>
      <c r="I4" s="138"/>
      <c r="J4" s="138"/>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5"/>
      <c r="BU4" s="105"/>
      <c r="BV4" s="105"/>
      <c r="BW4" s="105"/>
      <c r="BX4" s="105"/>
      <c r="BY4" s="105"/>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row>
    <row r="5" spans="1:145" s="27" customFormat="1" x14ac:dyDescent="0.25">
      <c r="A5" s="106" t="str">
        <f>SOP_Heading10</f>
        <v xml:space="preserve"> </v>
      </c>
      <c r="B5" s="106" t="str">
        <f>SOP_Heading9</f>
        <v xml:space="preserve"> </v>
      </c>
      <c r="C5" s="106" t="str">
        <f>SOP_Heading8</f>
        <v xml:space="preserve"> </v>
      </c>
      <c r="D5" s="106" t="str">
        <f>SOP_Heading7</f>
        <v xml:space="preserve"> </v>
      </c>
      <c r="E5" s="106" t="str">
        <f>SOP_Heading6</f>
        <v xml:space="preserve"> </v>
      </c>
      <c r="F5" s="106" t="str">
        <f>SOP_Heading5</f>
        <v xml:space="preserve"> </v>
      </c>
      <c r="G5" s="106" t="str">
        <f>SOP_Heading4</f>
        <v>Product ID</v>
      </c>
      <c r="H5" s="106" t="str">
        <f>SOP_Heading3</f>
        <v>Product Desc</v>
      </c>
      <c r="I5" s="106" t="str">
        <f>SOP_Heading2</f>
        <v>MRP Type Indicator</v>
      </c>
      <c r="J5" s="106" t="str">
        <f>SOP_Heading1</f>
        <v>Key Figure</v>
      </c>
      <c r="K5" s="145" t="str">
        <f>IF(_ibpOfflineCondition_,"W06 2026", _xll.EPMOlapMemberO("[PERIODID4].[].[62928]","","W06 2026","","000"))</f>
        <v>W06 2026</v>
      </c>
      <c r="L5" s="107"/>
      <c r="M5" s="107"/>
      <c r="N5" s="107"/>
      <c r="O5" s="107"/>
      <c r="P5" s="107"/>
      <c r="Q5" s="107"/>
      <c r="R5" s="107"/>
      <c r="S5" s="107"/>
      <c r="T5" s="107"/>
      <c r="U5" s="107"/>
      <c r="V5" s="107"/>
      <c r="W5" s="107"/>
      <c r="X5" s="107"/>
      <c r="Y5" s="107"/>
      <c r="Z5" s="107"/>
      <c r="AA5" s="107"/>
      <c r="AB5" s="107"/>
      <c r="AC5" s="107"/>
      <c r="AD5" s="107"/>
      <c r="AE5" s="107"/>
      <c r="AF5" s="107"/>
      <c r="AG5" s="107"/>
      <c r="AH5" s="107"/>
      <c r="AI5" s="107"/>
      <c r="AJ5" s="107"/>
      <c r="AK5" s="107"/>
      <c r="AL5" s="107"/>
      <c r="AM5" s="107"/>
      <c r="AN5" s="107"/>
      <c r="AO5" s="107"/>
      <c r="AP5" s="107"/>
      <c r="AQ5" s="107"/>
      <c r="AR5" s="107"/>
      <c r="AS5" s="107"/>
      <c r="AT5" s="107"/>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48"/>
      <c r="BW5" s="148"/>
      <c r="BX5" s="148"/>
      <c r="BY5" s="148"/>
      <c r="BZ5" s="148"/>
      <c r="CA5" s="148"/>
      <c r="CB5" s="148"/>
      <c r="CC5" s="148"/>
      <c r="CD5" s="148"/>
      <c r="CE5" s="148"/>
      <c r="CF5" s="148"/>
      <c r="CG5" s="148"/>
      <c r="CH5" s="148"/>
      <c r="CI5" s="148"/>
      <c r="CJ5" s="148"/>
      <c r="CK5" s="148"/>
      <c r="CL5" s="148"/>
      <c r="CM5" s="148"/>
      <c r="CN5" s="148"/>
      <c r="CO5" s="148"/>
      <c r="CP5" s="148"/>
      <c r="CQ5" s="148"/>
      <c r="CR5" s="148"/>
      <c r="CS5" s="148"/>
      <c r="CT5" s="148"/>
      <c r="CU5" s="148"/>
      <c r="CV5" s="148"/>
      <c r="CW5" s="148"/>
      <c r="CX5" s="148"/>
      <c r="CY5" s="148"/>
      <c r="CZ5" s="148"/>
      <c r="DA5" s="148"/>
      <c r="DB5" s="148"/>
      <c r="DC5" s="148"/>
      <c r="DD5" s="148"/>
      <c r="DE5" s="148"/>
      <c r="DF5" s="148"/>
      <c r="DG5" s="148"/>
      <c r="DH5" s="148"/>
      <c r="DI5" s="148"/>
      <c r="DJ5" s="148"/>
      <c r="DK5" s="148"/>
      <c r="DL5" s="148"/>
      <c r="DM5" s="148"/>
      <c r="DN5" s="148"/>
      <c r="DO5" s="148"/>
      <c r="DP5" s="148"/>
      <c r="DQ5" s="148"/>
      <c r="DR5" s="148"/>
      <c r="DS5" s="148"/>
      <c r="DT5" s="148"/>
      <c r="DU5" s="148"/>
      <c r="DV5" s="148"/>
      <c r="DW5" s="148"/>
      <c r="DX5" s="148"/>
      <c r="DY5" s="148"/>
      <c r="DZ5" s="148"/>
      <c r="EA5" s="148"/>
      <c r="EB5" s="148"/>
      <c r="EC5" s="148"/>
      <c r="ED5" s="148"/>
      <c r="EE5" s="148"/>
      <c r="EF5" s="148"/>
      <c r="EG5" s="148"/>
      <c r="EH5" s="148"/>
      <c r="EI5" s="148"/>
      <c r="EJ5" s="148"/>
      <c r="EK5" s="148"/>
      <c r="EL5" s="148"/>
      <c r="EM5" s="148"/>
      <c r="EN5" s="148"/>
      <c r="EO5" s="148"/>
    </row>
    <row r="6" spans="1:145" x14ac:dyDescent="0.25">
      <c r="A6" s="107"/>
      <c r="B6" s="107"/>
      <c r="C6" s="107"/>
      <c r="D6" s="107"/>
      <c r="E6" s="107"/>
      <c r="F6" s="107"/>
      <c r="G6" s="147" t="str">
        <f>IF(_ibpOfflineCondition_,"000000000000563901-1", _xll.EPMOlapMemberO("[PRDID].[].[000000000000563901-1]","","000000000000563901-1","","000"))</f>
        <v>000000000000563901-1</v>
      </c>
      <c r="H6" s="147" t="str">
        <f>IF(_ibpOfflineCondition_,"FGR+ FIGAROLLPLUS 5/280+40 BRAUN BRAMAC", _xll.EPMOlapMemberO("[PRDDESCR].[].[FGR+ FIGAROLLPLUS 5/280+40 BRAUN BRAMAC]","","FGR+ FIGAROLLPLUS 5/280+40 BRAUN BRAMAC","","000"))</f>
        <v>FGR+ FIGAROLLPLUS 5/280+40 BRAUN BRAMAC</v>
      </c>
      <c r="I6" s="147" t="str">
        <f>IF(_ibpOfflineCondition_,"X0", _xll.EPMOlapMemberO("[MRPTYPE].[].[X0]","","X0","","000"))</f>
        <v>X0</v>
      </c>
      <c r="J6" s="147" t="str">
        <f>IF(_ibpOfflineCondition_,"Stock on Hand", _xll.EPMOlapMemberO("[KEY_FIGURES].[].[INITIALINVENTORY]","","Stock on Hand","","000"))</f>
        <v>Stock on Hand</v>
      </c>
      <c r="K6" s="80">
        <v>76</v>
      </c>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c r="BS6" s="107"/>
      <c r="BT6" s="107"/>
      <c r="BU6" s="107"/>
      <c r="BV6" s="107"/>
      <c r="BW6" s="107"/>
      <c r="BX6" s="107"/>
      <c r="BY6" s="107"/>
      <c r="BZ6" s="107"/>
      <c r="CA6" s="107"/>
      <c r="CB6" s="107"/>
      <c r="CC6" s="107"/>
      <c r="CD6" s="107"/>
      <c r="CE6" s="107"/>
      <c r="CF6" s="107"/>
      <c r="CG6" s="107"/>
      <c r="CH6" s="107"/>
      <c r="CI6" s="107"/>
      <c r="CJ6" s="107"/>
      <c r="CK6" s="107"/>
      <c r="CL6" s="107"/>
      <c r="CM6" s="107"/>
      <c r="CN6" s="107"/>
      <c r="CO6" s="107"/>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row>
    <row r="7" spans="1:145" x14ac:dyDescent="0.25">
      <c r="A7" s="107"/>
      <c r="B7" s="107"/>
      <c r="C7" s="107"/>
      <c r="D7" s="107"/>
      <c r="E7" s="107"/>
      <c r="F7" s="107"/>
      <c r="G7" s="147" t="str">
        <f>IF(_ibpOfflineCondition_,"000000000000563902-1", _xll.EPMOlapMemberO("[PRDID].[].[000000000000563902-1]","","000000000000563902-1","","000"))</f>
        <v>000000000000563902-1</v>
      </c>
      <c r="H7" s="147" t="str">
        <f>IF(_ibpOfflineCondition_,"FGR+ FIGAROLLPLUS 5/280+40 ANTHR BRAMAC", _xll.EPMOlapMemberO("[PRDDESCR].[].[FGR+ FIGAROLLPLUS 5/280+40 ANTHR BRAMAC]","","FGR+ FIGAROLLPLUS 5/280+40 ANTHR BRAMAC","","000"))</f>
        <v>FGR+ FIGAROLLPLUS 5/280+40 ANTHR BRAMAC</v>
      </c>
      <c r="I7" s="147" t="str">
        <f>IF(_ibpOfflineCondition_,"X0", _xll.EPMOlapMemberO("[MRPTYPE].[].[X0]","","X0","","000"))</f>
        <v>X0</v>
      </c>
      <c r="J7" s="147" t="str">
        <f>IF(_ibpOfflineCondition_,"Stock on Hand", _xll.EPMOlapMemberO("[KEY_FIGURES].[].[INITIALINVENTORY]","","Stock on Hand","","000"))</f>
        <v>Stock on Hand</v>
      </c>
      <c r="K7" s="80">
        <v>206</v>
      </c>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c r="BS7" s="107"/>
      <c r="BT7" s="107"/>
      <c r="BU7" s="107"/>
      <c r="BV7" s="107"/>
      <c r="BW7" s="107"/>
      <c r="BX7" s="107"/>
      <c r="BY7" s="107"/>
      <c r="BZ7" s="107"/>
      <c r="CA7" s="107"/>
      <c r="CB7" s="107"/>
      <c r="CC7" s="107"/>
      <c r="CD7" s="107"/>
      <c r="CE7" s="107"/>
      <c r="CF7" s="107"/>
      <c r="CG7" s="107"/>
      <c r="CH7" s="107"/>
      <c r="CI7" s="107"/>
      <c r="CJ7" s="107"/>
      <c r="CK7" s="107"/>
      <c r="CL7" s="107"/>
      <c r="CM7" s="107"/>
      <c r="CN7" s="107"/>
      <c r="CO7" s="107"/>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row>
    <row r="8" spans="1:145" x14ac:dyDescent="0.25">
      <c r="A8" s="107"/>
      <c r="B8" s="107"/>
      <c r="C8" s="107"/>
      <c r="D8" s="107"/>
      <c r="E8" s="107"/>
      <c r="F8" s="107"/>
      <c r="G8" s="147" t="str">
        <f>IF(_ibpOfflineCondition_,"000000000000563903-1", _xll.EPMOlapMemberO("[PRDID].[].[000000000000563903-1]","","000000000000563903-1","","000"))</f>
        <v>000000000000563903-1</v>
      </c>
      <c r="H8" s="147" t="str">
        <f>IF(_ibpOfflineCondition_,"FGR+ FIGAROLLPLUS 5/280+40 ROT BRAMAC", _xll.EPMOlapMemberO("[PRDDESCR].[].[FGR+ FIGAROLLPLUS 5/280+40 ROT BRAMAC]","","FGR+ FIGAROLLPLUS 5/280+40 ROT BRAMAC","","000"))</f>
        <v>FGR+ FIGAROLLPLUS 5/280+40 ROT BRAMAC</v>
      </c>
      <c r="I8" s="147" t="str">
        <f>IF(_ibpOfflineCondition_,"X0", _xll.EPMOlapMemberO("[MRPTYPE].[].[X0]","","X0","","000"))</f>
        <v>X0</v>
      </c>
      <c r="J8" s="147" t="str">
        <f>IF(_ibpOfflineCondition_,"Stock on Hand", _xll.EPMOlapMemberO("[KEY_FIGURES].[].[INITIALINVENTORY]","","Stock on Hand","","000"))</f>
        <v>Stock on Hand</v>
      </c>
      <c r="K8" s="80">
        <v>250</v>
      </c>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c r="BS8" s="107"/>
      <c r="BT8" s="107"/>
      <c r="BU8" s="107"/>
      <c r="BV8" s="107"/>
      <c r="BW8" s="107"/>
      <c r="BX8" s="107"/>
      <c r="BY8" s="107"/>
      <c r="BZ8" s="107"/>
      <c r="CA8" s="107"/>
      <c r="CB8" s="107"/>
      <c r="CC8" s="107"/>
      <c r="CD8" s="107"/>
      <c r="CE8" s="107"/>
      <c r="CF8" s="107"/>
      <c r="CG8" s="107"/>
      <c r="CH8" s="107"/>
      <c r="CI8" s="107"/>
      <c r="CJ8" s="107"/>
      <c r="CK8" s="107"/>
      <c r="CL8" s="107"/>
      <c r="CM8" s="107"/>
      <c r="CN8" s="107"/>
      <c r="CO8" s="107"/>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row>
    <row r="9" spans="1:145" x14ac:dyDescent="0.25">
      <c r="A9" s="107"/>
      <c r="B9" s="107"/>
      <c r="C9" s="107"/>
      <c r="D9" s="107"/>
      <c r="E9" s="107"/>
      <c r="F9" s="107"/>
      <c r="G9" s="147" t="str">
        <f>IF(_ibpOfflineCondition_,"000000000000564252-1", _xll.EPMOlapMemberO("[PRDID].[].[000000000000564252-1]","","000000000000564252-1","","000"))</f>
        <v>000000000000564252-1</v>
      </c>
      <c r="H9" s="147" t="str">
        <f>IF(_ibpOfflineCondition_,"FGR+ Fig.Plus 10/340+40 anthr Boral WB", _xll.EPMOlapMemberO("[PRDDESCR].[].[FGR+ Fig.Plus 10/340+40 anthr Boral WB]","","FGR+ Fig.Plus 10/340+40 anthr Boral WB","","000"))</f>
        <v>FGR+ Fig.Plus 10/340+40 anthr Boral WB</v>
      </c>
      <c r="I9" s="147" t="str">
        <f>IF(_ibpOfflineCondition_,"X7", _xll.EPMOlapMemberO("[MRPTYPE].[].[X7]","","X7","","000"))</f>
        <v>X7</v>
      </c>
      <c r="J9" s="147" t="str">
        <f>IF(_ibpOfflineCondition_,"Stock on Hand", _xll.EPMOlapMemberO("[KEY_FIGURES].[].[INITIALINVENTORY]","","Stock on Hand","","000"))</f>
        <v>Stock on Hand</v>
      </c>
      <c r="K9" s="80"/>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c r="BS9" s="107"/>
      <c r="BT9" s="107"/>
      <c r="BU9" s="107"/>
      <c r="BV9" s="107"/>
      <c r="BW9" s="107"/>
      <c r="BX9" s="107"/>
      <c r="BY9" s="107"/>
      <c r="BZ9" s="107"/>
      <c r="CA9" s="107"/>
      <c r="CB9" s="107"/>
      <c r="CC9" s="107"/>
      <c r="CD9" s="107"/>
      <c r="CE9" s="107"/>
      <c r="CF9" s="107"/>
      <c r="CG9" s="107"/>
      <c r="CH9" s="107"/>
      <c r="CI9" s="107"/>
      <c r="CJ9" s="107"/>
      <c r="CK9" s="107"/>
      <c r="CL9" s="107"/>
      <c r="CM9" s="107"/>
      <c r="CN9" s="107"/>
      <c r="CO9" s="107"/>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row>
    <row r="10" spans="1:145" x14ac:dyDescent="0.25">
      <c r="A10" s="107"/>
      <c r="B10" s="107"/>
      <c r="C10" s="107"/>
      <c r="D10" s="107"/>
      <c r="E10" s="107"/>
      <c r="F10" s="107"/>
      <c r="G10" s="147" t="str">
        <f>IF(_ibpOfflineCondition_,"000000000000564301-1", _xll.EPMOlapMemberO("[PRDID].[].[000000000000564301-1]","","000000000000564301-1","","000"))</f>
        <v>000000000000564301-1</v>
      </c>
      <c r="H10" s="147" t="str">
        <f>IF(_ibpOfflineCondition_,"FGR+ AIRBAND PLUS 5/340+40 BRAUN MIT", _xll.EPMOlapMemberO("[PRDDESCR].[].[FGR+ AIRBAND PLUS 5/340+40 BRAUN MIT]","","FGR+ AIRBAND PLUS 5/340+40 BRAUN MIT","","000"))</f>
        <v>FGR+ AIRBAND PLUS 5/340+40 BRAUN MIT</v>
      </c>
      <c r="I10" s="147" t="str">
        <f>IF(_ibpOfflineCondition_,"X7", _xll.EPMOlapMemberO("[MRPTYPE].[].[X7]","","X7","","000"))</f>
        <v>X7</v>
      </c>
      <c r="J10" s="147" t="str">
        <f>IF(_ibpOfflineCondition_,"Stock on Hand", _xll.EPMOlapMemberO("[KEY_FIGURES].[].[INITIALINVENTORY]","","Stock on Hand","","000"))</f>
        <v>Stock on Hand</v>
      </c>
      <c r="K10" s="80"/>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c r="BS10" s="107"/>
      <c r="BT10" s="107"/>
      <c r="BU10" s="107"/>
      <c r="BV10" s="107"/>
      <c r="BW10" s="107"/>
      <c r="BX10" s="107"/>
      <c r="BY10" s="107"/>
      <c r="BZ10" s="107"/>
      <c r="CA10" s="107"/>
      <c r="CB10" s="107"/>
      <c r="CC10" s="107"/>
      <c r="CD10" s="107"/>
      <c r="CE10" s="107"/>
      <c r="CF10" s="107"/>
      <c r="CG10" s="107"/>
      <c r="CH10" s="107"/>
      <c r="CI10" s="107"/>
      <c r="CJ10" s="107"/>
      <c r="CK10" s="107"/>
      <c r="CL10" s="107"/>
      <c r="CM10" s="107"/>
      <c r="CN10" s="107"/>
      <c r="CO10" s="107"/>
      <c r="CP10" s="107"/>
      <c r="CQ10" s="107"/>
      <c r="CR10" s="107"/>
      <c r="CS10" s="107"/>
      <c r="CT10" s="107"/>
      <c r="CU10" s="107"/>
      <c r="CV10" s="107"/>
      <c r="CW10" s="107"/>
      <c r="CX10" s="107"/>
      <c r="CY10" s="107"/>
      <c r="CZ10" s="107"/>
      <c r="DA10" s="107"/>
      <c r="DB10" s="107"/>
      <c r="DC10" s="107"/>
      <c r="DD10" s="107"/>
      <c r="DE10" s="107"/>
      <c r="DF10" s="107"/>
      <c r="DG10" s="107"/>
      <c r="DH10" s="107"/>
      <c r="DI10" s="107"/>
      <c r="DJ10" s="107"/>
      <c r="DK10" s="107"/>
      <c r="DL10" s="107"/>
      <c r="DM10" s="107"/>
      <c r="DN10" s="107"/>
      <c r="DO10" s="107"/>
      <c r="DP10" s="107"/>
      <c r="DQ10" s="107"/>
      <c r="DR10" s="107"/>
      <c r="DS10" s="107"/>
      <c r="DT10" s="107"/>
      <c r="DU10" s="107"/>
      <c r="DV10" s="107"/>
      <c r="DW10" s="107"/>
      <c r="DX10" s="107"/>
      <c r="DY10" s="107"/>
      <c r="DZ10" s="107"/>
      <c r="EA10" s="107"/>
      <c r="EB10" s="107"/>
      <c r="EC10" s="107"/>
      <c r="ED10" s="107"/>
      <c r="EE10" s="107"/>
      <c r="EF10" s="107"/>
      <c r="EG10" s="107"/>
      <c r="EH10" s="107"/>
      <c r="EI10" s="107"/>
      <c r="EJ10" s="107"/>
      <c r="EK10" s="107"/>
      <c r="EL10" s="107"/>
      <c r="EM10" s="107"/>
      <c r="EN10" s="107"/>
      <c r="EO10" s="107"/>
    </row>
    <row r="11" spans="1:145" x14ac:dyDescent="0.25">
      <c r="A11" s="107"/>
      <c r="B11" s="107"/>
      <c r="C11" s="107"/>
      <c r="D11" s="107"/>
      <c r="E11" s="107"/>
      <c r="F11" s="107"/>
      <c r="G11" s="147" t="str">
        <f>IF(_ibpOfflineCondition_,"000000000000564303-1", _xll.EPMOlapMemberO("[PRDID].[].[000000000000564303-1]","","000000000000564303-1","","000"))</f>
        <v>000000000000564303-1</v>
      </c>
      <c r="H11" s="147" t="str">
        <f>IF(_ibpOfflineCondition_,"FGR+ AIRBAND PLUS 5/340+40 ROT MIT", _xll.EPMOlapMemberO("[PRDDESCR].[].[FGR+ AIRBAND PLUS 5/340+40 ROT MIT]","","FGR+ AIRBAND PLUS 5/340+40 ROT MIT","","000"))</f>
        <v>FGR+ AIRBAND PLUS 5/340+40 ROT MIT</v>
      </c>
      <c r="I11" s="147" t="str">
        <f>IF(_ibpOfflineCondition_,"X7", _xll.EPMOlapMemberO("[MRPTYPE].[].[X7]","","X7","","000"))</f>
        <v>X7</v>
      </c>
      <c r="J11" s="147" t="str">
        <f>IF(_ibpOfflineCondition_,"Stock on Hand", _xll.EPMOlapMemberO("[KEY_FIGURES].[].[INITIALINVENTORY]","","Stock on Hand","","000"))</f>
        <v>Stock on Hand</v>
      </c>
      <c r="K11" s="80"/>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c r="BS11" s="107"/>
      <c r="BT11" s="107"/>
      <c r="BU11" s="107"/>
      <c r="BV11" s="107"/>
      <c r="BW11" s="107"/>
      <c r="BX11" s="107"/>
      <c r="BY11" s="107"/>
      <c r="BZ11" s="107"/>
      <c r="CA11" s="107"/>
      <c r="CB11" s="107"/>
      <c r="CC11" s="107"/>
      <c r="CD11" s="107"/>
      <c r="CE11" s="107"/>
      <c r="CF11" s="107"/>
      <c r="CG11" s="107"/>
      <c r="CH11" s="107"/>
      <c r="CI11" s="107"/>
      <c r="CJ11" s="107"/>
      <c r="CK11" s="107"/>
      <c r="CL11" s="107"/>
      <c r="CM11" s="107"/>
      <c r="CN11" s="107"/>
      <c r="CO11" s="107"/>
      <c r="CP11" s="107"/>
      <c r="CQ11" s="107"/>
      <c r="CR11" s="107"/>
      <c r="CS11" s="107"/>
      <c r="CT11" s="107"/>
      <c r="CU11" s="107"/>
      <c r="CV11" s="107"/>
      <c r="CW11" s="107"/>
      <c r="CX11" s="107"/>
      <c r="CY11" s="107"/>
      <c r="CZ11" s="107"/>
      <c r="DA11" s="107"/>
      <c r="DB11" s="107"/>
      <c r="DC11" s="107"/>
      <c r="DD11" s="107"/>
      <c r="DE11" s="107"/>
      <c r="DF11" s="107"/>
      <c r="DG11" s="107"/>
      <c r="DH11" s="107"/>
      <c r="DI11" s="107"/>
      <c r="DJ11" s="107"/>
      <c r="DK11" s="107"/>
      <c r="DL11" s="107"/>
      <c r="DM11" s="107"/>
      <c r="DN11" s="107"/>
      <c r="DO11" s="107"/>
      <c r="DP11" s="107"/>
      <c r="DQ11" s="107"/>
      <c r="DR11" s="107"/>
      <c r="DS11" s="107"/>
      <c r="DT11" s="107"/>
      <c r="DU11" s="107"/>
      <c r="DV11" s="107"/>
      <c r="DW11" s="107"/>
      <c r="DX11" s="107"/>
      <c r="DY11" s="107"/>
      <c r="DZ11" s="107"/>
      <c r="EA11" s="107"/>
      <c r="EB11" s="107"/>
      <c r="EC11" s="107"/>
      <c r="ED11" s="107"/>
      <c r="EE11" s="107"/>
      <c r="EF11" s="107"/>
      <c r="EG11" s="107"/>
      <c r="EH11" s="107"/>
      <c r="EI11" s="107"/>
      <c r="EJ11" s="107"/>
      <c r="EK11" s="107"/>
      <c r="EL11" s="107"/>
      <c r="EM11" s="107"/>
      <c r="EN11" s="107"/>
      <c r="EO11" s="107"/>
    </row>
    <row r="12" spans="1:145" x14ac:dyDescent="0.25">
      <c r="A12" s="107"/>
      <c r="B12" s="107"/>
      <c r="C12" s="107"/>
      <c r="D12" s="107"/>
      <c r="E12" s="107"/>
      <c r="F12" s="107"/>
      <c r="G12" s="147" t="str">
        <f>IF(_ibpOfflineCondition_,"000000000000564351-1", _xll.EPMOlapMemberO("[PRDID].[].[000000000000564351-1]","","000000000000564351-1","","000"))</f>
        <v>000000000000564351-1</v>
      </c>
      <c r="H12" s="147" t="str">
        <f>IF(_ibpOfflineCondition_,"FGR+ AIRBAND PLUS 5/280+40 BRAUN MIT", _xll.EPMOlapMemberO("[PRDDESCR].[].[FGR+ AIRBAND PLUS 5/280+40 BRAUN MIT]","","FGR+ AIRBAND PLUS 5/280+40 BRAUN MIT","","000"))</f>
        <v>FGR+ AIRBAND PLUS 5/280+40 BRAUN MIT</v>
      </c>
      <c r="I12" s="147" t="str">
        <f>IF(_ibpOfflineCondition_,"X7", _xll.EPMOlapMemberO("[MRPTYPE].[].[X7]","","X7","","000"))</f>
        <v>X7</v>
      </c>
      <c r="J12" s="147" t="str">
        <f>IF(_ibpOfflineCondition_,"Stock on Hand", _xll.EPMOlapMemberO("[KEY_FIGURES].[].[INITIALINVENTORY]","","Stock on Hand","","000"))</f>
        <v>Stock on Hand</v>
      </c>
      <c r="K12" s="80"/>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c r="BS12" s="107"/>
      <c r="BT12" s="107"/>
      <c r="BU12" s="107"/>
      <c r="BV12" s="107"/>
      <c r="BW12" s="107"/>
      <c r="BX12" s="107"/>
      <c r="BY12" s="107"/>
      <c r="BZ12" s="107"/>
      <c r="CA12" s="107"/>
      <c r="CB12" s="107"/>
      <c r="CC12" s="107"/>
      <c r="CD12" s="107"/>
      <c r="CE12" s="107"/>
      <c r="CF12" s="107"/>
      <c r="CG12" s="107"/>
      <c r="CH12" s="107"/>
      <c r="CI12" s="107"/>
      <c r="CJ12" s="107"/>
      <c r="CK12" s="107"/>
      <c r="CL12" s="107"/>
      <c r="CM12" s="107"/>
      <c r="CN12" s="107"/>
      <c r="CO12" s="107"/>
      <c r="CP12" s="107"/>
      <c r="CQ12" s="107"/>
      <c r="CR12" s="107"/>
      <c r="CS12" s="107"/>
      <c r="CT12" s="107"/>
      <c r="CU12" s="107"/>
      <c r="CV12" s="107"/>
      <c r="CW12" s="107"/>
      <c r="CX12" s="107"/>
      <c r="CY12" s="107"/>
      <c r="CZ12" s="107"/>
      <c r="DA12" s="107"/>
      <c r="DB12" s="107"/>
      <c r="DC12" s="107"/>
      <c r="DD12" s="107"/>
      <c r="DE12" s="107"/>
      <c r="DF12" s="107"/>
      <c r="DG12" s="107"/>
      <c r="DH12" s="107"/>
      <c r="DI12" s="107"/>
      <c r="DJ12" s="107"/>
      <c r="DK12" s="107"/>
      <c r="DL12" s="107"/>
      <c r="DM12" s="107"/>
      <c r="DN12" s="107"/>
      <c r="DO12" s="107"/>
      <c r="DP12" s="107"/>
      <c r="DQ12" s="107"/>
      <c r="DR12" s="107"/>
      <c r="DS12" s="107"/>
      <c r="DT12" s="107"/>
      <c r="DU12" s="107"/>
      <c r="DV12" s="107"/>
      <c r="DW12" s="107"/>
      <c r="DX12" s="107"/>
      <c r="DY12" s="107"/>
      <c r="DZ12" s="107"/>
      <c r="EA12" s="107"/>
      <c r="EB12" s="107"/>
      <c r="EC12" s="107"/>
      <c r="ED12" s="107"/>
      <c r="EE12" s="107"/>
      <c r="EF12" s="107"/>
      <c r="EG12" s="107"/>
      <c r="EH12" s="107"/>
      <c r="EI12" s="107"/>
      <c r="EJ12" s="107"/>
      <c r="EK12" s="107"/>
      <c r="EL12" s="107"/>
      <c r="EM12" s="107"/>
      <c r="EN12" s="107"/>
      <c r="EO12" s="107"/>
    </row>
    <row r="13" spans="1:145" x14ac:dyDescent="0.25">
      <c r="A13" s="107"/>
      <c r="B13" s="107"/>
      <c r="C13" s="107"/>
      <c r="D13" s="107"/>
      <c r="E13" s="107"/>
      <c r="F13" s="107"/>
      <c r="G13" s="147" t="str">
        <f>IF(_ibpOfflineCondition_,"000000000000564353-1", _xll.EPMOlapMemberO("[PRDID].[].[000000000000564353-1]","","000000000000564353-1","","000"))</f>
        <v>000000000000564353-1</v>
      </c>
      <c r="H13" s="147" t="str">
        <f>IF(_ibpOfflineCondition_,"FGR+ AIRBAND PLUS 5/280+40 ROT MIT", _xll.EPMOlapMemberO("[PRDDESCR].[].[FGR+ AIRBAND PLUS 5/280+40 ROT MIT]","","FGR+ AIRBAND PLUS 5/280+40 ROT MIT","","000"))</f>
        <v>FGR+ AIRBAND PLUS 5/280+40 ROT MIT</v>
      </c>
      <c r="I13" s="147" t="str">
        <f>IF(_ibpOfflineCondition_,"X7", _xll.EPMOlapMemberO("[MRPTYPE].[].[X7]","","X7","","000"))</f>
        <v>X7</v>
      </c>
      <c r="J13" s="147" t="str">
        <f>IF(_ibpOfflineCondition_,"Stock on Hand", _xll.EPMOlapMemberO("[KEY_FIGURES].[].[INITIALINVENTORY]","","Stock on Hand","","000"))</f>
        <v>Stock on Hand</v>
      </c>
      <c r="K13" s="80">
        <v>90</v>
      </c>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c r="BS13" s="107"/>
      <c r="BT13" s="107"/>
      <c r="BU13" s="107"/>
      <c r="BV13" s="107"/>
      <c r="BW13" s="107"/>
      <c r="BX13" s="107"/>
      <c r="BY13" s="107"/>
      <c r="BZ13" s="107"/>
      <c r="CA13" s="107"/>
      <c r="CB13" s="107"/>
      <c r="CC13" s="107"/>
      <c r="CD13" s="107"/>
      <c r="CE13" s="107"/>
      <c r="CF13" s="107"/>
      <c r="CG13" s="107"/>
      <c r="CH13" s="107"/>
      <c r="CI13" s="107"/>
      <c r="CJ13" s="107"/>
      <c r="CK13" s="107"/>
      <c r="CL13" s="107"/>
      <c r="CM13" s="107"/>
      <c r="CN13" s="107"/>
      <c r="CO13" s="107"/>
      <c r="CP13" s="107"/>
      <c r="CQ13" s="107"/>
      <c r="CR13" s="107"/>
      <c r="CS13" s="107"/>
      <c r="CT13" s="107"/>
      <c r="CU13" s="107"/>
      <c r="CV13" s="107"/>
      <c r="CW13" s="107"/>
      <c r="CX13" s="107"/>
      <c r="CY13" s="107"/>
      <c r="CZ13" s="107"/>
      <c r="DA13" s="107"/>
      <c r="DB13" s="107"/>
      <c r="DC13" s="107"/>
      <c r="DD13" s="107"/>
      <c r="DE13" s="107"/>
      <c r="DF13" s="107"/>
      <c r="DG13" s="107"/>
      <c r="DH13" s="107"/>
      <c r="DI13" s="107"/>
      <c r="DJ13" s="107"/>
      <c r="DK13" s="107"/>
      <c r="DL13" s="107"/>
      <c r="DM13" s="107"/>
      <c r="DN13" s="107"/>
      <c r="DO13" s="107"/>
      <c r="DP13" s="107"/>
      <c r="DQ13" s="107"/>
      <c r="DR13" s="107"/>
      <c r="DS13" s="107"/>
      <c r="DT13" s="107"/>
      <c r="DU13" s="107"/>
      <c r="DV13" s="107"/>
      <c r="DW13" s="107"/>
      <c r="DX13" s="107"/>
      <c r="DY13" s="107"/>
      <c r="DZ13" s="107"/>
      <c r="EA13" s="107"/>
      <c r="EB13" s="107"/>
      <c r="EC13" s="107"/>
      <c r="ED13" s="107"/>
      <c r="EE13" s="107"/>
      <c r="EF13" s="107"/>
      <c r="EG13" s="107"/>
      <c r="EH13" s="107"/>
      <c r="EI13" s="107"/>
      <c r="EJ13" s="107"/>
      <c r="EK13" s="107"/>
      <c r="EL13" s="107"/>
      <c r="EM13" s="107"/>
      <c r="EN13" s="107"/>
      <c r="EO13" s="107"/>
    </row>
    <row r="14" spans="1:145" x14ac:dyDescent="0.25">
      <c r="A14" s="107"/>
      <c r="B14" s="107"/>
      <c r="C14" s="107"/>
      <c r="D14" s="107"/>
      <c r="E14" s="107"/>
      <c r="F14" s="107"/>
      <c r="G14" s="147" t="str">
        <f>IF(_ibpOfflineCondition_,"000000000000564401-1", _xll.EPMOlapMemberO("[PRDID].[].[000000000000564401-1]","","000000000000564401-1","","000"))</f>
        <v>000000000000564401-1</v>
      </c>
      <c r="H14" s="147" t="str">
        <f>IF(_ibpOfflineCondition_,"FGR+ Airband Antique 5/340+40 brown MIT", _xll.EPMOlapMemberO("[PRDDESCR].[].[FGR+ Airband Antique 5/340+40 brown MIT]","","FGR+ Airband Antique 5/340+40 brown MIT","","000"))</f>
        <v>FGR+ Airband Antique 5/340+40 brown MIT</v>
      </c>
      <c r="I14" s="147" t="str">
        <f>IF(_ibpOfflineCondition_,"X7", _xll.EPMOlapMemberO("[MRPTYPE].[].[X7]","","X7","","000"))</f>
        <v>X7</v>
      </c>
      <c r="J14" s="147" t="str">
        <f>IF(_ibpOfflineCondition_,"Stock on Hand", _xll.EPMOlapMemberO("[KEY_FIGURES].[].[INITIALINVENTORY]","","Stock on Hand","","000"))</f>
        <v>Stock on Hand</v>
      </c>
      <c r="K14" s="80"/>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c r="BS14" s="107"/>
      <c r="BT14" s="107"/>
      <c r="BU14" s="107"/>
      <c r="BV14" s="107"/>
      <c r="BW14" s="107"/>
      <c r="BX14" s="107"/>
      <c r="BY14" s="107"/>
      <c r="BZ14" s="107"/>
      <c r="CA14" s="107"/>
      <c r="CB14" s="107"/>
      <c r="CC14" s="107"/>
      <c r="CD14" s="107"/>
      <c r="CE14" s="107"/>
      <c r="CF14" s="107"/>
      <c r="CG14" s="107"/>
      <c r="CH14" s="107"/>
      <c r="CI14" s="107"/>
      <c r="CJ14" s="107"/>
      <c r="CK14" s="107"/>
      <c r="CL14" s="107"/>
      <c r="CM14" s="107"/>
      <c r="CN14" s="107"/>
      <c r="CO14" s="107"/>
      <c r="CP14" s="107"/>
      <c r="CQ14" s="107"/>
      <c r="CR14" s="107"/>
      <c r="CS14" s="107"/>
      <c r="CT14" s="107"/>
      <c r="CU14" s="107"/>
      <c r="CV14" s="107"/>
      <c r="CW14" s="107"/>
      <c r="CX14" s="107"/>
      <c r="CY14" s="107"/>
      <c r="CZ14" s="107"/>
      <c r="DA14" s="107"/>
      <c r="DB14" s="107"/>
      <c r="DC14" s="107"/>
      <c r="DD14" s="107"/>
      <c r="DE14" s="107"/>
      <c r="DF14" s="107"/>
      <c r="DG14" s="107"/>
      <c r="DH14" s="107"/>
      <c r="DI14" s="107"/>
      <c r="DJ14" s="107"/>
      <c r="DK14" s="107"/>
      <c r="DL14" s="107"/>
      <c r="DM14" s="107"/>
      <c r="DN14" s="107"/>
      <c r="DO14" s="107"/>
      <c r="DP14" s="107"/>
      <c r="DQ14" s="107"/>
      <c r="DR14" s="107"/>
      <c r="DS14" s="107"/>
      <c r="DT14" s="107"/>
      <c r="DU14" s="107"/>
      <c r="DV14" s="107"/>
      <c r="DW14" s="107"/>
      <c r="DX14" s="107"/>
      <c r="DY14" s="107"/>
      <c r="DZ14" s="107"/>
      <c r="EA14" s="107"/>
      <c r="EB14" s="107"/>
      <c r="EC14" s="107"/>
      <c r="ED14" s="107"/>
      <c r="EE14" s="107"/>
      <c r="EF14" s="107"/>
      <c r="EG14" s="107"/>
      <c r="EH14" s="107"/>
      <c r="EI14" s="107"/>
      <c r="EJ14" s="107"/>
      <c r="EK14" s="107"/>
      <c r="EL14" s="107"/>
      <c r="EM14" s="107"/>
      <c r="EN14" s="107"/>
      <c r="EO14" s="107"/>
    </row>
    <row r="15" spans="1:145" x14ac:dyDescent="0.25">
      <c r="A15" s="107"/>
      <c r="B15" s="107"/>
      <c r="C15" s="107"/>
      <c r="D15" s="107"/>
      <c r="E15" s="107"/>
      <c r="F15" s="107"/>
      <c r="G15" s="147" t="str">
        <f>IF(_ibpOfflineCondition_,"000000000000564403-1", _xll.EPMOlapMemberO("[PRDID].[].[000000000000564403-1]","","000000000000564403-1","","000"))</f>
        <v>000000000000564403-1</v>
      </c>
      <c r="H15" s="147" t="str">
        <f>IF(_ibpOfflineCondition_,"FGR+ Airband Antique 5/340+40 red MIT", _xll.EPMOlapMemberO("[PRDDESCR].[].[FGR+ Airband Antique 5/340+40 red MIT]","","FGR+ Airband Antique 5/340+40 red MIT","","000"))</f>
        <v>FGR+ Airband Antique 5/340+40 red MIT</v>
      </c>
      <c r="I15" s="147" t="str">
        <f>IF(_ibpOfflineCondition_,"X7", _xll.EPMOlapMemberO("[MRPTYPE].[].[X7]","","X7","","000"))</f>
        <v>X7</v>
      </c>
      <c r="J15" s="147" t="str">
        <f>IF(_ibpOfflineCondition_,"Stock on Hand", _xll.EPMOlapMemberO("[KEY_FIGURES].[].[INITIALINVENTORY]","","Stock on Hand","","000"))</f>
        <v>Stock on Hand</v>
      </c>
      <c r="K15" s="80"/>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c r="BS15" s="107"/>
      <c r="BT15" s="107"/>
      <c r="BU15" s="107"/>
      <c r="BV15" s="107"/>
      <c r="BW15" s="107"/>
      <c r="BX15" s="107"/>
      <c r="BY15" s="107"/>
      <c r="BZ15" s="107"/>
      <c r="CA15" s="107"/>
      <c r="CB15" s="107"/>
      <c r="CC15" s="107"/>
      <c r="CD15" s="107"/>
      <c r="CE15" s="107"/>
      <c r="CF15" s="107"/>
      <c r="CG15" s="107"/>
      <c r="CH15" s="107"/>
      <c r="CI15" s="107"/>
      <c r="CJ15" s="107"/>
      <c r="CK15" s="107"/>
      <c r="CL15" s="107"/>
      <c r="CM15" s="107"/>
      <c r="CN15" s="107"/>
      <c r="CO15" s="107"/>
      <c r="CP15" s="107"/>
      <c r="CQ15" s="107"/>
      <c r="CR15" s="107"/>
      <c r="CS15" s="107"/>
      <c r="CT15" s="107"/>
      <c r="CU15" s="107"/>
      <c r="CV15" s="107"/>
      <c r="CW15" s="107"/>
      <c r="CX15" s="107"/>
      <c r="CY15" s="107"/>
      <c r="CZ15" s="107"/>
      <c r="DA15" s="107"/>
      <c r="DB15" s="107"/>
      <c r="DC15" s="107"/>
      <c r="DD15" s="107"/>
      <c r="DE15" s="107"/>
      <c r="DF15" s="107"/>
      <c r="DG15" s="107"/>
      <c r="DH15" s="107"/>
      <c r="DI15" s="107"/>
      <c r="DJ15" s="107"/>
      <c r="DK15" s="107"/>
      <c r="DL15" s="107"/>
      <c r="DM15" s="107"/>
      <c r="DN15" s="107"/>
      <c r="DO15" s="107"/>
      <c r="DP15" s="107"/>
      <c r="DQ15" s="107"/>
      <c r="DR15" s="107"/>
      <c r="DS15" s="107"/>
      <c r="DT15" s="107"/>
      <c r="DU15" s="107"/>
      <c r="DV15" s="107"/>
      <c r="DW15" s="107"/>
      <c r="DX15" s="107"/>
      <c r="DY15" s="107"/>
      <c r="DZ15" s="107"/>
      <c r="EA15" s="107"/>
      <c r="EB15" s="107"/>
      <c r="EC15" s="107"/>
      <c r="ED15" s="107"/>
      <c r="EE15" s="107"/>
      <c r="EF15" s="107"/>
      <c r="EG15" s="107"/>
      <c r="EH15" s="107"/>
      <c r="EI15" s="107"/>
      <c r="EJ15" s="107"/>
      <c r="EK15" s="107"/>
      <c r="EL15" s="107"/>
      <c r="EM15" s="107"/>
      <c r="EN15" s="107"/>
      <c r="EO15" s="107"/>
    </row>
    <row r="16" spans="1:145" x14ac:dyDescent="0.25">
      <c r="A16" s="107"/>
      <c r="B16" s="107"/>
      <c r="C16" s="107"/>
      <c r="D16" s="107"/>
      <c r="E16" s="107"/>
      <c r="F16" s="107"/>
      <c r="G16" s="147" t="str">
        <f>IF(_ibpOfflineCondition_,"000000000000564452-1", _xll.EPMOlapMemberO("[PRDID].[].[000000000000564452-1]","","000000000000564452-1","","000"))</f>
        <v>000000000000564452-1</v>
      </c>
      <c r="H16" s="147" t="str">
        <f>IF(_ibpOfflineCondition_,"FGR+ FigarollPlus 2.75/280+40 anthr MUK", _xll.EPMOlapMemberO("[PRDDESCR].[].[FGR+ FigarollPlus 2.75/280+40 anthr MUK]","","FGR+ FigarollPlus 2.75/280+40 anthr MUK","","000"))</f>
        <v>FGR+ FigarollPlus 2.75/280+40 anthr MUK</v>
      </c>
      <c r="I16" s="147" t="str">
        <f>IF(_ibpOfflineCondition_,"X7", _xll.EPMOlapMemberO("[MRPTYPE].[].[X7]","","X7","","000"))</f>
        <v>X7</v>
      </c>
      <c r="J16" s="147" t="str">
        <f>IF(_ibpOfflineCondition_,"Stock on Hand", _xll.EPMOlapMemberO("[KEY_FIGURES].[].[INITIALINVENTORY]","","Stock on Hand","","000"))</f>
        <v>Stock on Hand</v>
      </c>
      <c r="K16" s="80"/>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c r="BS16" s="107"/>
      <c r="BT16" s="107"/>
      <c r="BU16" s="107"/>
      <c r="BV16" s="107"/>
      <c r="BW16" s="107"/>
      <c r="BX16" s="107"/>
      <c r="BY16" s="107"/>
      <c r="BZ16" s="107"/>
      <c r="CA16" s="107"/>
      <c r="CB16" s="107"/>
      <c r="CC16" s="107"/>
      <c r="CD16" s="107"/>
      <c r="CE16" s="107"/>
      <c r="CF16" s="107"/>
      <c r="CG16" s="107"/>
      <c r="CH16" s="107"/>
      <c r="CI16" s="107"/>
      <c r="CJ16" s="107"/>
      <c r="CK16" s="107"/>
      <c r="CL16" s="107"/>
      <c r="CM16" s="107"/>
      <c r="CN16" s="107"/>
      <c r="CO16" s="107"/>
      <c r="CP16" s="107"/>
      <c r="CQ16" s="107"/>
      <c r="CR16" s="107"/>
      <c r="CS16" s="107"/>
      <c r="CT16" s="107"/>
      <c r="CU16" s="107"/>
      <c r="CV16" s="107"/>
      <c r="CW16" s="107"/>
      <c r="CX16" s="107"/>
      <c r="CY16" s="107"/>
      <c r="CZ16" s="107"/>
      <c r="DA16" s="107"/>
      <c r="DB16" s="107"/>
      <c r="DC16" s="107"/>
      <c r="DD16" s="107"/>
      <c r="DE16" s="107"/>
      <c r="DF16" s="107"/>
      <c r="DG16" s="107"/>
      <c r="DH16" s="107"/>
      <c r="DI16" s="107"/>
      <c r="DJ16" s="107"/>
      <c r="DK16" s="107"/>
      <c r="DL16" s="107"/>
      <c r="DM16" s="107"/>
      <c r="DN16" s="107"/>
      <c r="DO16" s="107"/>
      <c r="DP16" s="107"/>
      <c r="DQ16" s="107"/>
      <c r="DR16" s="107"/>
      <c r="DS16" s="107"/>
      <c r="DT16" s="107"/>
      <c r="DU16" s="107"/>
      <c r="DV16" s="107"/>
      <c r="DW16" s="107"/>
      <c r="DX16" s="107"/>
      <c r="DY16" s="107"/>
      <c r="DZ16" s="107"/>
      <c r="EA16" s="107"/>
      <c r="EB16" s="107"/>
      <c r="EC16" s="107"/>
      <c r="ED16" s="107"/>
      <c r="EE16" s="107"/>
      <c r="EF16" s="107"/>
      <c r="EG16" s="107"/>
      <c r="EH16" s="107"/>
      <c r="EI16" s="107"/>
      <c r="EJ16" s="107"/>
      <c r="EK16" s="107"/>
      <c r="EL16" s="107"/>
      <c r="EM16" s="107"/>
      <c r="EN16" s="107"/>
      <c r="EO16" s="107"/>
    </row>
    <row r="17" spans="1:145" x14ac:dyDescent="0.25">
      <c r="A17" s="107"/>
      <c r="B17" s="107"/>
      <c r="C17" s="107"/>
      <c r="D17" s="107"/>
      <c r="E17" s="107"/>
      <c r="F17" s="107"/>
      <c r="G17" s="147" t="str">
        <f>IF(_ibpOfflineCondition_,"000000000000564462-1", _xll.EPMOlapMemberO("[PRDID].[].[000000000000564462-1]","","000000000000564462-1","","000"))</f>
        <v>000000000000564462-1</v>
      </c>
      <c r="H17" s="147" t="str">
        <f>IF(_ibpOfflineCondition_,"FGR+ CPAC 12.3/280+40 anthr ATLM WB", _xll.EPMOlapMemberO("[PRDDESCR].[].[FGR+ CPAC 12.3/280+40 anthr ATLM WB]","","FGR+ CPAC 12.3/280+40 anthr ATLM WB","","000"))</f>
        <v>FGR+ CPAC 12.3/280+40 anthr ATLM WB</v>
      </c>
      <c r="I17" s="147" t="str">
        <f>IF(_ibpOfflineCondition_,"ND", _xll.EPMOlapMemberO("[MRPTYPE].[].[ND]","","ND","","000"))</f>
        <v>ND</v>
      </c>
      <c r="J17" s="147" t="str">
        <f>IF(_ibpOfflineCondition_,"Stock on Hand", _xll.EPMOlapMemberO("[KEY_FIGURES].[].[INITIALINVENTORY]","","Stock on Hand","","000"))</f>
        <v>Stock on Hand</v>
      </c>
      <c r="K17" s="80"/>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c r="CJ17" s="107"/>
      <c r="CK17" s="107"/>
      <c r="CL17" s="107"/>
      <c r="CM17" s="107"/>
      <c r="CN17" s="107"/>
      <c r="CO17" s="107"/>
      <c r="CP17" s="107"/>
      <c r="CQ17" s="107"/>
      <c r="CR17" s="107"/>
      <c r="CS17" s="107"/>
      <c r="CT17" s="107"/>
      <c r="CU17" s="107"/>
      <c r="CV17" s="107"/>
      <c r="CW17" s="107"/>
      <c r="CX17" s="107"/>
      <c r="CY17" s="107"/>
      <c r="CZ17" s="107"/>
      <c r="DA17" s="107"/>
      <c r="DB17" s="107"/>
      <c r="DC17" s="107"/>
      <c r="DD17" s="107"/>
      <c r="DE17" s="107"/>
      <c r="DF17" s="107"/>
      <c r="DG17" s="107"/>
      <c r="DH17" s="107"/>
      <c r="DI17" s="107"/>
      <c r="DJ17" s="107"/>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c r="EH17" s="107"/>
      <c r="EI17" s="107"/>
      <c r="EJ17" s="107"/>
      <c r="EK17" s="107"/>
      <c r="EL17" s="107"/>
      <c r="EM17" s="107"/>
      <c r="EN17" s="107"/>
      <c r="EO17" s="107"/>
    </row>
    <row r="18" spans="1:145" x14ac:dyDescent="0.25">
      <c r="A18" s="107"/>
      <c r="B18" s="107"/>
      <c r="C18" s="107"/>
      <c r="D18" s="107"/>
      <c r="E18" s="107"/>
      <c r="F18" s="107"/>
      <c r="G18" s="147" t="str">
        <f>IF(_ibpOfflineCondition_,"000000000000564471-1", _xll.EPMOlapMemberO("[PRDID].[].[000000000000564471-1]","","000000000000564471-1","","000"))</f>
        <v>000000000000564471-1</v>
      </c>
      <c r="H18" s="147" t="str">
        <f>IF(_ibpOfflineCondition_,"FGR+ FIG.PLUS 12/280+40 BROWN ATLM WB", _xll.EPMOlapMemberO("[PRDDESCR].[].[FGR+ FIG.PLUS 12/280+40 BROWN ATLM WB]","","FGR+ FIG.PLUS 12/280+40 BROWN ATLM WB","","000"))</f>
        <v>FGR+ FIG.PLUS 12/280+40 BROWN ATLM WB</v>
      </c>
      <c r="I18" s="147" t="str">
        <f>IF(_ibpOfflineCondition_,"X7", _xll.EPMOlapMemberO("[MRPTYPE].[].[X7]","","X7","","000"))</f>
        <v>X7</v>
      </c>
      <c r="J18" s="147" t="str">
        <f>IF(_ibpOfflineCondition_,"Stock on Hand", _xll.EPMOlapMemberO("[KEY_FIGURES].[].[INITIALINVENTORY]","","Stock on Hand","","000"))</f>
        <v>Stock on Hand</v>
      </c>
      <c r="K18" s="80"/>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c r="BS18" s="107"/>
      <c r="BT18" s="107"/>
      <c r="BU18" s="107"/>
      <c r="BV18" s="107"/>
      <c r="BW18" s="107"/>
      <c r="BX18" s="107"/>
      <c r="BY18" s="107"/>
      <c r="BZ18" s="107"/>
      <c r="CA18" s="107"/>
      <c r="CB18" s="107"/>
      <c r="CC18" s="107"/>
      <c r="CD18" s="107"/>
      <c r="CE18" s="107"/>
      <c r="CF18" s="107"/>
      <c r="CG18" s="107"/>
      <c r="CH18" s="107"/>
      <c r="CI18" s="107"/>
      <c r="CJ18" s="107"/>
      <c r="CK18" s="107"/>
      <c r="CL18" s="107"/>
      <c r="CM18" s="107"/>
      <c r="CN18" s="107"/>
      <c r="CO18" s="107"/>
      <c r="CP18" s="107"/>
      <c r="CQ18" s="107"/>
      <c r="CR18" s="107"/>
      <c r="CS18" s="107"/>
      <c r="CT18" s="107"/>
      <c r="CU18" s="107"/>
      <c r="CV18" s="107"/>
      <c r="CW18" s="107"/>
      <c r="CX18" s="107"/>
      <c r="CY18" s="107"/>
      <c r="CZ18" s="107"/>
      <c r="DA18" s="107"/>
      <c r="DB18" s="107"/>
      <c r="DC18" s="107"/>
      <c r="DD18" s="107"/>
      <c r="DE18" s="107"/>
      <c r="DF18" s="107"/>
      <c r="DG18" s="107"/>
      <c r="DH18" s="107"/>
      <c r="DI18" s="107"/>
      <c r="DJ18" s="107"/>
      <c r="DK18" s="107"/>
      <c r="DL18" s="107"/>
      <c r="DM18" s="107"/>
      <c r="DN18" s="107"/>
      <c r="DO18" s="107"/>
      <c r="DP18" s="107"/>
      <c r="DQ18" s="107"/>
      <c r="DR18" s="107"/>
      <c r="DS18" s="107"/>
      <c r="DT18" s="107"/>
      <c r="DU18" s="107"/>
      <c r="DV18" s="107"/>
      <c r="DW18" s="107"/>
      <c r="DX18" s="107"/>
      <c r="DY18" s="107"/>
      <c r="DZ18" s="107"/>
      <c r="EA18" s="107"/>
      <c r="EB18" s="107"/>
      <c r="EC18" s="107"/>
      <c r="ED18" s="107"/>
      <c r="EE18" s="107"/>
      <c r="EF18" s="107"/>
      <c r="EG18" s="107"/>
      <c r="EH18" s="107"/>
      <c r="EI18" s="107"/>
      <c r="EJ18" s="107"/>
      <c r="EK18" s="107"/>
      <c r="EL18" s="107"/>
      <c r="EM18" s="107"/>
      <c r="EN18" s="107"/>
      <c r="EO18" s="107"/>
    </row>
    <row r="19" spans="1:145" x14ac:dyDescent="0.25">
      <c r="A19" s="107"/>
      <c r="B19" s="107"/>
      <c r="C19" s="107"/>
      <c r="D19" s="107"/>
      <c r="E19" s="107"/>
      <c r="F19" s="107"/>
      <c r="G19" s="147" t="str">
        <f>IF(_ibpOfflineCondition_,"000000000000564481-1", _xll.EPMOlapMemberO("[PRDID].[].[000000000000564481-1]","","000000000000564481-1","","000"))</f>
        <v>000000000000564481-1</v>
      </c>
      <c r="H19" s="147" t="str">
        <f>IF(_ibpOfflineCondition_,"FGR+ FIG.PLUS 5/280+40 BRAUN MONIER WB", _xll.EPMOlapMemberO("[PRDDESCR].[].[FGR+ FIG.PLUS 5/280+40 BRAUN MONIER WB]","","FGR+ FIG.PLUS 5/280+40 BRAUN MONIER WB","","000"))</f>
        <v>FGR+ FIG.PLUS 5/280+40 BRAUN MONIER WB</v>
      </c>
      <c r="I19" s="147" t="str">
        <f>IF(_ibpOfflineCondition_,"X0", _xll.EPMOlapMemberO("[MRPTYPE].[].[X0]","","X0","","000"))</f>
        <v>X0</v>
      </c>
      <c r="J19" s="147" t="str">
        <f>IF(_ibpOfflineCondition_,"Stock on Hand", _xll.EPMOlapMemberO("[KEY_FIGURES].[].[INITIALINVENTORY]","","Stock on Hand","","000"))</f>
        <v>Stock on Hand</v>
      </c>
      <c r="K19" s="80">
        <v>3510</v>
      </c>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c r="BS19" s="107"/>
      <c r="BT19" s="107"/>
      <c r="BU19" s="107"/>
      <c r="BV19" s="107"/>
      <c r="BW19" s="107"/>
      <c r="BX19" s="107"/>
      <c r="BY19" s="107"/>
      <c r="BZ19" s="107"/>
      <c r="CA19" s="107"/>
      <c r="CB19" s="107"/>
      <c r="CC19" s="107"/>
      <c r="CD19" s="107"/>
      <c r="CE19" s="107"/>
      <c r="CF19" s="107"/>
      <c r="CG19" s="107"/>
      <c r="CH19" s="107"/>
      <c r="CI19" s="107"/>
      <c r="CJ19" s="107"/>
      <c r="CK19" s="107"/>
      <c r="CL19" s="107"/>
      <c r="CM19" s="107"/>
      <c r="CN19" s="107"/>
      <c r="CO19" s="107"/>
      <c r="CP19" s="107"/>
      <c r="CQ19" s="107"/>
      <c r="CR19" s="107"/>
      <c r="CS19" s="107"/>
      <c r="CT19" s="107"/>
      <c r="CU19" s="107"/>
      <c r="CV19" s="107"/>
      <c r="CW19" s="107"/>
      <c r="CX19" s="107"/>
      <c r="CY19" s="107"/>
      <c r="CZ19" s="107"/>
      <c r="DA19" s="107"/>
      <c r="DB19" s="107"/>
      <c r="DC19" s="107"/>
      <c r="DD19" s="107"/>
      <c r="DE19" s="107"/>
      <c r="DF19" s="107"/>
      <c r="DG19" s="107"/>
      <c r="DH19" s="107"/>
      <c r="DI19" s="107"/>
      <c r="DJ19" s="107"/>
      <c r="DK19" s="107"/>
      <c r="DL19" s="107"/>
      <c r="DM19" s="107"/>
      <c r="DN19" s="107"/>
      <c r="DO19" s="107"/>
      <c r="DP19" s="107"/>
      <c r="DQ19" s="107"/>
      <c r="DR19" s="107"/>
      <c r="DS19" s="107"/>
      <c r="DT19" s="107"/>
      <c r="DU19" s="107"/>
      <c r="DV19" s="107"/>
      <c r="DW19" s="107"/>
      <c r="DX19" s="107"/>
      <c r="DY19" s="107"/>
      <c r="DZ19" s="107"/>
      <c r="EA19" s="107"/>
      <c r="EB19" s="107"/>
      <c r="EC19" s="107"/>
      <c r="ED19" s="107"/>
      <c r="EE19" s="107"/>
      <c r="EF19" s="107"/>
      <c r="EG19" s="107"/>
      <c r="EH19" s="107"/>
      <c r="EI19" s="107"/>
      <c r="EJ19" s="107"/>
      <c r="EK19" s="107"/>
      <c r="EL19" s="107"/>
      <c r="EM19" s="107"/>
      <c r="EN19" s="107"/>
      <c r="EO19" s="107"/>
    </row>
    <row r="20" spans="1:145" x14ac:dyDescent="0.25">
      <c r="A20" s="107"/>
      <c r="B20" s="107"/>
      <c r="C20" s="107"/>
      <c r="D20" s="107"/>
      <c r="E20" s="107"/>
      <c r="F20" s="107"/>
      <c r="G20" s="147" t="str">
        <f>IF(_ibpOfflineCondition_,"000000000000564482-1", _xll.EPMOlapMemberO("[PRDID].[].[000000000000564482-1]","","000000000000564482-1","","000"))</f>
        <v>000000000000564482-1</v>
      </c>
      <c r="H20" s="147" t="str">
        <f>IF(_ibpOfflineCondition_,"FGR+ FIG.PLUS 5/280+40 ANTHR MONIER WB", _xll.EPMOlapMemberO("[PRDDESCR].[].[FGR+ FIG.PLUS 5/280+40 ANTHR MONIER WB]","","FGR+ FIG.PLUS 5/280+40 ANTHR MONIER WB","","000"))</f>
        <v>FGR+ FIG.PLUS 5/280+40 ANTHR MONIER WB</v>
      </c>
      <c r="I20" s="147" t="str">
        <f>IF(_ibpOfflineCondition_,"X0", _xll.EPMOlapMemberO("[MRPTYPE].[].[X0]","","X0","","000"))</f>
        <v>X0</v>
      </c>
      <c r="J20" s="147" t="str">
        <f>IF(_ibpOfflineCondition_,"Stock on Hand", _xll.EPMOlapMemberO("[KEY_FIGURES].[].[INITIALINVENTORY]","","Stock on Hand","","000"))</f>
        <v>Stock on Hand</v>
      </c>
      <c r="K20" s="80">
        <v>2340</v>
      </c>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c r="BC20" s="107"/>
      <c r="BD20" s="107"/>
      <c r="BE20" s="107"/>
      <c r="BF20" s="107"/>
      <c r="BG20" s="107"/>
      <c r="BH20" s="107"/>
      <c r="BI20" s="107"/>
      <c r="BJ20" s="107"/>
      <c r="BK20" s="107"/>
      <c r="BL20" s="107"/>
      <c r="BM20" s="107"/>
      <c r="BN20" s="107"/>
      <c r="BO20" s="107"/>
      <c r="BP20" s="107"/>
      <c r="BQ20" s="107"/>
      <c r="BR20" s="107"/>
      <c r="BS20" s="107"/>
      <c r="BT20" s="107"/>
      <c r="BU20" s="107"/>
      <c r="BV20" s="107"/>
      <c r="BW20" s="107"/>
      <c r="BX20" s="107"/>
      <c r="BY20" s="107"/>
      <c r="BZ20" s="107"/>
      <c r="CA20" s="107"/>
      <c r="CB20" s="107"/>
      <c r="CC20" s="107"/>
      <c r="CD20" s="107"/>
      <c r="CE20" s="107"/>
      <c r="CF20" s="107"/>
      <c r="CG20" s="107"/>
      <c r="CH20" s="107"/>
      <c r="CI20" s="107"/>
      <c r="CJ20" s="107"/>
      <c r="CK20" s="107"/>
      <c r="CL20" s="107"/>
      <c r="CM20" s="107"/>
      <c r="CN20" s="107"/>
      <c r="CO20" s="107"/>
      <c r="CP20" s="107"/>
      <c r="CQ20" s="107"/>
      <c r="CR20" s="107"/>
      <c r="CS20" s="107"/>
      <c r="CT20" s="107"/>
      <c r="CU20" s="107"/>
      <c r="CV20" s="107"/>
      <c r="CW20" s="107"/>
      <c r="CX20" s="107"/>
      <c r="CY20" s="107"/>
      <c r="CZ20" s="107"/>
      <c r="DA20" s="107"/>
      <c r="DB20" s="107"/>
      <c r="DC20" s="107"/>
      <c r="DD20" s="107"/>
      <c r="DE20" s="107"/>
      <c r="DF20" s="107"/>
      <c r="DG20" s="107"/>
      <c r="DH20" s="107"/>
      <c r="DI20" s="107"/>
      <c r="DJ20" s="107"/>
      <c r="DK20" s="107"/>
      <c r="DL20" s="107"/>
      <c r="DM20" s="107"/>
      <c r="DN20" s="107"/>
      <c r="DO20" s="107"/>
      <c r="DP20" s="107"/>
      <c r="DQ20" s="107"/>
      <c r="DR20" s="107"/>
      <c r="DS20" s="107"/>
      <c r="DT20" s="107"/>
      <c r="DU20" s="107"/>
      <c r="DV20" s="107"/>
      <c r="DW20" s="107"/>
      <c r="DX20" s="107"/>
      <c r="DY20" s="107"/>
      <c r="DZ20" s="107"/>
      <c r="EA20" s="107"/>
      <c r="EB20" s="107"/>
      <c r="EC20" s="107"/>
      <c r="ED20" s="107"/>
      <c r="EE20" s="107"/>
      <c r="EF20" s="107"/>
      <c r="EG20" s="107"/>
      <c r="EH20" s="107"/>
      <c r="EI20" s="107"/>
      <c r="EJ20" s="107"/>
      <c r="EK20" s="107"/>
      <c r="EL20" s="107"/>
      <c r="EM20" s="107"/>
      <c r="EN20" s="107"/>
      <c r="EO20" s="107"/>
    </row>
    <row r="21" spans="1:145" x14ac:dyDescent="0.25">
      <c r="A21" s="107"/>
      <c r="B21" s="107"/>
      <c r="C21" s="107"/>
      <c r="D21" s="107"/>
      <c r="E21" s="107"/>
      <c r="F21" s="107"/>
      <c r="G21" s="147" t="str">
        <f>IF(_ibpOfflineCondition_,"000000000000564483-1", _xll.EPMOlapMemberO("[PRDID].[].[000000000000564483-1]","","000000000000564483-1","","000"))</f>
        <v>000000000000564483-1</v>
      </c>
      <c r="H21" s="147" t="str">
        <f>IF(_ibpOfflineCondition_,"FGR+ FIG.PLUS 5/280+40 ROT MONIER WB", _xll.EPMOlapMemberO("[PRDDESCR].[].[FGR+ FIG.PLUS 5/280+40 ROT MONIER WB]","","FGR+ FIG.PLUS 5/280+40 ROT MONIER WB","","000"))</f>
        <v>FGR+ FIG.PLUS 5/280+40 ROT MONIER WB</v>
      </c>
      <c r="I21" s="147" t="str">
        <f>IF(_ibpOfflineCondition_,"X0", _xll.EPMOlapMemberO("[MRPTYPE].[].[X0]","","X0","","000"))</f>
        <v>X0</v>
      </c>
      <c r="J21" s="147" t="str">
        <f>IF(_ibpOfflineCondition_,"Stock on Hand", _xll.EPMOlapMemberO("[KEY_FIGURES].[].[INITIALINVENTORY]","","Stock on Hand","","000"))</f>
        <v>Stock on Hand</v>
      </c>
      <c r="K21" s="80">
        <v>1440</v>
      </c>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c r="BS21" s="107"/>
      <c r="BT21" s="107"/>
      <c r="BU21" s="107"/>
      <c r="BV21" s="107"/>
      <c r="BW21" s="107"/>
      <c r="BX21" s="107"/>
      <c r="BY21" s="107"/>
      <c r="BZ21" s="107"/>
      <c r="CA21" s="107"/>
      <c r="CB21" s="107"/>
      <c r="CC21" s="107"/>
      <c r="CD21" s="107"/>
      <c r="CE21" s="107"/>
      <c r="CF21" s="107"/>
      <c r="CG21" s="107"/>
      <c r="CH21" s="107"/>
      <c r="CI21" s="107"/>
      <c r="CJ21" s="107"/>
      <c r="CK21" s="107"/>
      <c r="CL21" s="107"/>
      <c r="CM21" s="107"/>
      <c r="CN21" s="107"/>
      <c r="CO21" s="107"/>
      <c r="CP21" s="107"/>
      <c r="CQ21" s="107"/>
      <c r="CR21" s="107"/>
      <c r="CS21" s="107"/>
      <c r="CT21" s="107"/>
      <c r="CU21" s="107"/>
      <c r="CV21" s="107"/>
      <c r="CW21" s="107"/>
      <c r="CX21" s="107"/>
      <c r="CY21" s="107"/>
      <c r="CZ21" s="107"/>
      <c r="DA21" s="107"/>
      <c r="DB21" s="107"/>
      <c r="DC21" s="107"/>
      <c r="DD21" s="107"/>
      <c r="DE21" s="107"/>
      <c r="DF21" s="107"/>
      <c r="DG21" s="107"/>
      <c r="DH21" s="107"/>
      <c r="DI21" s="107"/>
      <c r="DJ21" s="107"/>
      <c r="DK21" s="107"/>
      <c r="DL21" s="107"/>
      <c r="DM21" s="107"/>
      <c r="DN21" s="107"/>
      <c r="DO21" s="107"/>
      <c r="DP21" s="107"/>
      <c r="DQ21" s="107"/>
      <c r="DR21" s="107"/>
      <c r="DS21" s="107"/>
      <c r="DT21" s="107"/>
      <c r="DU21" s="107"/>
      <c r="DV21" s="107"/>
      <c r="DW21" s="107"/>
      <c r="DX21" s="107"/>
      <c r="DY21" s="107"/>
      <c r="DZ21" s="107"/>
      <c r="EA21" s="107"/>
      <c r="EB21" s="107"/>
      <c r="EC21" s="107"/>
      <c r="ED21" s="107"/>
      <c r="EE21" s="107"/>
      <c r="EF21" s="107"/>
      <c r="EG21" s="107"/>
      <c r="EH21" s="107"/>
      <c r="EI21" s="107"/>
      <c r="EJ21" s="107"/>
      <c r="EK21" s="107"/>
      <c r="EL21" s="107"/>
      <c r="EM21" s="107"/>
      <c r="EN21" s="107"/>
      <c r="EO21" s="107"/>
    </row>
    <row r="22" spans="1:145" x14ac:dyDescent="0.25">
      <c r="A22" s="107"/>
      <c r="B22" s="107"/>
      <c r="C22" s="107"/>
      <c r="D22" s="107"/>
      <c r="E22" s="107"/>
      <c r="F22" s="107"/>
      <c r="G22" s="147" t="str">
        <f>IF(_ibpOfflineCondition_,"000000000000564551-1", _xll.EPMOlapMemberO("[PRDID].[].[000000000000564551-1]","","000000000000564551-1","","000"))</f>
        <v>000000000000564551-1</v>
      </c>
      <c r="H22" s="147" t="str">
        <f>IF(_ibpOfflineCondition_,"FGR+ FIGAROLLPLUS 5/340+40 BRAUN MONIER", _xll.EPMOlapMemberO("[PRDDESCR].[].[FGR+ FIGAROLLPLUS 5/340+40 BRAUN MONIER]","","FGR+ FIGAROLLPLUS 5/340+40 BRAUN MONIER","","000"))</f>
        <v>FGR+ FIGAROLLPLUS 5/340+40 BRAUN MONIER</v>
      </c>
      <c r="I22" s="147" t="str">
        <f>IF(_ibpOfflineCondition_,"X0", _xll.EPMOlapMemberO("[MRPTYPE].[].[X0]","","X0","","000"))</f>
        <v>X0</v>
      </c>
      <c r="J22" s="147" t="str">
        <f>IF(_ibpOfflineCondition_,"Stock on Hand", _xll.EPMOlapMemberO("[KEY_FIGURES].[].[INITIALINVENTORY]","","Stock on Hand","","000"))</f>
        <v>Stock on Hand</v>
      </c>
      <c r="K22" s="80">
        <v>1</v>
      </c>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c r="BS22" s="107"/>
      <c r="BT22" s="107"/>
      <c r="BU22" s="107"/>
      <c r="BV22" s="107"/>
      <c r="BW22" s="107"/>
      <c r="BX22" s="107"/>
      <c r="BY22" s="107"/>
      <c r="BZ22" s="107"/>
      <c r="CA22" s="107"/>
      <c r="CB22" s="107"/>
      <c r="CC22" s="107"/>
      <c r="CD22" s="107"/>
      <c r="CE22" s="107"/>
      <c r="CF22" s="107"/>
      <c r="CG22" s="107"/>
      <c r="CH22" s="107"/>
      <c r="CI22" s="107"/>
      <c r="CJ22" s="107"/>
      <c r="CK22" s="107"/>
      <c r="CL22" s="107"/>
      <c r="CM22" s="107"/>
      <c r="CN22" s="107"/>
      <c r="CO22" s="107"/>
      <c r="CP22" s="107"/>
      <c r="CQ22" s="107"/>
      <c r="CR22" s="107"/>
      <c r="CS22" s="107"/>
      <c r="CT22" s="107"/>
      <c r="CU22" s="107"/>
      <c r="CV22" s="107"/>
      <c r="CW22" s="107"/>
      <c r="CX22" s="107"/>
      <c r="CY22" s="107"/>
      <c r="CZ22" s="107"/>
      <c r="DA22" s="107"/>
      <c r="DB22" s="107"/>
      <c r="DC22" s="107"/>
      <c r="DD22" s="107"/>
      <c r="DE22" s="107"/>
      <c r="DF22" s="107"/>
      <c r="DG22" s="107"/>
      <c r="DH22" s="107"/>
      <c r="DI22" s="107"/>
      <c r="DJ22" s="107"/>
      <c r="DK22" s="107"/>
      <c r="DL22" s="107"/>
      <c r="DM22" s="107"/>
      <c r="DN22" s="107"/>
      <c r="DO22" s="107"/>
      <c r="DP22" s="107"/>
      <c r="DQ22" s="107"/>
      <c r="DR22" s="107"/>
      <c r="DS22" s="107"/>
      <c r="DT22" s="107"/>
      <c r="DU22" s="107"/>
      <c r="DV22" s="107"/>
      <c r="DW22" s="107"/>
      <c r="DX22" s="107"/>
      <c r="DY22" s="107"/>
      <c r="DZ22" s="107"/>
      <c r="EA22" s="107"/>
      <c r="EB22" s="107"/>
      <c r="EC22" s="107"/>
      <c r="ED22" s="107"/>
      <c r="EE22" s="107"/>
      <c r="EF22" s="107"/>
      <c r="EG22" s="107"/>
      <c r="EH22" s="107"/>
      <c r="EI22" s="107"/>
      <c r="EJ22" s="107"/>
      <c r="EK22" s="107"/>
      <c r="EL22" s="107"/>
      <c r="EM22" s="107"/>
      <c r="EN22" s="107"/>
      <c r="EO22" s="107"/>
    </row>
    <row r="23" spans="1:145" x14ac:dyDescent="0.25">
      <c r="A23" s="107"/>
      <c r="B23" s="107"/>
      <c r="C23" s="107"/>
      <c r="D23" s="107"/>
      <c r="E23" s="107"/>
      <c r="F23" s="107"/>
      <c r="G23" s="147" t="str">
        <f>IF(_ibpOfflineCondition_,"000000000000564552-1", _xll.EPMOlapMemberO("[PRDID].[].[000000000000564552-1]","","000000000000564552-1","","000"))</f>
        <v>000000000000564552-1</v>
      </c>
      <c r="H23" s="147" t="str">
        <f>IF(_ibpOfflineCondition_,"FGR+ FIGAROLLPLUS 5/340+40 ANTHR MONIER", _xll.EPMOlapMemberO("[PRDDESCR].[].[FGR+ FIGAROLLPLUS 5/340+40 ANTHR MONIER]","","FGR+ FIGAROLLPLUS 5/340+40 ANTHR MONIER","","000"))</f>
        <v>FGR+ FIGAROLLPLUS 5/340+40 ANTHR MONIER</v>
      </c>
      <c r="I23" s="147" t="str">
        <f>IF(_ibpOfflineCondition_,"X0", _xll.EPMOlapMemberO("[MRPTYPE].[].[X0]","","X0","","000"))</f>
        <v>X0</v>
      </c>
      <c r="J23" s="147" t="str">
        <f>IF(_ibpOfflineCondition_,"Stock on Hand", _xll.EPMOlapMemberO("[KEY_FIGURES].[].[INITIALINVENTORY]","","Stock on Hand","","000"))</f>
        <v>Stock on Hand</v>
      </c>
      <c r="K23" s="80">
        <v>360</v>
      </c>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c r="BS23" s="107"/>
      <c r="BT23" s="107"/>
      <c r="BU23" s="107"/>
      <c r="BV23" s="107"/>
      <c r="BW23" s="107"/>
      <c r="BX23" s="107"/>
      <c r="BY23" s="107"/>
      <c r="BZ23" s="107"/>
      <c r="CA23" s="107"/>
      <c r="CB23" s="107"/>
      <c r="CC23" s="107"/>
      <c r="CD23" s="107"/>
      <c r="CE23" s="107"/>
      <c r="CF23" s="107"/>
      <c r="CG23" s="107"/>
      <c r="CH23" s="107"/>
      <c r="CI23" s="107"/>
      <c r="CJ23" s="107"/>
      <c r="CK23" s="107"/>
      <c r="CL23" s="107"/>
      <c r="CM23" s="107"/>
      <c r="CN23" s="107"/>
      <c r="CO23" s="107"/>
      <c r="CP23" s="107"/>
      <c r="CQ23" s="107"/>
      <c r="CR23" s="107"/>
      <c r="CS23" s="107"/>
      <c r="CT23" s="107"/>
      <c r="CU23" s="107"/>
      <c r="CV23" s="107"/>
      <c r="CW23" s="107"/>
      <c r="CX23" s="107"/>
      <c r="CY23" s="107"/>
      <c r="CZ23" s="107"/>
      <c r="DA23" s="107"/>
      <c r="DB23" s="107"/>
      <c r="DC23" s="107"/>
      <c r="DD23" s="107"/>
      <c r="DE23" s="107"/>
      <c r="DF23" s="107"/>
      <c r="DG23" s="107"/>
      <c r="DH23" s="107"/>
      <c r="DI23" s="107"/>
      <c r="DJ23" s="107"/>
      <c r="DK23" s="107"/>
      <c r="DL23" s="107"/>
      <c r="DM23" s="107"/>
      <c r="DN23" s="107"/>
      <c r="DO23" s="107"/>
      <c r="DP23" s="107"/>
      <c r="DQ23" s="107"/>
      <c r="DR23" s="107"/>
      <c r="DS23" s="107"/>
      <c r="DT23" s="107"/>
      <c r="DU23" s="107"/>
      <c r="DV23" s="107"/>
      <c r="DW23" s="107"/>
      <c r="DX23" s="107"/>
      <c r="DY23" s="107"/>
      <c r="DZ23" s="107"/>
      <c r="EA23" s="107"/>
      <c r="EB23" s="107"/>
      <c r="EC23" s="107"/>
      <c r="ED23" s="107"/>
      <c r="EE23" s="107"/>
      <c r="EF23" s="107"/>
      <c r="EG23" s="107"/>
      <c r="EH23" s="107"/>
      <c r="EI23" s="107"/>
      <c r="EJ23" s="107"/>
      <c r="EK23" s="107"/>
      <c r="EL23" s="107"/>
      <c r="EM23" s="107"/>
      <c r="EN23" s="107"/>
      <c r="EO23" s="107"/>
    </row>
    <row r="24" spans="1:145" x14ac:dyDescent="0.25">
      <c r="A24" s="107"/>
      <c r="B24" s="107"/>
      <c r="C24" s="107"/>
      <c r="D24" s="107"/>
      <c r="E24" s="107"/>
      <c r="F24" s="107"/>
      <c r="G24" s="147" t="str">
        <f>IF(_ibpOfflineCondition_,"000000000000564553-1", _xll.EPMOlapMemberO("[PRDID].[].[000000000000564553-1]","","000000000000564553-1","","000"))</f>
        <v>000000000000564553-1</v>
      </c>
      <c r="H24" s="147" t="str">
        <f>IF(_ibpOfflineCondition_,"FGR+ FIGAROLLPLUS 5/340+40 ROT MONIER", _xll.EPMOlapMemberO("[PRDDESCR].[].[FGR+ FIGAROLLPLUS 5/340+40 ROT MONIER]","","FGR+ FIGAROLLPLUS 5/340+40 ROT MONIER","","000"))</f>
        <v>FGR+ FIGAROLLPLUS 5/340+40 ROT MONIER</v>
      </c>
      <c r="I24" s="147" t="str">
        <f>IF(_ibpOfflineCondition_,"X0", _xll.EPMOlapMemberO("[MRPTYPE].[].[X0]","","X0","","000"))</f>
        <v>X0</v>
      </c>
      <c r="J24" s="147" t="str">
        <f>IF(_ibpOfflineCondition_,"Stock on Hand", _xll.EPMOlapMemberO("[KEY_FIGURES].[].[INITIALINVENTORY]","","Stock on Hand","","000"))</f>
        <v>Stock on Hand</v>
      </c>
      <c r="K24" s="80">
        <v>8010</v>
      </c>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c r="BS24" s="107"/>
      <c r="BT24" s="107"/>
      <c r="BU24" s="107"/>
      <c r="BV24" s="107"/>
      <c r="BW24" s="107"/>
      <c r="BX24" s="107"/>
      <c r="BY24" s="107"/>
      <c r="BZ24" s="107"/>
      <c r="CA24" s="107"/>
      <c r="CB24" s="107"/>
      <c r="CC24" s="107"/>
      <c r="CD24" s="107"/>
      <c r="CE24" s="107"/>
      <c r="CF24" s="107"/>
      <c r="CG24" s="107"/>
      <c r="CH24" s="107"/>
      <c r="CI24" s="107"/>
      <c r="CJ24" s="107"/>
      <c r="CK24" s="107"/>
      <c r="CL24" s="107"/>
      <c r="CM24" s="107"/>
      <c r="CN24" s="107"/>
      <c r="CO24" s="107"/>
      <c r="CP24" s="107"/>
      <c r="CQ24" s="107"/>
      <c r="CR24" s="107"/>
      <c r="CS24" s="107"/>
      <c r="CT24" s="107"/>
      <c r="CU24" s="107"/>
      <c r="CV24" s="107"/>
      <c r="CW24" s="107"/>
      <c r="CX24" s="107"/>
      <c r="CY24" s="107"/>
      <c r="CZ24" s="107"/>
      <c r="DA24" s="107"/>
      <c r="DB24" s="107"/>
      <c r="DC24" s="107"/>
      <c r="DD24" s="107"/>
      <c r="DE24" s="107"/>
      <c r="DF24" s="107"/>
      <c r="DG24" s="107"/>
      <c r="DH24" s="107"/>
      <c r="DI24" s="107"/>
      <c r="DJ24" s="107"/>
      <c r="DK24" s="107"/>
      <c r="DL24" s="107"/>
      <c r="DM24" s="107"/>
      <c r="DN24" s="107"/>
      <c r="DO24" s="107"/>
      <c r="DP24" s="107"/>
      <c r="DQ24" s="107"/>
      <c r="DR24" s="107"/>
      <c r="DS24" s="107"/>
      <c r="DT24" s="107"/>
      <c r="DU24" s="107"/>
      <c r="DV24" s="107"/>
      <c r="DW24" s="107"/>
      <c r="DX24" s="107"/>
      <c r="DY24" s="107"/>
      <c r="DZ24" s="107"/>
      <c r="EA24" s="107"/>
      <c r="EB24" s="107"/>
      <c r="EC24" s="107"/>
      <c r="ED24" s="107"/>
      <c r="EE24" s="107"/>
      <c r="EF24" s="107"/>
      <c r="EG24" s="107"/>
      <c r="EH24" s="107"/>
      <c r="EI24" s="107"/>
      <c r="EJ24" s="107"/>
      <c r="EK24" s="107"/>
      <c r="EL24" s="107"/>
      <c r="EM24" s="107"/>
      <c r="EN24" s="107"/>
      <c r="EO24" s="107"/>
    </row>
    <row r="25" spans="1:145" x14ac:dyDescent="0.25">
      <c r="A25" s="107"/>
      <c r="B25" s="107"/>
      <c r="C25" s="107"/>
      <c r="D25" s="107"/>
      <c r="E25" s="107"/>
      <c r="F25" s="107"/>
      <c r="G25" s="147" t="str">
        <f>IF(_ibpOfflineCondition_,"000000000000564691-1", _xll.EPMOlapMemberO("[PRDID].[].[000000000000564691-1]","","000000000000564691-1","","000"))</f>
        <v>000000000000564691-1</v>
      </c>
      <c r="H25" s="147" t="str">
        <f>IF(_ibpOfflineCondition_,"FGR+ FIGAROLLPLUS 5/340+40 ROSE MFR", _xll.EPMOlapMemberO("[PRDDESCR].[].[FGR+ FIGAROLLPLUS 5/340+40 ROSE MFR]","","FGR+ FIGAROLLPLUS 5/340+40 ROSE MFR","","000"))</f>
        <v>FGR+ FIGAROLLPLUS 5/340+40 ROSE MFR</v>
      </c>
      <c r="I25" s="147" t="str">
        <f>IF(_ibpOfflineCondition_,"X7", _xll.EPMOlapMemberO("[MRPTYPE].[].[X7]","","X7","","000"))</f>
        <v>X7</v>
      </c>
      <c r="J25" s="147" t="str">
        <f>IF(_ibpOfflineCondition_,"Stock on Hand", _xll.EPMOlapMemberO("[KEY_FIGURES].[].[INITIALINVENTORY]","","Stock on Hand","","000"))</f>
        <v>Stock on Hand</v>
      </c>
      <c r="K25" s="80">
        <v>89</v>
      </c>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c r="BS25" s="107"/>
      <c r="BT25" s="107"/>
      <c r="BU25" s="107"/>
      <c r="BV25" s="107"/>
      <c r="BW25" s="107"/>
      <c r="BX25" s="107"/>
      <c r="BY25" s="107"/>
      <c r="BZ25" s="107"/>
      <c r="CA25" s="107"/>
      <c r="CB25" s="107"/>
      <c r="CC25" s="107"/>
      <c r="CD25" s="107"/>
      <c r="CE25" s="107"/>
      <c r="CF25" s="107"/>
      <c r="CG25" s="107"/>
      <c r="CH25" s="107"/>
      <c r="CI25" s="107"/>
      <c r="CJ25" s="107"/>
      <c r="CK25" s="107"/>
      <c r="CL25" s="107"/>
      <c r="CM25" s="107"/>
      <c r="CN25" s="107"/>
      <c r="CO25" s="107"/>
      <c r="CP25" s="107"/>
      <c r="CQ25" s="107"/>
      <c r="CR25" s="107"/>
      <c r="CS25" s="107"/>
      <c r="CT25" s="107"/>
      <c r="CU25" s="107"/>
      <c r="CV25" s="107"/>
      <c r="CW25" s="107"/>
      <c r="CX25" s="107"/>
      <c r="CY25" s="107"/>
      <c r="CZ25" s="107"/>
      <c r="DA25" s="107"/>
      <c r="DB25" s="107"/>
      <c r="DC25" s="107"/>
      <c r="DD25" s="107"/>
      <c r="DE25" s="107"/>
      <c r="DF25" s="107"/>
      <c r="DG25" s="107"/>
      <c r="DH25" s="107"/>
      <c r="DI25" s="107"/>
      <c r="DJ25" s="107"/>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c r="EH25" s="107"/>
      <c r="EI25" s="107"/>
      <c r="EJ25" s="107"/>
      <c r="EK25" s="107"/>
      <c r="EL25" s="107"/>
      <c r="EM25" s="107"/>
      <c r="EN25" s="107"/>
      <c r="EO25" s="107"/>
    </row>
    <row r="26" spans="1:145" x14ac:dyDescent="0.25">
      <c r="A26" s="107"/>
      <c r="B26" s="107"/>
      <c r="C26" s="107"/>
      <c r="D26" s="107"/>
      <c r="E26" s="107"/>
      <c r="F26" s="107"/>
      <c r="G26" s="147" t="str">
        <f>IF(_ibpOfflineCondition_,"000000000000564701-1", _xll.EPMOlapMemberO("[PRDID].[].[000000000000564701-1]","","000000000000564701-1","","000"))</f>
        <v>000000000000564701-1</v>
      </c>
      <c r="H26" s="147" t="str">
        <f>IF(_ibpOfflineCondition_,"FGR+ FIGAROLLPLUS 10/280+40 BRAUN BRAAS", _xll.EPMOlapMemberO("[PRDDESCR].[].[FGR+ FIGAROLLPLUS 10/280+40 BRAUN BRAAS]","","FGR+ FIGAROLLPLUS 10/280+40 BRAUN BRAAS","","000"))</f>
        <v>FGR+ FIGAROLLPLUS 10/280+40 BRAUN BRAAS</v>
      </c>
      <c r="I26" s="147" t="str">
        <f>IF(_ibpOfflineCondition_,"X0", _xll.EPMOlapMemberO("[MRPTYPE].[].[X0]","","X0","","000"))</f>
        <v>X0</v>
      </c>
      <c r="J26" s="147" t="str">
        <f>IF(_ibpOfflineCondition_,"Stock on Hand", _xll.EPMOlapMemberO("[KEY_FIGURES].[].[INITIALINVENTORY]","","Stock on Hand","","000"))</f>
        <v>Stock on Hand</v>
      </c>
      <c r="K26" s="80">
        <v>6</v>
      </c>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107"/>
      <c r="BH26" s="107"/>
      <c r="BI26" s="107"/>
      <c r="BJ26" s="107"/>
      <c r="BK26" s="107"/>
      <c r="BL26" s="107"/>
      <c r="BM26" s="107"/>
      <c r="BN26" s="107"/>
      <c r="BO26" s="107"/>
      <c r="BP26" s="107"/>
      <c r="BQ26" s="107"/>
      <c r="BR26" s="107"/>
      <c r="BS26" s="107"/>
      <c r="BT26" s="107"/>
      <c r="BU26" s="107"/>
      <c r="BV26" s="107"/>
      <c r="BW26" s="107"/>
      <c r="BX26" s="107"/>
      <c r="BY26" s="107"/>
      <c r="BZ26" s="107"/>
      <c r="CA26" s="107"/>
      <c r="CB26" s="107"/>
      <c r="CC26" s="107"/>
      <c r="CD26" s="107"/>
      <c r="CE26" s="107"/>
      <c r="CF26" s="107"/>
      <c r="CG26" s="107"/>
      <c r="CH26" s="107"/>
      <c r="CI26" s="107"/>
      <c r="CJ26" s="107"/>
      <c r="CK26" s="107"/>
      <c r="CL26" s="107"/>
      <c r="CM26" s="107"/>
      <c r="CN26" s="107"/>
      <c r="CO26" s="107"/>
      <c r="CP26" s="107"/>
      <c r="CQ26" s="107"/>
      <c r="CR26" s="107"/>
      <c r="CS26" s="107"/>
      <c r="CT26" s="107"/>
      <c r="CU26" s="107"/>
      <c r="CV26" s="107"/>
      <c r="CW26" s="107"/>
      <c r="CX26" s="107"/>
      <c r="CY26" s="107"/>
      <c r="CZ26" s="107"/>
      <c r="DA26" s="107"/>
      <c r="DB26" s="107"/>
      <c r="DC26" s="107"/>
      <c r="DD26" s="107"/>
      <c r="DE26" s="107"/>
      <c r="DF26" s="107"/>
      <c r="DG26" s="107"/>
      <c r="DH26" s="107"/>
      <c r="DI26" s="107"/>
      <c r="DJ26" s="107"/>
      <c r="DK26" s="107"/>
      <c r="DL26" s="107"/>
      <c r="DM26" s="107"/>
      <c r="DN26" s="107"/>
      <c r="DO26" s="107"/>
      <c r="DP26" s="107"/>
      <c r="DQ26" s="107"/>
      <c r="DR26" s="107"/>
      <c r="DS26" s="107"/>
      <c r="DT26" s="107"/>
      <c r="DU26" s="107"/>
      <c r="DV26" s="107"/>
      <c r="DW26" s="107"/>
      <c r="DX26" s="107"/>
      <c r="DY26" s="107"/>
      <c r="DZ26" s="107"/>
      <c r="EA26" s="107"/>
      <c r="EB26" s="107"/>
      <c r="EC26" s="107"/>
      <c r="ED26" s="107"/>
      <c r="EE26" s="107"/>
      <c r="EF26" s="107"/>
      <c r="EG26" s="107"/>
      <c r="EH26" s="107"/>
      <c r="EI26" s="107"/>
      <c r="EJ26" s="107"/>
      <c r="EK26" s="107"/>
      <c r="EL26" s="107"/>
      <c r="EM26" s="107"/>
      <c r="EN26" s="107"/>
      <c r="EO26" s="107"/>
    </row>
    <row r="27" spans="1:145" x14ac:dyDescent="0.25">
      <c r="A27" s="107"/>
      <c r="B27" s="107"/>
      <c r="C27" s="107"/>
      <c r="D27" s="107"/>
      <c r="E27" s="107"/>
      <c r="F27" s="107"/>
      <c r="G27" s="147" t="str">
        <f>IF(_ibpOfflineCondition_,"000000000000564702-1", _xll.EPMOlapMemberO("[PRDID].[].[000000000000564702-1]","","000000000000564702-1","","000"))</f>
        <v>000000000000564702-1</v>
      </c>
      <c r="H27" s="147" t="str">
        <f>IF(_ibpOfflineCondition_,"FGR+ FIGAROLLPLUS 10/280+40 ANTHR BRAAS", _xll.EPMOlapMemberO("[PRDDESCR].[].[FGR+ FIGAROLLPLUS 10/280+40 ANTHR BRAAS]","","FGR+ FIGAROLLPLUS 10/280+40 ANTHR BRAAS","","000"))</f>
        <v>FGR+ FIGAROLLPLUS 10/280+40 ANTHR BRAAS</v>
      </c>
      <c r="I27" s="147" t="str">
        <f>IF(_ibpOfflineCondition_,"X0", _xll.EPMOlapMemberO("[MRPTYPE].[].[X0]","","X0","","000"))</f>
        <v>X0</v>
      </c>
      <c r="J27" s="147" t="str">
        <f>IF(_ibpOfflineCondition_,"Stock on Hand", _xll.EPMOlapMemberO("[KEY_FIGURES].[].[INITIALINVENTORY]","","Stock on Hand","","000"))</f>
        <v>Stock on Hand</v>
      </c>
      <c r="K27" s="80">
        <v>166</v>
      </c>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c r="BS27" s="107"/>
      <c r="BT27" s="107"/>
      <c r="BU27" s="107"/>
      <c r="BV27" s="107"/>
      <c r="BW27" s="107"/>
      <c r="BX27" s="107"/>
      <c r="BY27" s="107"/>
      <c r="BZ27" s="107"/>
      <c r="CA27" s="107"/>
      <c r="CB27" s="107"/>
      <c r="CC27" s="107"/>
      <c r="CD27" s="107"/>
      <c r="CE27" s="107"/>
      <c r="CF27" s="107"/>
      <c r="CG27" s="107"/>
      <c r="CH27" s="107"/>
      <c r="CI27" s="107"/>
      <c r="CJ27" s="107"/>
      <c r="CK27" s="107"/>
      <c r="CL27" s="107"/>
      <c r="CM27" s="107"/>
      <c r="CN27" s="107"/>
      <c r="CO27" s="107"/>
      <c r="CP27" s="107"/>
      <c r="CQ27" s="107"/>
      <c r="CR27" s="107"/>
      <c r="CS27" s="107"/>
      <c r="CT27" s="107"/>
      <c r="CU27" s="107"/>
      <c r="CV27" s="107"/>
      <c r="CW27" s="107"/>
      <c r="CX27" s="107"/>
      <c r="CY27" s="107"/>
      <c r="CZ27" s="107"/>
      <c r="DA27" s="107"/>
      <c r="DB27" s="107"/>
      <c r="DC27" s="107"/>
      <c r="DD27" s="107"/>
      <c r="DE27" s="107"/>
      <c r="DF27" s="107"/>
      <c r="DG27" s="107"/>
      <c r="DH27" s="107"/>
      <c r="DI27" s="107"/>
      <c r="DJ27" s="107"/>
      <c r="DK27" s="107"/>
      <c r="DL27" s="107"/>
      <c r="DM27" s="107"/>
      <c r="DN27" s="107"/>
      <c r="DO27" s="107"/>
      <c r="DP27" s="107"/>
      <c r="DQ27" s="107"/>
      <c r="DR27" s="107"/>
      <c r="DS27" s="107"/>
      <c r="DT27" s="107"/>
      <c r="DU27" s="107"/>
      <c r="DV27" s="107"/>
      <c r="DW27" s="107"/>
      <c r="DX27" s="107"/>
      <c r="DY27" s="107"/>
      <c r="DZ27" s="107"/>
      <c r="EA27" s="107"/>
      <c r="EB27" s="107"/>
      <c r="EC27" s="107"/>
      <c r="ED27" s="107"/>
      <c r="EE27" s="107"/>
      <c r="EF27" s="107"/>
      <c r="EG27" s="107"/>
      <c r="EH27" s="107"/>
      <c r="EI27" s="107"/>
      <c r="EJ27" s="107"/>
      <c r="EK27" s="107"/>
      <c r="EL27" s="107"/>
      <c r="EM27" s="107"/>
      <c r="EN27" s="107"/>
      <c r="EO27" s="107"/>
    </row>
    <row r="28" spans="1:145" x14ac:dyDescent="0.25">
      <c r="A28" s="107"/>
      <c r="B28" s="107"/>
      <c r="C28" s="107"/>
      <c r="D28" s="107"/>
      <c r="E28" s="107"/>
      <c r="F28" s="107"/>
      <c r="G28" s="147" t="str">
        <f>IF(_ibpOfflineCondition_,"000000000000564703-1", _xll.EPMOlapMemberO("[PRDID].[].[000000000000564703-1]","","000000000000564703-1","","000"))</f>
        <v>000000000000564703-1</v>
      </c>
      <c r="H28" s="147" t="str">
        <f>IF(_ibpOfflineCondition_,"FGR+ FIGAROLLPLUS 10/280+40 ROT BRAAS", _xll.EPMOlapMemberO("[PRDDESCR].[].[FGR+ FIGAROLLPLUS 10/280+40 ROT BRAAS]","","FGR+ FIGAROLLPLUS 10/280+40 ROT BRAAS","","000"))</f>
        <v>FGR+ FIGAROLLPLUS 10/280+40 ROT BRAAS</v>
      </c>
      <c r="I28" s="147" t="str">
        <f>IF(_ibpOfflineCondition_,"X0", _xll.EPMOlapMemberO("[MRPTYPE].[].[X0]","","X0","","000"))</f>
        <v>X0</v>
      </c>
      <c r="J28" s="147" t="str">
        <f>IF(_ibpOfflineCondition_,"Stock on Hand", _xll.EPMOlapMemberO("[KEY_FIGURES].[].[INITIALINVENTORY]","","Stock on Hand","","000"))</f>
        <v>Stock on Hand</v>
      </c>
      <c r="K28" s="80">
        <v>36</v>
      </c>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c r="BS28" s="107"/>
      <c r="BT28" s="107"/>
      <c r="BU28" s="107"/>
      <c r="BV28" s="107"/>
      <c r="BW28" s="107"/>
      <c r="BX28" s="107"/>
      <c r="BY28" s="107"/>
      <c r="BZ28" s="107"/>
      <c r="CA28" s="107"/>
      <c r="CB28" s="107"/>
      <c r="CC28" s="107"/>
      <c r="CD28" s="107"/>
      <c r="CE28" s="107"/>
      <c r="CF28" s="107"/>
      <c r="CG28" s="107"/>
      <c r="CH28" s="107"/>
      <c r="CI28" s="107"/>
      <c r="CJ28" s="107"/>
      <c r="CK28" s="107"/>
      <c r="CL28" s="107"/>
      <c r="CM28" s="107"/>
      <c r="CN28" s="107"/>
      <c r="CO28" s="107"/>
      <c r="CP28" s="107"/>
      <c r="CQ28" s="107"/>
      <c r="CR28" s="107"/>
      <c r="CS28" s="107"/>
      <c r="CT28" s="107"/>
      <c r="CU28" s="107"/>
      <c r="CV28" s="107"/>
      <c r="CW28" s="107"/>
      <c r="CX28" s="107"/>
      <c r="CY28" s="107"/>
      <c r="CZ28" s="107"/>
      <c r="DA28" s="107"/>
      <c r="DB28" s="107"/>
      <c r="DC28" s="107"/>
      <c r="DD28" s="107"/>
      <c r="DE28" s="107"/>
      <c r="DF28" s="107"/>
      <c r="DG28" s="107"/>
      <c r="DH28" s="107"/>
      <c r="DI28" s="107"/>
      <c r="DJ28" s="107"/>
      <c r="DK28" s="107"/>
      <c r="DL28" s="107"/>
      <c r="DM28" s="107"/>
      <c r="DN28" s="107"/>
      <c r="DO28" s="107"/>
      <c r="DP28" s="107"/>
      <c r="DQ28" s="107"/>
      <c r="DR28" s="107"/>
      <c r="DS28" s="107"/>
      <c r="DT28" s="107"/>
      <c r="DU28" s="107"/>
      <c r="DV28" s="107"/>
      <c r="DW28" s="107"/>
      <c r="DX28" s="107"/>
      <c r="DY28" s="107"/>
      <c r="DZ28" s="107"/>
      <c r="EA28" s="107"/>
      <c r="EB28" s="107"/>
      <c r="EC28" s="107"/>
      <c r="ED28" s="107"/>
      <c r="EE28" s="107"/>
      <c r="EF28" s="107"/>
      <c r="EG28" s="107"/>
      <c r="EH28" s="107"/>
      <c r="EI28" s="107"/>
      <c r="EJ28" s="107"/>
      <c r="EK28" s="107"/>
      <c r="EL28" s="107"/>
      <c r="EM28" s="107"/>
      <c r="EN28" s="107"/>
      <c r="EO28" s="107"/>
    </row>
    <row r="29" spans="1:145" x14ac:dyDescent="0.25">
      <c r="A29" s="107"/>
      <c r="B29" s="107"/>
      <c r="C29" s="107"/>
      <c r="D29" s="107"/>
      <c r="E29" s="107"/>
      <c r="F29" s="107"/>
      <c r="G29" s="147" t="str">
        <f>IF(_ibpOfflineCondition_,"000000000000564752-1", _xll.EPMOlapMemberO("[PRDID].[].[000000000000564752-1]","","000000000000564752-1","","000"))</f>
        <v>000000000000564752-1</v>
      </c>
      <c r="H29" s="147" t="str">
        <f>IF(_ibpOfflineCondition_,"FGR+ FIG.PLUS 10/280+40 ANTHR BORAL WB", _xll.EPMOlapMemberO("[PRDDESCR].[].[FGR+ FIG.PLUS 10/280+40 ANTHR BORAL WB]","","FGR+ FIG.PLUS 10/280+40 ANTHR BORAL WB","","000"))</f>
        <v>FGR+ FIG.PLUS 10/280+40 ANTHR BORAL WB</v>
      </c>
      <c r="I29" s="147" t="str">
        <f>IF(_ibpOfflineCondition_,"X7", _xll.EPMOlapMemberO("[MRPTYPE].[].[X7]","","X7","","000"))</f>
        <v>X7</v>
      </c>
      <c r="J29" s="147" t="str">
        <f>IF(_ibpOfflineCondition_,"Stock on Hand", _xll.EPMOlapMemberO("[KEY_FIGURES].[].[INITIALINVENTORY]","","Stock on Hand","","000"))</f>
        <v>Stock on Hand</v>
      </c>
      <c r="K29" s="80"/>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c r="BS29" s="107"/>
      <c r="BT29" s="107"/>
      <c r="BU29" s="107"/>
      <c r="BV29" s="107"/>
      <c r="BW29" s="107"/>
      <c r="BX29" s="107"/>
      <c r="BY29" s="107"/>
      <c r="BZ29" s="107"/>
      <c r="CA29" s="107"/>
      <c r="CB29" s="107"/>
      <c r="CC29" s="107"/>
      <c r="CD29" s="107"/>
      <c r="CE29" s="107"/>
      <c r="CF29" s="107"/>
      <c r="CG29" s="107"/>
      <c r="CH29" s="107"/>
      <c r="CI29" s="107"/>
      <c r="CJ29" s="107"/>
      <c r="CK29" s="107"/>
      <c r="CL29" s="107"/>
      <c r="CM29" s="107"/>
      <c r="CN29" s="107"/>
      <c r="CO29" s="107"/>
      <c r="CP29" s="107"/>
      <c r="CQ29" s="107"/>
      <c r="CR29" s="107"/>
      <c r="CS29" s="107"/>
      <c r="CT29" s="107"/>
      <c r="CU29" s="107"/>
      <c r="CV29" s="107"/>
      <c r="CW29" s="107"/>
      <c r="CX29" s="107"/>
      <c r="CY29" s="107"/>
      <c r="CZ29" s="107"/>
      <c r="DA29" s="107"/>
      <c r="DB29" s="107"/>
      <c r="DC29" s="107"/>
      <c r="DD29" s="107"/>
      <c r="DE29" s="107"/>
      <c r="DF29" s="107"/>
      <c r="DG29" s="107"/>
      <c r="DH29" s="107"/>
      <c r="DI29" s="107"/>
      <c r="DJ29" s="107"/>
      <c r="DK29" s="107"/>
      <c r="DL29" s="107"/>
      <c r="DM29" s="107"/>
      <c r="DN29" s="107"/>
      <c r="DO29" s="107"/>
      <c r="DP29" s="107"/>
      <c r="DQ29" s="107"/>
      <c r="DR29" s="107"/>
      <c r="DS29" s="107"/>
      <c r="DT29" s="107"/>
      <c r="DU29" s="107"/>
      <c r="DV29" s="107"/>
      <c r="DW29" s="107"/>
      <c r="DX29" s="107"/>
      <c r="DY29" s="107"/>
      <c r="DZ29" s="107"/>
      <c r="EA29" s="107"/>
      <c r="EB29" s="107"/>
      <c r="EC29" s="107"/>
      <c r="ED29" s="107"/>
      <c r="EE29" s="107"/>
      <c r="EF29" s="107"/>
      <c r="EG29" s="107"/>
      <c r="EH29" s="107"/>
      <c r="EI29" s="107"/>
      <c r="EJ29" s="107"/>
      <c r="EK29" s="107"/>
      <c r="EL29" s="107"/>
      <c r="EM29" s="107"/>
      <c r="EN29" s="107"/>
      <c r="EO29" s="107"/>
    </row>
    <row r="30" spans="1:145" x14ac:dyDescent="0.25">
      <c r="A30" s="107"/>
      <c r="B30" s="107"/>
      <c r="C30" s="107"/>
      <c r="D30" s="107"/>
      <c r="E30" s="107"/>
      <c r="F30" s="107"/>
      <c r="G30" s="147" t="str">
        <f>IF(_ibpOfflineCondition_,"000000000000564801-1", _xll.EPMOlapMemberO("[PRDID].[].[000000000000564801-1]","","000000000000564801-1","","000"))</f>
        <v>000000000000564801-1</v>
      </c>
      <c r="H30" s="147" t="str">
        <f>IF(_ibpOfflineCondition_,"FGR+ FIGAROLLPLUS 5/280+40 BRAUN BRAAS", _xll.EPMOlapMemberO("[PRDDESCR].[].[FGR+ FIGAROLLPLUS 5/280+40 BRAUN BRAAS]","","FGR+ FIGAROLLPLUS 5/280+40 BRAUN BRAAS","","000"))</f>
        <v>FGR+ FIGAROLLPLUS 5/280+40 BRAUN BRAAS</v>
      </c>
      <c r="I30" s="147" t="str">
        <f>IF(_ibpOfflineCondition_,"X0", _xll.EPMOlapMemberO("[MRPTYPE].[].[X0]","","X0","","000"))</f>
        <v>X0</v>
      </c>
      <c r="J30" s="147" t="str">
        <f>IF(_ibpOfflineCondition_,"Stock on Hand", _xll.EPMOlapMemberO("[KEY_FIGURES].[].[INITIALINVENTORY]","","Stock on Hand","","000"))</f>
        <v>Stock on Hand</v>
      </c>
      <c r="K30" s="80">
        <v>32</v>
      </c>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c r="BS30" s="107"/>
      <c r="BT30" s="107"/>
      <c r="BU30" s="107"/>
      <c r="BV30" s="107"/>
      <c r="BW30" s="107"/>
      <c r="BX30" s="107"/>
      <c r="BY30" s="107"/>
      <c r="BZ30" s="107"/>
      <c r="CA30" s="107"/>
      <c r="CB30" s="107"/>
      <c r="CC30" s="107"/>
      <c r="CD30" s="107"/>
      <c r="CE30" s="107"/>
      <c r="CF30" s="107"/>
      <c r="CG30" s="107"/>
      <c r="CH30" s="107"/>
      <c r="CI30" s="107"/>
      <c r="CJ30" s="107"/>
      <c r="CK30" s="107"/>
      <c r="CL30" s="107"/>
      <c r="CM30" s="107"/>
      <c r="CN30" s="107"/>
      <c r="CO30" s="107"/>
      <c r="CP30" s="107"/>
      <c r="CQ30" s="107"/>
      <c r="CR30" s="107"/>
      <c r="CS30" s="107"/>
      <c r="CT30" s="107"/>
      <c r="CU30" s="107"/>
      <c r="CV30" s="107"/>
      <c r="CW30" s="107"/>
      <c r="CX30" s="107"/>
      <c r="CY30" s="107"/>
      <c r="CZ30" s="107"/>
      <c r="DA30" s="107"/>
      <c r="DB30" s="107"/>
      <c r="DC30" s="107"/>
      <c r="DD30" s="107"/>
      <c r="DE30" s="107"/>
      <c r="DF30" s="107"/>
      <c r="DG30" s="107"/>
      <c r="DH30" s="107"/>
      <c r="DI30" s="107"/>
      <c r="DJ30" s="107"/>
      <c r="DK30" s="107"/>
      <c r="DL30" s="107"/>
      <c r="DM30" s="107"/>
      <c r="DN30" s="107"/>
      <c r="DO30" s="107"/>
      <c r="DP30" s="107"/>
      <c r="DQ30" s="107"/>
      <c r="DR30" s="107"/>
      <c r="DS30" s="107"/>
      <c r="DT30" s="107"/>
      <c r="DU30" s="107"/>
      <c r="DV30" s="107"/>
      <c r="DW30" s="107"/>
      <c r="DX30" s="107"/>
      <c r="DY30" s="107"/>
      <c r="DZ30" s="107"/>
      <c r="EA30" s="107"/>
      <c r="EB30" s="107"/>
      <c r="EC30" s="107"/>
      <c r="ED30" s="107"/>
      <c r="EE30" s="107"/>
      <c r="EF30" s="107"/>
      <c r="EG30" s="107"/>
      <c r="EH30" s="107"/>
      <c r="EI30" s="107"/>
      <c r="EJ30" s="107"/>
      <c r="EK30" s="107"/>
      <c r="EL30" s="107"/>
      <c r="EM30" s="107"/>
      <c r="EN30" s="107"/>
      <c r="EO30" s="107"/>
    </row>
    <row r="31" spans="1:145" x14ac:dyDescent="0.25">
      <c r="A31" s="107"/>
      <c r="B31" s="107"/>
      <c r="C31" s="107"/>
      <c r="D31" s="107"/>
      <c r="E31" s="107"/>
      <c r="F31" s="107"/>
      <c r="G31" s="147" t="str">
        <f>IF(_ibpOfflineCondition_,"000000000000564802-1", _xll.EPMOlapMemberO("[PRDID].[].[000000000000564802-1]","","000000000000564802-1","","000"))</f>
        <v>000000000000564802-1</v>
      </c>
      <c r="H31" s="147" t="str">
        <f>IF(_ibpOfflineCondition_,"FGR+ FIGAROLLPLUS 5/280+40 ANTHR BRAAS", _xll.EPMOlapMemberO("[PRDDESCR].[].[FGR+ FIGAROLLPLUS 5/280+40 ANTHR BRAAS]","","FGR+ FIGAROLLPLUS 5/280+40 ANTHR BRAAS","","000"))</f>
        <v>FGR+ FIGAROLLPLUS 5/280+40 ANTHR BRAAS</v>
      </c>
      <c r="I31" s="147" t="str">
        <f>IF(_ibpOfflineCondition_,"X0", _xll.EPMOlapMemberO("[MRPTYPE].[].[X0]","","X0","","000"))</f>
        <v>X0</v>
      </c>
      <c r="J31" s="147" t="str">
        <f>IF(_ibpOfflineCondition_,"Stock on Hand", _xll.EPMOlapMemberO("[KEY_FIGURES].[].[INITIALINVENTORY]","","Stock on Hand","","000"))</f>
        <v>Stock on Hand</v>
      </c>
      <c r="K31" s="80">
        <v>155</v>
      </c>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c r="BS31" s="107"/>
      <c r="BT31" s="107"/>
      <c r="BU31" s="107"/>
      <c r="BV31" s="107"/>
      <c r="BW31" s="107"/>
      <c r="BX31" s="107"/>
      <c r="BY31" s="107"/>
      <c r="BZ31" s="107"/>
      <c r="CA31" s="107"/>
      <c r="CB31" s="107"/>
      <c r="CC31" s="107"/>
      <c r="CD31" s="107"/>
      <c r="CE31" s="107"/>
      <c r="CF31" s="107"/>
      <c r="CG31" s="107"/>
      <c r="CH31" s="107"/>
      <c r="CI31" s="107"/>
      <c r="CJ31" s="107"/>
      <c r="CK31" s="107"/>
      <c r="CL31" s="107"/>
      <c r="CM31" s="107"/>
      <c r="CN31" s="107"/>
      <c r="CO31" s="107"/>
      <c r="CP31" s="107"/>
      <c r="CQ31" s="107"/>
      <c r="CR31" s="107"/>
      <c r="CS31" s="107"/>
      <c r="CT31" s="107"/>
      <c r="CU31" s="107"/>
      <c r="CV31" s="107"/>
      <c r="CW31" s="107"/>
      <c r="CX31" s="107"/>
      <c r="CY31" s="107"/>
      <c r="CZ31" s="107"/>
      <c r="DA31" s="107"/>
      <c r="DB31" s="107"/>
      <c r="DC31" s="107"/>
      <c r="DD31" s="107"/>
      <c r="DE31" s="107"/>
      <c r="DF31" s="107"/>
      <c r="DG31" s="107"/>
      <c r="DH31" s="107"/>
      <c r="DI31" s="107"/>
      <c r="DJ31" s="107"/>
      <c r="DK31" s="107"/>
      <c r="DL31" s="107"/>
      <c r="DM31" s="107"/>
      <c r="DN31" s="107"/>
      <c r="DO31" s="107"/>
      <c r="DP31" s="107"/>
      <c r="DQ31" s="107"/>
      <c r="DR31" s="107"/>
      <c r="DS31" s="107"/>
      <c r="DT31" s="107"/>
      <c r="DU31" s="107"/>
      <c r="DV31" s="107"/>
      <c r="DW31" s="107"/>
      <c r="DX31" s="107"/>
      <c r="DY31" s="107"/>
      <c r="DZ31" s="107"/>
      <c r="EA31" s="107"/>
      <c r="EB31" s="107"/>
      <c r="EC31" s="107"/>
      <c r="ED31" s="107"/>
      <c r="EE31" s="107"/>
      <c r="EF31" s="107"/>
      <c r="EG31" s="107"/>
      <c r="EH31" s="107"/>
      <c r="EI31" s="107"/>
      <c r="EJ31" s="107"/>
      <c r="EK31" s="107"/>
      <c r="EL31" s="107"/>
      <c r="EM31" s="107"/>
      <c r="EN31" s="107"/>
      <c r="EO31" s="107"/>
    </row>
    <row r="32" spans="1:145" x14ac:dyDescent="0.25">
      <c r="A32" s="107"/>
      <c r="B32" s="107"/>
      <c r="C32" s="107"/>
      <c r="D32" s="107"/>
      <c r="E32" s="107"/>
      <c r="F32" s="107"/>
      <c r="G32" s="147" t="str">
        <f>IF(_ibpOfflineCondition_,"000000000000564803-1", _xll.EPMOlapMemberO("[PRDID].[].[000000000000564803-1]","","000000000000564803-1","","000"))</f>
        <v>000000000000564803-1</v>
      </c>
      <c r="H32" s="147" t="str">
        <f>IF(_ibpOfflineCondition_,"FGR+ FIGAROLLPLUS 5/280+40 ROT BRAAS", _xll.EPMOlapMemberO("[PRDDESCR].[].[FGR+ FIGAROLLPLUS 5/280+40 ROT BRAAS]","","FGR+ FIGAROLLPLUS 5/280+40 ROT BRAAS","","000"))</f>
        <v>FGR+ FIGAROLLPLUS 5/280+40 ROT BRAAS</v>
      </c>
      <c r="I32" s="147" t="str">
        <f>IF(_ibpOfflineCondition_,"X0", _xll.EPMOlapMemberO("[MRPTYPE].[].[X0]","","X0","","000"))</f>
        <v>X0</v>
      </c>
      <c r="J32" s="147" t="str">
        <f>IF(_ibpOfflineCondition_,"Stock on Hand", _xll.EPMOlapMemberO("[KEY_FIGURES].[].[INITIALINVENTORY]","","Stock on Hand","","000"))</f>
        <v>Stock on Hand</v>
      </c>
      <c r="K32" s="80">
        <v>74</v>
      </c>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c r="BS32" s="107"/>
      <c r="BT32" s="107"/>
      <c r="BU32" s="107"/>
      <c r="BV32" s="107"/>
      <c r="BW32" s="107"/>
      <c r="BX32" s="107"/>
      <c r="BY32" s="107"/>
      <c r="BZ32" s="107"/>
      <c r="CA32" s="107"/>
      <c r="CB32" s="107"/>
      <c r="CC32" s="107"/>
      <c r="CD32" s="107"/>
      <c r="CE32" s="107"/>
      <c r="CF32" s="107"/>
      <c r="CG32" s="107"/>
      <c r="CH32" s="107"/>
      <c r="CI32" s="107"/>
      <c r="CJ32" s="107"/>
      <c r="CK32" s="107"/>
      <c r="CL32" s="107"/>
      <c r="CM32" s="107"/>
      <c r="CN32" s="107"/>
      <c r="CO32" s="107"/>
      <c r="CP32" s="107"/>
      <c r="CQ32" s="107"/>
      <c r="CR32" s="107"/>
      <c r="CS32" s="107"/>
      <c r="CT32" s="107"/>
      <c r="CU32" s="107"/>
      <c r="CV32" s="107"/>
      <c r="CW32" s="107"/>
      <c r="CX32" s="107"/>
      <c r="CY32" s="107"/>
      <c r="CZ32" s="107"/>
      <c r="DA32" s="107"/>
      <c r="DB32" s="107"/>
      <c r="DC32" s="107"/>
      <c r="DD32" s="107"/>
      <c r="DE32" s="107"/>
      <c r="DF32" s="107"/>
      <c r="DG32" s="107"/>
      <c r="DH32" s="107"/>
      <c r="DI32" s="107"/>
      <c r="DJ32" s="107"/>
      <c r="DK32" s="107"/>
      <c r="DL32" s="107"/>
      <c r="DM32" s="107"/>
      <c r="DN32" s="107"/>
      <c r="DO32" s="107"/>
      <c r="DP32" s="107"/>
      <c r="DQ32" s="107"/>
      <c r="DR32" s="107"/>
      <c r="DS32" s="107"/>
      <c r="DT32" s="107"/>
      <c r="DU32" s="107"/>
      <c r="DV32" s="107"/>
      <c r="DW32" s="107"/>
      <c r="DX32" s="107"/>
      <c r="DY32" s="107"/>
      <c r="DZ32" s="107"/>
      <c r="EA32" s="107"/>
      <c r="EB32" s="107"/>
      <c r="EC32" s="107"/>
      <c r="ED32" s="107"/>
      <c r="EE32" s="107"/>
      <c r="EF32" s="107"/>
      <c r="EG32" s="107"/>
      <c r="EH32" s="107"/>
      <c r="EI32" s="107"/>
      <c r="EJ32" s="107"/>
      <c r="EK32" s="107"/>
      <c r="EL32" s="107"/>
      <c r="EM32" s="107"/>
      <c r="EN32" s="107"/>
      <c r="EO32" s="107"/>
    </row>
    <row r="33" spans="1:145" x14ac:dyDescent="0.25">
      <c r="A33" s="107"/>
      <c r="B33" s="107"/>
      <c r="C33" s="107"/>
      <c r="D33" s="107"/>
      <c r="E33" s="107"/>
      <c r="F33" s="107"/>
      <c r="G33" s="147" t="str">
        <f>IF(_ibpOfflineCondition_,"000000000000564815-1", _xll.EPMOlapMemberO("[PRDID].[].[000000000000564815-1]","","000000000000564815-1","","000"))</f>
        <v>000000000000564815-1</v>
      </c>
      <c r="H33" s="147" t="str">
        <f>IF(_ibpOfflineCondition_,"FGR+ FIGAROLLPLUS 5/280+40 TIEFROT BRAAS", _xll.EPMOlapMemberO("[PRDDESCR].[].[FGR+ FIGAROLLPLUS 5/280+40 TIEFROT BRAAS]","","FGR+ FIGAROLLPLUS 5/280+40 TIEFROT BRAAS","","000"))</f>
        <v>FGR+ FIGAROLLPLUS 5/280+40 TIEFROT BRAAS</v>
      </c>
      <c r="I33" s="147" t="str">
        <f>IF(_ibpOfflineCondition_,"X0", _xll.EPMOlapMemberO("[MRPTYPE].[].[X0]","","X0","","000"))</f>
        <v>X0</v>
      </c>
      <c r="J33" s="147" t="str">
        <f>IF(_ibpOfflineCondition_,"Stock on Hand", _xll.EPMOlapMemberO("[KEY_FIGURES].[].[INITIALINVENTORY]","","Stock on Hand","","000"))</f>
        <v>Stock on Hand</v>
      </c>
      <c r="K33" s="80">
        <v>1</v>
      </c>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c r="BS33" s="107"/>
      <c r="BT33" s="107"/>
      <c r="BU33" s="107"/>
      <c r="BV33" s="107"/>
      <c r="BW33" s="107"/>
      <c r="BX33" s="107"/>
      <c r="BY33" s="107"/>
      <c r="BZ33" s="107"/>
      <c r="CA33" s="107"/>
      <c r="CB33" s="107"/>
      <c r="CC33" s="107"/>
      <c r="CD33" s="107"/>
      <c r="CE33" s="107"/>
      <c r="CF33" s="107"/>
      <c r="CG33" s="107"/>
      <c r="CH33" s="107"/>
      <c r="CI33" s="107"/>
      <c r="CJ33" s="107"/>
      <c r="CK33" s="107"/>
      <c r="CL33" s="107"/>
      <c r="CM33" s="107"/>
      <c r="CN33" s="107"/>
      <c r="CO33" s="107"/>
      <c r="CP33" s="107"/>
      <c r="CQ33" s="107"/>
      <c r="CR33" s="107"/>
      <c r="CS33" s="107"/>
      <c r="CT33" s="107"/>
      <c r="CU33" s="107"/>
      <c r="CV33" s="107"/>
      <c r="CW33" s="107"/>
      <c r="CX33" s="107"/>
      <c r="CY33" s="107"/>
      <c r="CZ33" s="107"/>
      <c r="DA33" s="107"/>
      <c r="DB33" s="107"/>
      <c r="DC33" s="107"/>
      <c r="DD33" s="107"/>
      <c r="DE33" s="107"/>
      <c r="DF33" s="107"/>
      <c r="DG33" s="107"/>
      <c r="DH33" s="107"/>
      <c r="DI33" s="107"/>
      <c r="DJ33" s="107"/>
      <c r="DK33" s="107"/>
      <c r="DL33" s="107"/>
      <c r="DM33" s="107"/>
      <c r="DN33" s="107"/>
      <c r="DO33" s="107"/>
      <c r="DP33" s="107"/>
      <c r="DQ33" s="107"/>
      <c r="DR33" s="107"/>
      <c r="DS33" s="107"/>
      <c r="DT33" s="107"/>
      <c r="DU33" s="107"/>
      <c r="DV33" s="107"/>
      <c r="DW33" s="107"/>
      <c r="DX33" s="107"/>
      <c r="DY33" s="107"/>
      <c r="DZ33" s="107"/>
      <c r="EA33" s="107"/>
      <c r="EB33" s="107"/>
      <c r="EC33" s="107"/>
      <c r="ED33" s="107"/>
      <c r="EE33" s="107"/>
      <c r="EF33" s="107"/>
      <c r="EG33" s="107"/>
      <c r="EH33" s="107"/>
      <c r="EI33" s="107"/>
      <c r="EJ33" s="107"/>
      <c r="EK33" s="107"/>
      <c r="EL33" s="107"/>
      <c r="EM33" s="107"/>
      <c r="EN33" s="107"/>
      <c r="EO33" s="107"/>
    </row>
    <row r="34" spans="1:145" x14ac:dyDescent="0.25">
      <c r="A34" s="107"/>
      <c r="B34" s="107"/>
      <c r="C34" s="107"/>
      <c r="D34" s="107"/>
      <c r="E34" s="107"/>
      <c r="F34" s="107"/>
      <c r="G34" s="147" t="str">
        <f>IF(_ibpOfflineCondition_,"000000000000564820-1", _xll.EPMOlapMemberO("[PRDID].[].[000000000000564820-1]","","000000000000564820-1","","000"))</f>
        <v>000000000000564820-1</v>
      </c>
      <c r="H34" s="147" t="str">
        <f>IF(_ibpOfflineCondition_,"FGR+ FIGAROLLPLUS 5/280+40 SCHWARZ BRAAS", _xll.EPMOlapMemberO("[PRDDESCR].[].[FGR+ FIGAROLLPLUS 5/280+40 SCHWARZ BRAAS]","","FGR+ FIGAROLLPLUS 5/280+40 SCHWARZ BRAAS","","000"))</f>
        <v>FGR+ FIGAROLLPLUS 5/280+40 SCHWARZ BRAAS</v>
      </c>
      <c r="I34" s="147" t="str">
        <f>IF(_ibpOfflineCondition_,"X0", _xll.EPMOlapMemberO("[MRPTYPE].[].[X0]","","X0","","000"))</f>
        <v>X0</v>
      </c>
      <c r="J34" s="147" t="str">
        <f>IF(_ibpOfflineCondition_,"Stock on Hand", _xll.EPMOlapMemberO("[KEY_FIGURES].[].[INITIALINVENTORY]","","Stock on Hand","","000"))</f>
        <v>Stock on Hand</v>
      </c>
      <c r="K34" s="80">
        <v>1</v>
      </c>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c r="BS34" s="107"/>
      <c r="BT34" s="107"/>
      <c r="BU34" s="107"/>
      <c r="BV34" s="107"/>
      <c r="BW34" s="107"/>
      <c r="BX34" s="107"/>
      <c r="BY34" s="107"/>
      <c r="BZ34" s="107"/>
      <c r="CA34" s="107"/>
      <c r="CB34" s="107"/>
      <c r="CC34" s="107"/>
      <c r="CD34" s="107"/>
      <c r="CE34" s="107"/>
      <c r="CF34" s="107"/>
      <c r="CG34" s="107"/>
      <c r="CH34" s="107"/>
      <c r="CI34" s="107"/>
      <c r="CJ34" s="107"/>
      <c r="CK34" s="107"/>
      <c r="CL34" s="107"/>
      <c r="CM34" s="107"/>
      <c r="CN34" s="107"/>
      <c r="CO34" s="107"/>
      <c r="CP34" s="107"/>
      <c r="CQ34" s="107"/>
      <c r="CR34" s="107"/>
      <c r="CS34" s="107"/>
      <c r="CT34" s="107"/>
      <c r="CU34" s="107"/>
      <c r="CV34" s="107"/>
      <c r="CW34" s="107"/>
      <c r="CX34" s="107"/>
      <c r="CY34" s="107"/>
      <c r="CZ34" s="107"/>
      <c r="DA34" s="107"/>
      <c r="DB34" s="107"/>
      <c r="DC34" s="107"/>
      <c r="DD34" s="107"/>
      <c r="DE34" s="107"/>
      <c r="DF34" s="107"/>
      <c r="DG34" s="107"/>
      <c r="DH34" s="107"/>
      <c r="DI34" s="107"/>
      <c r="DJ34" s="107"/>
      <c r="DK34" s="107"/>
      <c r="DL34" s="107"/>
      <c r="DM34" s="107"/>
      <c r="DN34" s="107"/>
      <c r="DO34" s="107"/>
      <c r="DP34" s="107"/>
      <c r="DQ34" s="107"/>
      <c r="DR34" s="107"/>
      <c r="DS34" s="107"/>
      <c r="DT34" s="107"/>
      <c r="DU34" s="107"/>
      <c r="DV34" s="107"/>
      <c r="DW34" s="107"/>
      <c r="DX34" s="107"/>
      <c r="DY34" s="107"/>
      <c r="DZ34" s="107"/>
      <c r="EA34" s="107"/>
      <c r="EB34" s="107"/>
      <c r="EC34" s="107"/>
      <c r="ED34" s="107"/>
      <c r="EE34" s="107"/>
      <c r="EF34" s="107"/>
      <c r="EG34" s="107"/>
      <c r="EH34" s="107"/>
      <c r="EI34" s="107"/>
      <c r="EJ34" s="107"/>
      <c r="EK34" s="107"/>
      <c r="EL34" s="107"/>
      <c r="EM34" s="107"/>
      <c r="EN34" s="107"/>
      <c r="EO34" s="107"/>
    </row>
    <row r="35" spans="1:145" x14ac:dyDescent="0.25">
      <c r="A35" s="107"/>
      <c r="B35" s="107"/>
      <c r="C35" s="107"/>
      <c r="D35" s="107"/>
      <c r="E35" s="107"/>
      <c r="F35" s="107"/>
      <c r="G35" s="147" t="str">
        <f>IF(_ibpOfflineCondition_,"000000000000573601-1", _xll.EPMOlapMemberO("[PRDID].[].[000000000000573601-1]","","000000000000573601-1","","000"))</f>
        <v>000000000000573601-1</v>
      </c>
      <c r="H35" s="147" t="str">
        <f>IF(_ibpOfflineCondition_,"FGR+ FIGAROLLPLUS 10/280+40 BRAUN PL", _xll.EPMOlapMemberO("[PRDDESCR].[].[FGR+ FIGAROLLPLUS 10/280+40 BRAUN PL]","","FGR+ FIGAROLLPLUS 10/280+40 BRAUN PL","","000"))</f>
        <v>FGR+ FIGAROLLPLUS 10/280+40 BRAUN PL</v>
      </c>
      <c r="I35" s="147" t="str">
        <f>IF(_ibpOfflineCondition_,"X7", _xll.EPMOlapMemberO("[MRPTYPE].[].[X7]","","X7","","000"))</f>
        <v>X7</v>
      </c>
      <c r="J35" s="147" t="str">
        <f>IF(_ibpOfflineCondition_,"Stock on Hand", _xll.EPMOlapMemberO("[KEY_FIGURES].[].[INITIALINVENTORY]","","Stock on Hand","","000"))</f>
        <v>Stock on Hand</v>
      </c>
      <c r="K35" s="80"/>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c r="BS35" s="107"/>
      <c r="BT35" s="107"/>
      <c r="BU35" s="107"/>
      <c r="BV35" s="107"/>
      <c r="BW35" s="107"/>
      <c r="BX35" s="107"/>
      <c r="BY35" s="107"/>
      <c r="BZ35" s="107"/>
      <c r="CA35" s="107"/>
      <c r="CB35" s="107"/>
      <c r="CC35" s="107"/>
      <c r="CD35" s="107"/>
      <c r="CE35" s="107"/>
      <c r="CF35" s="107"/>
      <c r="CG35" s="107"/>
      <c r="CH35" s="107"/>
      <c r="CI35" s="107"/>
      <c r="CJ35" s="107"/>
      <c r="CK35" s="107"/>
      <c r="CL35" s="107"/>
      <c r="CM35" s="107"/>
      <c r="CN35" s="107"/>
      <c r="CO35" s="107"/>
      <c r="CP35" s="107"/>
      <c r="CQ35" s="107"/>
      <c r="CR35" s="107"/>
      <c r="CS35" s="107"/>
      <c r="CT35" s="107"/>
      <c r="CU35" s="107"/>
      <c r="CV35" s="107"/>
      <c r="CW35" s="107"/>
      <c r="CX35" s="107"/>
      <c r="CY35" s="107"/>
      <c r="CZ35" s="107"/>
      <c r="DA35" s="107"/>
      <c r="DB35" s="107"/>
      <c r="DC35" s="107"/>
      <c r="DD35" s="107"/>
      <c r="DE35" s="107"/>
      <c r="DF35" s="107"/>
      <c r="DG35" s="107"/>
      <c r="DH35" s="107"/>
      <c r="DI35" s="107"/>
      <c r="DJ35" s="107"/>
      <c r="DK35" s="107"/>
      <c r="DL35" s="107"/>
      <c r="DM35" s="107"/>
      <c r="DN35" s="107"/>
      <c r="DO35" s="107"/>
      <c r="DP35" s="107"/>
      <c r="DQ35" s="107"/>
      <c r="DR35" s="107"/>
      <c r="DS35" s="107"/>
      <c r="DT35" s="107"/>
      <c r="DU35" s="107"/>
      <c r="DV35" s="107"/>
      <c r="DW35" s="107"/>
      <c r="DX35" s="107"/>
      <c r="DY35" s="107"/>
      <c r="DZ35" s="107"/>
      <c r="EA35" s="107"/>
      <c r="EB35" s="107"/>
      <c r="EC35" s="107"/>
      <c r="ED35" s="107"/>
      <c r="EE35" s="107"/>
      <c r="EF35" s="107"/>
      <c r="EG35" s="107"/>
      <c r="EH35" s="107"/>
      <c r="EI35" s="107"/>
      <c r="EJ35" s="107"/>
      <c r="EK35" s="107"/>
      <c r="EL35" s="107"/>
      <c r="EM35" s="107"/>
      <c r="EN35" s="107"/>
      <c r="EO35" s="107"/>
    </row>
    <row r="36" spans="1:145" x14ac:dyDescent="0.25">
      <c r="A36" s="107"/>
      <c r="B36" s="107"/>
      <c r="C36" s="107"/>
      <c r="D36" s="107"/>
      <c r="E36" s="107"/>
      <c r="F36" s="107"/>
      <c r="G36" s="147" t="str">
        <f>IF(_ibpOfflineCondition_,"000000000000573602-1", _xll.EPMOlapMemberO("[PRDID].[].[000000000000573602-1]","","000000000000573602-1","","000"))</f>
        <v>000000000000573602-1</v>
      </c>
      <c r="H36" s="147" t="str">
        <f>IF(_ibpOfflineCondition_,"FGR+ FIGAROLLPLUS 10/280+40 ANTHR PL", _xll.EPMOlapMemberO("[PRDDESCR].[].[FGR+ FIGAROLLPLUS 10/280+40 ANTHR PL]","","FGR+ FIGAROLLPLUS 10/280+40 ANTHR PL","","000"))</f>
        <v>FGR+ FIGAROLLPLUS 10/280+40 ANTHR PL</v>
      </c>
      <c r="I36" s="147" t="str">
        <f>IF(_ibpOfflineCondition_,"X0", _xll.EPMOlapMemberO("[MRPTYPE].[].[X0]","","X0","","000"))</f>
        <v>X0</v>
      </c>
      <c r="J36" s="147" t="str">
        <f>IF(_ibpOfflineCondition_,"Stock on Hand", _xll.EPMOlapMemberO("[KEY_FIGURES].[].[INITIALINVENTORY]","","Stock on Hand","","000"))</f>
        <v>Stock on Hand</v>
      </c>
      <c r="K36" s="80">
        <v>2877</v>
      </c>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c r="BS36" s="107"/>
      <c r="BT36" s="107"/>
      <c r="BU36" s="107"/>
      <c r="BV36" s="107"/>
      <c r="BW36" s="107"/>
      <c r="BX36" s="107"/>
      <c r="BY36" s="107"/>
      <c r="BZ36" s="107"/>
      <c r="CA36" s="107"/>
      <c r="CB36" s="107"/>
      <c r="CC36" s="107"/>
      <c r="CD36" s="107"/>
      <c r="CE36" s="107"/>
      <c r="CF36" s="107"/>
      <c r="CG36" s="107"/>
      <c r="CH36" s="107"/>
      <c r="CI36" s="107"/>
      <c r="CJ36" s="107"/>
      <c r="CK36" s="107"/>
      <c r="CL36" s="107"/>
      <c r="CM36" s="107"/>
      <c r="CN36" s="107"/>
      <c r="CO36" s="107"/>
      <c r="CP36" s="107"/>
      <c r="CQ36" s="107"/>
      <c r="CR36" s="107"/>
      <c r="CS36" s="107"/>
      <c r="CT36" s="107"/>
      <c r="CU36" s="107"/>
      <c r="CV36" s="107"/>
      <c r="CW36" s="107"/>
      <c r="CX36" s="107"/>
      <c r="CY36" s="107"/>
      <c r="CZ36" s="107"/>
      <c r="DA36" s="107"/>
      <c r="DB36" s="107"/>
      <c r="DC36" s="107"/>
      <c r="DD36" s="107"/>
      <c r="DE36" s="107"/>
      <c r="DF36" s="107"/>
      <c r="DG36" s="107"/>
      <c r="DH36" s="107"/>
      <c r="DI36" s="107"/>
      <c r="DJ36" s="107"/>
      <c r="DK36" s="107"/>
      <c r="DL36" s="107"/>
      <c r="DM36" s="107"/>
      <c r="DN36" s="107"/>
      <c r="DO36" s="107"/>
      <c r="DP36" s="107"/>
      <c r="DQ36" s="107"/>
      <c r="DR36" s="107"/>
      <c r="DS36" s="107"/>
      <c r="DT36" s="107"/>
      <c r="DU36" s="107"/>
      <c r="DV36" s="107"/>
      <c r="DW36" s="107"/>
      <c r="DX36" s="107"/>
      <c r="DY36" s="107"/>
      <c r="DZ36" s="107"/>
      <c r="EA36" s="107"/>
      <c r="EB36" s="107"/>
      <c r="EC36" s="107"/>
      <c r="ED36" s="107"/>
      <c r="EE36" s="107"/>
      <c r="EF36" s="107"/>
      <c r="EG36" s="107"/>
      <c r="EH36" s="107"/>
      <c r="EI36" s="107"/>
      <c r="EJ36" s="107"/>
      <c r="EK36" s="107"/>
      <c r="EL36" s="107"/>
      <c r="EM36" s="107"/>
      <c r="EN36" s="107"/>
      <c r="EO36" s="107"/>
    </row>
    <row r="37" spans="1:145" x14ac:dyDescent="0.25">
      <c r="A37" s="107"/>
      <c r="B37" s="107"/>
      <c r="C37" s="107"/>
      <c r="D37" s="107"/>
      <c r="E37" s="107"/>
      <c r="F37" s="107"/>
      <c r="G37" s="147" t="str">
        <f>IF(_ibpOfflineCondition_,"000000000000573603-1", _xll.EPMOlapMemberO("[PRDID].[].[000000000000573603-1]","","000000000000573603-1","","000"))</f>
        <v>000000000000573603-1</v>
      </c>
      <c r="H37" s="147" t="str">
        <f>IF(_ibpOfflineCondition_,"FGR+ FIGAROLLPLUS 10/280+40 ROT PL", _xll.EPMOlapMemberO("[PRDDESCR].[].[FGR+ FIGAROLLPLUS 10/280+40 ROT PL]","","FGR+ FIGAROLLPLUS 10/280+40 ROT PL","","000"))</f>
        <v>FGR+ FIGAROLLPLUS 10/280+40 ROT PL</v>
      </c>
      <c r="I37" s="147" t="str">
        <f>IF(_ibpOfflineCondition_,"X7", _xll.EPMOlapMemberO("[MRPTYPE].[].[X7]","","X7","","000"))</f>
        <v>X7</v>
      </c>
      <c r="J37" s="147" t="str">
        <f>IF(_ibpOfflineCondition_,"Stock on Hand", _xll.EPMOlapMemberO("[KEY_FIGURES].[].[INITIALINVENTORY]","","Stock on Hand","","000"))</f>
        <v>Stock on Hand</v>
      </c>
      <c r="K37" s="80"/>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c r="BC37" s="107"/>
      <c r="BD37" s="107"/>
      <c r="BE37" s="107"/>
      <c r="BF37" s="107"/>
      <c r="BG37" s="107"/>
      <c r="BH37" s="107"/>
      <c r="BI37" s="107"/>
      <c r="BJ37" s="107"/>
      <c r="BK37" s="107"/>
      <c r="BL37" s="107"/>
      <c r="BM37" s="107"/>
      <c r="BN37" s="107"/>
      <c r="BO37" s="107"/>
      <c r="BP37" s="107"/>
      <c r="BQ37" s="107"/>
      <c r="BR37" s="107"/>
      <c r="BS37" s="107"/>
      <c r="BT37" s="107"/>
      <c r="BU37" s="107"/>
      <c r="BV37" s="107"/>
      <c r="BW37" s="107"/>
      <c r="BX37" s="107"/>
      <c r="BY37" s="107"/>
      <c r="BZ37" s="107"/>
      <c r="CA37" s="107"/>
      <c r="CB37" s="107"/>
      <c r="CC37" s="107"/>
      <c r="CD37" s="107"/>
      <c r="CE37" s="107"/>
      <c r="CF37" s="107"/>
      <c r="CG37" s="107"/>
      <c r="CH37" s="107"/>
      <c r="CI37" s="107"/>
      <c r="CJ37" s="107"/>
      <c r="CK37" s="107"/>
      <c r="CL37" s="107"/>
      <c r="CM37" s="107"/>
      <c r="CN37" s="107"/>
      <c r="CO37" s="107"/>
      <c r="CP37" s="107"/>
      <c r="CQ37" s="107"/>
      <c r="CR37" s="107"/>
      <c r="CS37" s="107"/>
      <c r="CT37" s="107"/>
      <c r="CU37" s="107"/>
      <c r="CV37" s="107"/>
      <c r="CW37" s="107"/>
      <c r="CX37" s="107"/>
      <c r="CY37" s="107"/>
      <c r="CZ37" s="107"/>
      <c r="DA37" s="107"/>
      <c r="DB37" s="107"/>
      <c r="DC37" s="107"/>
      <c r="DD37" s="107"/>
      <c r="DE37" s="107"/>
      <c r="DF37" s="107"/>
      <c r="DG37" s="107"/>
      <c r="DH37" s="107"/>
      <c r="DI37" s="107"/>
      <c r="DJ37" s="107"/>
      <c r="DK37" s="107"/>
      <c r="DL37" s="107"/>
      <c r="DM37" s="107"/>
      <c r="DN37" s="107"/>
      <c r="DO37" s="107"/>
      <c r="DP37" s="107"/>
      <c r="DQ37" s="107"/>
      <c r="DR37" s="107"/>
      <c r="DS37" s="107"/>
      <c r="DT37" s="107"/>
      <c r="DU37" s="107"/>
      <c r="DV37" s="107"/>
      <c r="DW37" s="107"/>
      <c r="DX37" s="107"/>
      <c r="DY37" s="107"/>
      <c r="DZ37" s="107"/>
      <c r="EA37" s="107"/>
      <c r="EB37" s="107"/>
      <c r="EC37" s="107"/>
      <c r="ED37" s="107"/>
      <c r="EE37" s="107"/>
      <c r="EF37" s="107"/>
      <c r="EG37" s="107"/>
      <c r="EH37" s="107"/>
      <c r="EI37" s="107"/>
      <c r="EJ37" s="107"/>
      <c r="EK37" s="107"/>
      <c r="EL37" s="107"/>
      <c r="EM37" s="107"/>
      <c r="EN37" s="107"/>
      <c r="EO37" s="107"/>
    </row>
    <row r="38" spans="1:145" x14ac:dyDescent="0.25">
      <c r="A38" s="107"/>
      <c r="B38" s="107"/>
      <c r="C38" s="107"/>
      <c r="D38" s="107"/>
      <c r="E38" s="107"/>
      <c r="F38" s="107"/>
      <c r="G38" s="147" t="str">
        <f>IF(_ibpOfflineCondition_,"000000000000573620-1", _xll.EPMOlapMemberO("[PRDID].[].[000000000000573620-1]","","000000000000573620-1","","000"))</f>
        <v>000000000000573620-1</v>
      </c>
      <c r="H38" s="147" t="str">
        <f>IF(_ibpOfflineCondition_,"FGR+ FIGAROLLPLUS 10/280+40 SCHWARZ PL", _xll.EPMOlapMemberO("[PRDDESCR].[].[FGR+ FIGAROLLPLUS 10/280+40 SCHWARZ PL]","","FGR+ FIGAROLLPLUS 10/280+40 SCHWARZ PL","","000"))</f>
        <v>FGR+ FIGAROLLPLUS 10/280+40 SCHWARZ PL</v>
      </c>
      <c r="I38" s="147" t="str">
        <f>IF(_ibpOfflineCondition_,"X7", _xll.EPMOlapMemberO("[MRPTYPE].[].[X7]","","X7","","000"))</f>
        <v>X7</v>
      </c>
      <c r="J38" s="147" t="str">
        <f>IF(_ibpOfflineCondition_,"Stock on Hand", _xll.EPMOlapMemberO("[KEY_FIGURES].[].[INITIALINVENTORY]","","Stock on Hand","","000"))</f>
        <v>Stock on Hand</v>
      </c>
      <c r="K38" s="80"/>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c r="BO38" s="107"/>
      <c r="BP38" s="107"/>
      <c r="BQ38" s="107"/>
      <c r="BR38" s="107"/>
      <c r="BS38" s="107"/>
      <c r="BT38" s="107"/>
      <c r="BU38" s="107"/>
      <c r="BV38" s="107"/>
      <c r="BW38" s="107"/>
      <c r="BX38" s="107"/>
      <c r="BY38" s="107"/>
      <c r="BZ38" s="107"/>
      <c r="CA38" s="107"/>
      <c r="CB38" s="107"/>
      <c r="CC38" s="107"/>
      <c r="CD38" s="107"/>
      <c r="CE38" s="107"/>
      <c r="CF38" s="107"/>
      <c r="CG38" s="107"/>
      <c r="CH38" s="107"/>
      <c r="CI38" s="107"/>
      <c r="CJ38" s="107"/>
      <c r="CK38" s="107"/>
      <c r="CL38" s="107"/>
      <c r="CM38" s="107"/>
      <c r="CN38" s="107"/>
      <c r="CO38" s="107"/>
      <c r="CP38" s="107"/>
      <c r="CQ38" s="107"/>
      <c r="CR38" s="107"/>
      <c r="CS38" s="107"/>
      <c r="CT38" s="107"/>
      <c r="CU38" s="107"/>
      <c r="CV38" s="107"/>
      <c r="CW38" s="107"/>
      <c r="CX38" s="107"/>
      <c r="CY38" s="107"/>
      <c r="CZ38" s="107"/>
      <c r="DA38" s="107"/>
      <c r="DB38" s="107"/>
      <c r="DC38" s="107"/>
      <c r="DD38" s="107"/>
      <c r="DE38" s="107"/>
      <c r="DF38" s="107"/>
      <c r="DG38" s="107"/>
      <c r="DH38" s="107"/>
      <c r="DI38" s="107"/>
      <c r="DJ38" s="107"/>
      <c r="DK38" s="107"/>
      <c r="DL38" s="107"/>
      <c r="DM38" s="107"/>
      <c r="DN38" s="107"/>
      <c r="DO38" s="107"/>
      <c r="DP38" s="107"/>
      <c r="DQ38" s="107"/>
      <c r="DR38" s="107"/>
      <c r="DS38" s="107"/>
      <c r="DT38" s="107"/>
      <c r="DU38" s="107"/>
      <c r="DV38" s="107"/>
      <c r="DW38" s="107"/>
      <c r="DX38" s="107"/>
      <c r="DY38" s="107"/>
      <c r="DZ38" s="107"/>
      <c r="EA38" s="107"/>
      <c r="EB38" s="107"/>
      <c r="EC38" s="107"/>
      <c r="ED38" s="107"/>
      <c r="EE38" s="107"/>
      <c r="EF38" s="107"/>
      <c r="EG38" s="107"/>
      <c r="EH38" s="107"/>
      <c r="EI38" s="107"/>
      <c r="EJ38" s="107"/>
      <c r="EK38" s="107"/>
      <c r="EL38" s="107"/>
      <c r="EM38" s="107"/>
      <c r="EN38" s="107"/>
      <c r="EO38" s="107"/>
    </row>
    <row r="39" spans="1:145" x14ac:dyDescent="0.25">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c r="BS39" s="107"/>
      <c r="BT39" s="107"/>
      <c r="BU39" s="107"/>
      <c r="BV39" s="107"/>
      <c r="BW39" s="107"/>
      <c r="BX39" s="107"/>
      <c r="BY39" s="107"/>
      <c r="BZ39" s="107"/>
      <c r="CA39" s="107"/>
      <c r="CB39" s="107"/>
      <c r="CC39" s="107"/>
      <c r="CD39" s="107"/>
      <c r="CE39" s="107"/>
      <c r="CF39" s="107"/>
      <c r="CG39" s="107"/>
      <c r="CH39" s="107"/>
      <c r="CI39" s="107"/>
      <c r="CJ39" s="107"/>
      <c r="CK39" s="107"/>
      <c r="CL39" s="107"/>
      <c r="CM39" s="107"/>
      <c r="CN39" s="107"/>
      <c r="CO39" s="107"/>
      <c r="CP39" s="107"/>
      <c r="CQ39" s="107"/>
      <c r="CR39" s="107"/>
      <c r="CS39" s="107"/>
      <c r="CT39" s="107"/>
      <c r="CU39" s="107"/>
      <c r="CV39" s="107"/>
      <c r="CW39" s="107"/>
      <c r="CX39" s="107"/>
      <c r="CY39" s="107"/>
      <c r="CZ39" s="107"/>
      <c r="DA39" s="107"/>
      <c r="DB39" s="107"/>
      <c r="DC39" s="107"/>
      <c r="DD39" s="107"/>
      <c r="DE39" s="107"/>
      <c r="DF39" s="107"/>
      <c r="DG39" s="107"/>
      <c r="DH39" s="107"/>
      <c r="DI39" s="107"/>
      <c r="DJ39" s="107"/>
      <c r="DK39" s="107"/>
      <c r="DL39" s="107"/>
      <c r="DM39" s="107"/>
      <c r="DN39" s="107"/>
      <c r="DO39" s="107"/>
      <c r="DP39" s="107"/>
      <c r="DQ39" s="107"/>
      <c r="DR39" s="107"/>
      <c r="DS39" s="107"/>
      <c r="DT39" s="107"/>
      <c r="DU39" s="107"/>
      <c r="DV39" s="107"/>
      <c r="DW39" s="107"/>
      <c r="DX39" s="107"/>
      <c r="DY39" s="107"/>
      <c r="DZ39" s="107"/>
      <c r="EA39" s="107"/>
      <c r="EB39" s="107"/>
      <c r="EC39" s="107"/>
      <c r="ED39" s="107"/>
      <c r="EE39" s="107"/>
      <c r="EF39" s="107"/>
      <c r="EG39" s="107"/>
      <c r="EH39" s="107"/>
      <c r="EI39" s="107"/>
      <c r="EJ39" s="107"/>
      <c r="EK39" s="107"/>
      <c r="EL39" s="107"/>
      <c r="EM39" s="107"/>
      <c r="EN39" s="107"/>
      <c r="EO39" s="107"/>
    </row>
    <row r="40" spans="1:145" x14ac:dyDescent="0.25">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K40" s="107"/>
      <c r="BL40" s="107"/>
      <c r="BM40" s="107"/>
      <c r="BN40" s="107"/>
      <c r="BO40" s="107"/>
      <c r="BP40" s="107"/>
      <c r="BQ40" s="107"/>
      <c r="BR40" s="107"/>
      <c r="BS40" s="107"/>
      <c r="BT40" s="107"/>
      <c r="BU40" s="107"/>
      <c r="BV40" s="107"/>
      <c r="BW40" s="107"/>
      <c r="BX40" s="107"/>
      <c r="BY40" s="107"/>
      <c r="BZ40" s="107"/>
      <c r="CA40" s="107"/>
      <c r="CB40" s="107"/>
      <c r="CC40" s="107"/>
      <c r="CD40" s="107"/>
      <c r="CE40" s="107"/>
      <c r="CF40" s="107"/>
      <c r="CG40" s="107"/>
      <c r="CH40" s="107"/>
      <c r="CI40" s="107"/>
      <c r="CJ40" s="107"/>
      <c r="CK40" s="107"/>
      <c r="CL40" s="107"/>
      <c r="CM40" s="107"/>
      <c r="CN40" s="107"/>
      <c r="CO40" s="107"/>
      <c r="CP40" s="107"/>
      <c r="CQ40" s="107"/>
      <c r="CR40" s="107"/>
      <c r="CS40" s="107"/>
      <c r="CT40" s="107"/>
      <c r="CU40" s="107"/>
      <c r="CV40" s="107"/>
      <c r="CW40" s="107"/>
      <c r="CX40" s="107"/>
      <c r="CY40" s="107"/>
      <c r="CZ40" s="107"/>
      <c r="DA40" s="107"/>
      <c r="DB40" s="107"/>
      <c r="DC40" s="107"/>
      <c r="DD40" s="107"/>
      <c r="DE40" s="107"/>
      <c r="DF40" s="107"/>
      <c r="DG40" s="107"/>
      <c r="DH40" s="107"/>
      <c r="DI40" s="107"/>
      <c r="DJ40" s="107"/>
      <c r="DK40" s="107"/>
      <c r="DL40" s="107"/>
      <c r="DM40" s="107"/>
      <c r="DN40" s="107"/>
      <c r="DO40" s="107"/>
      <c r="DP40" s="107"/>
      <c r="DQ40" s="107"/>
      <c r="DR40" s="107"/>
      <c r="DS40" s="107"/>
      <c r="DT40" s="107"/>
      <c r="DU40" s="107"/>
      <c r="DV40" s="107"/>
      <c r="DW40" s="107"/>
      <c r="DX40" s="107"/>
      <c r="DY40" s="107"/>
      <c r="DZ40" s="107"/>
      <c r="EA40" s="107"/>
      <c r="EB40" s="107"/>
      <c r="EC40" s="107"/>
      <c r="ED40" s="107"/>
      <c r="EE40" s="107"/>
      <c r="EF40" s="107"/>
      <c r="EG40" s="107"/>
      <c r="EH40" s="107"/>
      <c r="EI40" s="107"/>
      <c r="EJ40" s="107"/>
      <c r="EK40" s="107"/>
      <c r="EL40" s="107"/>
      <c r="EM40" s="107"/>
      <c r="EN40" s="107"/>
      <c r="EO40" s="107"/>
    </row>
    <row r="41" spans="1:145" x14ac:dyDescent="0.25">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c r="BS41" s="107"/>
      <c r="BT41" s="107"/>
      <c r="BU41" s="107"/>
      <c r="BV41" s="107"/>
      <c r="BW41" s="107"/>
      <c r="BX41" s="107"/>
      <c r="BY41" s="107"/>
      <c r="BZ41" s="107"/>
      <c r="CA41" s="107"/>
      <c r="CB41" s="107"/>
      <c r="CC41" s="107"/>
      <c r="CD41" s="107"/>
      <c r="CE41" s="107"/>
      <c r="CF41" s="107"/>
      <c r="CG41" s="107"/>
      <c r="CH41" s="107"/>
      <c r="CI41" s="107"/>
      <c r="CJ41" s="107"/>
      <c r="CK41" s="107"/>
      <c r="CL41" s="107"/>
      <c r="CM41" s="107"/>
      <c r="CN41" s="107"/>
      <c r="CO41" s="107"/>
      <c r="CP41" s="107"/>
      <c r="CQ41" s="107"/>
      <c r="CR41" s="107"/>
      <c r="CS41" s="107"/>
      <c r="CT41" s="107"/>
      <c r="CU41" s="107"/>
      <c r="CV41" s="107"/>
      <c r="CW41" s="107"/>
      <c r="CX41" s="107"/>
      <c r="CY41" s="107"/>
      <c r="CZ41" s="107"/>
      <c r="DA41" s="107"/>
      <c r="DB41" s="107"/>
      <c r="DC41" s="107"/>
      <c r="DD41" s="107"/>
      <c r="DE41" s="107"/>
      <c r="DF41" s="107"/>
      <c r="DG41" s="107"/>
      <c r="DH41" s="107"/>
      <c r="DI41" s="107"/>
      <c r="DJ41" s="107"/>
      <c r="DK41" s="107"/>
      <c r="DL41" s="107"/>
      <c r="DM41" s="107"/>
      <c r="DN41" s="107"/>
      <c r="DO41" s="107"/>
      <c r="DP41" s="107"/>
      <c r="DQ41" s="107"/>
      <c r="DR41" s="107"/>
      <c r="DS41" s="107"/>
      <c r="DT41" s="107"/>
      <c r="DU41" s="107"/>
      <c r="DV41" s="107"/>
      <c r="DW41" s="107"/>
      <c r="DX41" s="107"/>
      <c r="DY41" s="107"/>
      <c r="DZ41" s="107"/>
      <c r="EA41" s="107"/>
      <c r="EB41" s="107"/>
      <c r="EC41" s="107"/>
      <c r="ED41" s="107"/>
      <c r="EE41" s="107"/>
      <c r="EF41" s="107"/>
      <c r="EG41" s="107"/>
      <c r="EH41" s="107"/>
      <c r="EI41" s="107"/>
      <c r="EJ41" s="107"/>
      <c r="EK41" s="107"/>
      <c r="EL41" s="107"/>
      <c r="EM41" s="107"/>
      <c r="EN41" s="107"/>
      <c r="EO41" s="107"/>
    </row>
    <row r="42" spans="1:145" x14ac:dyDescent="0.25">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c r="BS42" s="107"/>
      <c r="BT42" s="107"/>
      <c r="BU42" s="107"/>
      <c r="BV42" s="107"/>
      <c r="BW42" s="107"/>
      <c r="BX42" s="107"/>
      <c r="BY42" s="107"/>
      <c r="BZ42" s="107"/>
      <c r="CA42" s="107"/>
      <c r="CB42" s="107"/>
      <c r="CC42" s="107"/>
      <c r="CD42" s="107"/>
      <c r="CE42" s="107"/>
      <c r="CF42" s="107"/>
      <c r="CG42" s="107"/>
      <c r="CH42" s="107"/>
      <c r="CI42" s="107"/>
      <c r="CJ42" s="107"/>
      <c r="CK42" s="107"/>
      <c r="CL42" s="107"/>
      <c r="CM42" s="107"/>
      <c r="CN42" s="107"/>
      <c r="CO42" s="107"/>
      <c r="CP42" s="107"/>
      <c r="CQ42" s="107"/>
      <c r="CR42" s="107"/>
      <c r="CS42" s="107"/>
      <c r="CT42" s="107"/>
      <c r="CU42" s="107"/>
      <c r="CV42" s="107"/>
      <c r="CW42" s="107"/>
      <c r="CX42" s="107"/>
      <c r="CY42" s="107"/>
      <c r="CZ42" s="107"/>
      <c r="DA42" s="107"/>
      <c r="DB42" s="107"/>
      <c r="DC42" s="107"/>
      <c r="DD42" s="107"/>
      <c r="DE42" s="107"/>
      <c r="DF42" s="107"/>
      <c r="DG42" s="107"/>
      <c r="DH42" s="107"/>
      <c r="DI42" s="107"/>
      <c r="DJ42" s="107"/>
      <c r="DK42" s="107"/>
      <c r="DL42" s="107"/>
      <c r="DM42" s="107"/>
      <c r="DN42" s="107"/>
      <c r="DO42" s="107"/>
      <c r="DP42" s="107"/>
      <c r="DQ42" s="107"/>
      <c r="DR42" s="107"/>
      <c r="DS42" s="107"/>
      <c r="DT42" s="107"/>
      <c r="DU42" s="107"/>
      <c r="DV42" s="107"/>
      <c r="DW42" s="107"/>
      <c r="DX42" s="107"/>
      <c r="DY42" s="107"/>
      <c r="DZ42" s="107"/>
      <c r="EA42" s="107"/>
      <c r="EB42" s="107"/>
      <c r="EC42" s="107"/>
      <c r="ED42" s="107"/>
      <c r="EE42" s="107"/>
      <c r="EF42" s="107"/>
      <c r="EG42" s="107"/>
      <c r="EH42" s="107"/>
      <c r="EI42" s="107"/>
      <c r="EJ42" s="107"/>
      <c r="EK42" s="107"/>
      <c r="EL42" s="107"/>
      <c r="EM42" s="107"/>
      <c r="EN42" s="107"/>
      <c r="EO42" s="107"/>
    </row>
    <row r="43" spans="1:145" x14ac:dyDescent="0.25">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c r="BO43" s="107"/>
      <c r="BP43" s="107"/>
      <c r="BQ43" s="107"/>
      <c r="BR43" s="107"/>
      <c r="BS43" s="107"/>
      <c r="BT43" s="107"/>
      <c r="BU43" s="107"/>
      <c r="BV43" s="107"/>
      <c r="BW43" s="107"/>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c r="DI43" s="107"/>
      <c r="DJ43" s="107"/>
      <c r="DK43" s="107"/>
      <c r="DL43" s="107"/>
      <c r="DM43" s="107"/>
      <c r="DN43" s="107"/>
      <c r="DO43" s="107"/>
      <c r="DP43" s="107"/>
      <c r="DQ43" s="107"/>
      <c r="DR43" s="107"/>
      <c r="DS43" s="107"/>
      <c r="DT43" s="107"/>
      <c r="DU43" s="107"/>
      <c r="DV43" s="107"/>
      <c r="DW43" s="107"/>
      <c r="DX43" s="107"/>
      <c r="DY43" s="107"/>
      <c r="DZ43" s="107"/>
      <c r="EA43" s="107"/>
      <c r="EB43" s="107"/>
      <c r="EC43" s="107"/>
      <c r="ED43" s="107"/>
      <c r="EE43" s="107"/>
      <c r="EF43" s="107"/>
      <c r="EG43" s="107"/>
      <c r="EH43" s="107"/>
      <c r="EI43" s="107"/>
      <c r="EJ43" s="107"/>
      <c r="EK43" s="107"/>
      <c r="EL43" s="107"/>
      <c r="EM43" s="107"/>
      <c r="EN43" s="107"/>
      <c r="EO43" s="107"/>
    </row>
    <row r="44" spans="1:145" x14ac:dyDescent="0.25">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c r="BS44" s="107"/>
      <c r="BT44" s="107"/>
      <c r="BU44" s="107"/>
      <c r="BV44" s="107"/>
      <c r="BW44" s="107"/>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c r="DI44" s="107"/>
      <c r="DJ44" s="107"/>
      <c r="DK44" s="107"/>
      <c r="DL44" s="107"/>
      <c r="DM44" s="107"/>
      <c r="DN44" s="107"/>
      <c r="DO44" s="107"/>
      <c r="DP44" s="107"/>
      <c r="DQ44" s="107"/>
      <c r="DR44" s="107"/>
      <c r="DS44" s="107"/>
      <c r="DT44" s="107"/>
      <c r="DU44" s="107"/>
      <c r="DV44" s="107"/>
      <c r="DW44" s="107"/>
      <c r="DX44" s="107"/>
      <c r="DY44" s="107"/>
      <c r="DZ44" s="107"/>
      <c r="EA44" s="107"/>
      <c r="EB44" s="107"/>
      <c r="EC44" s="107"/>
      <c r="ED44" s="107"/>
      <c r="EE44" s="107"/>
      <c r="EF44" s="107"/>
      <c r="EG44" s="107"/>
      <c r="EH44" s="107"/>
      <c r="EI44" s="107"/>
      <c r="EJ44" s="107"/>
      <c r="EK44" s="107"/>
      <c r="EL44" s="107"/>
      <c r="EM44" s="107"/>
      <c r="EN44" s="107"/>
      <c r="EO44" s="107"/>
    </row>
    <row r="45" spans="1:145" x14ac:dyDescent="0.25">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c r="BS45" s="107"/>
      <c r="BT45" s="107"/>
      <c r="BU45" s="107"/>
      <c r="BV45" s="107"/>
      <c r="BW45" s="107"/>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c r="DI45" s="107"/>
      <c r="DJ45" s="107"/>
      <c r="DK45" s="107"/>
      <c r="DL45" s="107"/>
      <c r="DM45" s="107"/>
      <c r="DN45" s="107"/>
      <c r="DO45" s="107"/>
      <c r="DP45" s="107"/>
      <c r="DQ45" s="107"/>
      <c r="DR45" s="107"/>
      <c r="DS45" s="107"/>
      <c r="DT45" s="107"/>
      <c r="DU45" s="107"/>
      <c r="DV45" s="107"/>
      <c r="DW45" s="107"/>
      <c r="DX45" s="107"/>
      <c r="DY45" s="107"/>
      <c r="DZ45" s="107"/>
      <c r="EA45" s="107"/>
      <c r="EB45" s="107"/>
      <c r="EC45" s="107"/>
      <c r="ED45" s="107"/>
      <c r="EE45" s="107"/>
      <c r="EF45" s="107"/>
      <c r="EG45" s="107"/>
      <c r="EH45" s="107"/>
      <c r="EI45" s="107"/>
      <c r="EJ45" s="107"/>
      <c r="EK45" s="107"/>
      <c r="EL45" s="107"/>
      <c r="EM45" s="107"/>
      <c r="EN45" s="107"/>
      <c r="EO45" s="107"/>
    </row>
    <row r="46" spans="1:145" x14ac:dyDescent="0.25">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c r="BS46" s="107"/>
      <c r="BT46" s="107"/>
      <c r="BU46" s="107"/>
      <c r="BV46" s="107"/>
      <c r="BW46" s="107"/>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c r="DI46" s="107"/>
      <c r="DJ46" s="107"/>
      <c r="DK46" s="107"/>
      <c r="DL46" s="107"/>
      <c r="DM46" s="107"/>
      <c r="DN46" s="107"/>
      <c r="DO46" s="107"/>
      <c r="DP46" s="107"/>
      <c r="DQ46" s="107"/>
      <c r="DR46" s="107"/>
      <c r="DS46" s="107"/>
      <c r="DT46" s="107"/>
      <c r="DU46" s="107"/>
      <c r="DV46" s="107"/>
      <c r="DW46" s="107"/>
      <c r="DX46" s="107"/>
      <c r="DY46" s="107"/>
      <c r="DZ46" s="107"/>
      <c r="EA46" s="107"/>
      <c r="EB46" s="107"/>
      <c r="EC46" s="107"/>
      <c r="ED46" s="107"/>
      <c r="EE46" s="107"/>
      <c r="EF46" s="107"/>
      <c r="EG46" s="107"/>
      <c r="EH46" s="107"/>
      <c r="EI46" s="107"/>
      <c r="EJ46" s="107"/>
      <c r="EK46" s="107"/>
      <c r="EL46" s="107"/>
      <c r="EM46" s="107"/>
      <c r="EN46" s="107"/>
      <c r="EO46" s="107"/>
    </row>
    <row r="47" spans="1:145" x14ac:dyDescent="0.25">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c r="DI47" s="107"/>
      <c r="DJ47" s="107"/>
      <c r="DK47" s="107"/>
      <c r="DL47" s="107"/>
      <c r="DM47" s="107"/>
      <c r="DN47" s="107"/>
      <c r="DO47" s="107"/>
      <c r="DP47" s="107"/>
      <c r="DQ47" s="107"/>
      <c r="DR47" s="107"/>
      <c r="DS47" s="107"/>
      <c r="DT47" s="107"/>
      <c r="DU47" s="107"/>
      <c r="DV47" s="107"/>
      <c r="DW47" s="107"/>
      <c r="DX47" s="107"/>
      <c r="DY47" s="107"/>
      <c r="DZ47" s="107"/>
      <c r="EA47" s="107"/>
      <c r="EB47" s="107"/>
      <c r="EC47" s="107"/>
      <c r="ED47" s="107"/>
      <c r="EE47" s="107"/>
      <c r="EF47" s="107"/>
      <c r="EG47" s="107"/>
      <c r="EH47" s="107"/>
      <c r="EI47" s="107"/>
      <c r="EJ47" s="107"/>
      <c r="EK47" s="107"/>
      <c r="EL47" s="107"/>
      <c r="EM47" s="107"/>
      <c r="EN47" s="107"/>
      <c r="EO47" s="107"/>
    </row>
    <row r="48" spans="1:145" x14ac:dyDescent="0.25">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c r="DI48" s="107"/>
      <c r="DJ48" s="107"/>
      <c r="DK48" s="107"/>
      <c r="DL48" s="107"/>
      <c r="DM48" s="107"/>
      <c r="DN48" s="107"/>
      <c r="DO48" s="107"/>
      <c r="DP48" s="107"/>
      <c r="DQ48" s="107"/>
      <c r="DR48" s="107"/>
      <c r="DS48" s="107"/>
      <c r="DT48" s="107"/>
      <c r="DU48" s="107"/>
      <c r="DV48" s="107"/>
      <c r="DW48" s="107"/>
      <c r="DX48" s="107"/>
      <c r="DY48" s="107"/>
      <c r="DZ48" s="107"/>
      <c r="EA48" s="107"/>
      <c r="EB48" s="107"/>
      <c r="EC48" s="107"/>
      <c r="ED48" s="107"/>
      <c r="EE48" s="107"/>
      <c r="EF48" s="107"/>
      <c r="EG48" s="107"/>
      <c r="EH48" s="107"/>
      <c r="EI48" s="107"/>
      <c r="EJ48" s="107"/>
      <c r="EK48" s="107"/>
      <c r="EL48" s="107"/>
      <c r="EM48" s="107"/>
      <c r="EN48" s="107"/>
      <c r="EO48" s="107"/>
    </row>
    <row r="49" spans="1:145" x14ac:dyDescent="0.25">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c r="BS49" s="107"/>
      <c r="BT49" s="107"/>
      <c r="BU49" s="107"/>
      <c r="BV49" s="107"/>
      <c r="BW49" s="107"/>
      <c r="BX49" s="107"/>
      <c r="BY49" s="107"/>
      <c r="BZ49" s="107"/>
      <c r="CA49" s="107"/>
      <c r="CB49" s="107"/>
      <c r="CC49" s="107"/>
      <c r="CD49" s="107"/>
      <c r="CE49" s="107"/>
      <c r="CF49" s="107"/>
      <c r="CG49" s="107"/>
      <c r="CH49" s="107"/>
      <c r="CI49" s="107"/>
      <c r="CJ49" s="107"/>
      <c r="CK49" s="107"/>
      <c r="CL49" s="107"/>
      <c r="CM49" s="107"/>
      <c r="CN49" s="107"/>
      <c r="CO49" s="107"/>
      <c r="CP49" s="107"/>
      <c r="CQ49" s="107"/>
      <c r="CR49" s="107"/>
      <c r="CS49" s="107"/>
      <c r="CT49" s="107"/>
      <c r="CU49" s="107"/>
      <c r="CV49" s="107"/>
      <c r="CW49" s="107"/>
      <c r="CX49" s="107"/>
      <c r="CY49" s="107"/>
      <c r="CZ49" s="107"/>
      <c r="DA49" s="107"/>
      <c r="DB49" s="107"/>
      <c r="DC49" s="107"/>
      <c r="DD49" s="107"/>
      <c r="DE49" s="107"/>
      <c r="DF49" s="107"/>
      <c r="DG49" s="107"/>
      <c r="DH49" s="107"/>
      <c r="DI49" s="107"/>
      <c r="DJ49" s="107"/>
      <c r="DK49" s="107"/>
      <c r="DL49" s="107"/>
      <c r="DM49" s="107"/>
      <c r="DN49" s="107"/>
      <c r="DO49" s="107"/>
      <c r="DP49" s="107"/>
      <c r="DQ49" s="107"/>
      <c r="DR49" s="107"/>
      <c r="DS49" s="107"/>
      <c r="DT49" s="107"/>
      <c r="DU49" s="107"/>
      <c r="DV49" s="107"/>
      <c r="DW49" s="107"/>
      <c r="DX49" s="107"/>
      <c r="DY49" s="107"/>
      <c r="DZ49" s="107"/>
      <c r="EA49" s="107"/>
      <c r="EB49" s="107"/>
      <c r="EC49" s="107"/>
      <c r="ED49" s="107"/>
      <c r="EE49" s="107"/>
      <c r="EF49" s="107"/>
      <c r="EG49" s="107"/>
      <c r="EH49" s="107"/>
      <c r="EI49" s="107"/>
      <c r="EJ49" s="107"/>
      <c r="EK49" s="107"/>
      <c r="EL49" s="107"/>
      <c r="EM49" s="107"/>
      <c r="EN49" s="107"/>
      <c r="EO49" s="107"/>
    </row>
    <row r="50" spans="1:145" x14ac:dyDescent="0.25">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row>
    <row r="51" spans="1:145" x14ac:dyDescent="0.25">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c r="BS51" s="107"/>
      <c r="BT51" s="107"/>
      <c r="BU51" s="107"/>
      <c r="BV51" s="107"/>
      <c r="BW51" s="107"/>
      <c r="BX51" s="107"/>
      <c r="BY51" s="107"/>
      <c r="BZ51" s="107"/>
      <c r="CA51" s="107"/>
      <c r="CB51" s="107"/>
      <c r="CC51" s="107"/>
      <c r="CD51" s="107"/>
      <c r="CE51" s="107"/>
      <c r="CF51" s="107"/>
      <c r="CG51" s="107"/>
      <c r="CH51" s="107"/>
      <c r="CI51" s="107"/>
      <c r="CJ51" s="107"/>
      <c r="CK51" s="107"/>
      <c r="CL51" s="107"/>
      <c r="CM51" s="107"/>
      <c r="CN51" s="107"/>
      <c r="CO51" s="107"/>
      <c r="CP51" s="107"/>
      <c r="CQ51" s="107"/>
      <c r="CR51" s="107"/>
      <c r="CS51" s="107"/>
      <c r="CT51" s="107"/>
      <c r="CU51" s="107"/>
      <c r="CV51" s="107"/>
      <c r="CW51" s="107"/>
      <c r="CX51" s="107"/>
      <c r="CY51" s="107"/>
      <c r="CZ51" s="107"/>
      <c r="DA51" s="107"/>
      <c r="DB51" s="107"/>
      <c r="DC51" s="107"/>
      <c r="DD51" s="107"/>
      <c r="DE51" s="107"/>
      <c r="DF51" s="107"/>
      <c r="DG51" s="107"/>
      <c r="DH51" s="107"/>
      <c r="DI51" s="107"/>
      <c r="DJ51" s="107"/>
      <c r="DK51" s="107"/>
      <c r="DL51" s="107"/>
      <c r="DM51" s="107"/>
      <c r="DN51" s="107"/>
      <c r="DO51" s="107"/>
      <c r="DP51" s="107"/>
      <c r="DQ51" s="107"/>
      <c r="DR51" s="107"/>
      <c r="DS51" s="107"/>
      <c r="DT51" s="107"/>
      <c r="DU51" s="107"/>
      <c r="DV51" s="107"/>
      <c r="DW51" s="107"/>
      <c r="DX51" s="107"/>
      <c r="DY51" s="107"/>
      <c r="DZ51" s="107"/>
      <c r="EA51" s="107"/>
      <c r="EB51" s="107"/>
      <c r="EC51" s="107"/>
      <c r="ED51" s="107"/>
      <c r="EE51" s="107"/>
      <c r="EF51" s="107"/>
      <c r="EG51" s="107"/>
      <c r="EH51" s="107"/>
      <c r="EI51" s="107"/>
      <c r="EJ51" s="107"/>
      <c r="EK51" s="107"/>
      <c r="EL51" s="107"/>
      <c r="EM51" s="107"/>
      <c r="EN51" s="107"/>
      <c r="EO51" s="107"/>
    </row>
    <row r="52" spans="1:145" x14ac:dyDescent="0.25">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7"/>
      <c r="CY52" s="107"/>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row>
    <row r="53" spans="1:145" x14ac:dyDescent="0.25">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c r="BS53" s="107"/>
      <c r="BT53" s="107"/>
      <c r="BU53" s="107"/>
      <c r="BV53" s="107"/>
      <c r="BW53" s="107"/>
      <c r="BX53" s="107"/>
      <c r="BY53" s="107"/>
      <c r="BZ53" s="107"/>
      <c r="CA53" s="107"/>
      <c r="CB53" s="107"/>
      <c r="CC53" s="107"/>
      <c r="CD53" s="107"/>
      <c r="CE53" s="107"/>
      <c r="CF53" s="107"/>
      <c r="CG53" s="107"/>
      <c r="CH53" s="107"/>
      <c r="CI53" s="107"/>
      <c r="CJ53" s="107"/>
      <c r="CK53" s="107"/>
      <c r="CL53" s="107"/>
      <c r="CM53" s="107"/>
      <c r="CN53" s="107"/>
      <c r="CO53" s="107"/>
      <c r="CP53" s="107"/>
      <c r="CQ53" s="107"/>
      <c r="CR53" s="107"/>
      <c r="CS53" s="107"/>
      <c r="CT53" s="107"/>
      <c r="CU53" s="107"/>
      <c r="CV53" s="107"/>
      <c r="CW53" s="107"/>
      <c r="CX53" s="107"/>
      <c r="CY53" s="107"/>
      <c r="CZ53" s="107"/>
      <c r="DA53" s="107"/>
      <c r="DB53" s="107"/>
      <c r="DC53" s="107"/>
      <c r="DD53" s="107"/>
      <c r="DE53" s="107"/>
      <c r="DF53" s="107"/>
      <c r="DG53" s="107"/>
      <c r="DH53" s="107"/>
      <c r="DI53" s="107"/>
      <c r="DJ53" s="107"/>
      <c r="DK53" s="107"/>
      <c r="DL53" s="107"/>
      <c r="DM53" s="107"/>
      <c r="DN53" s="107"/>
      <c r="DO53" s="107"/>
      <c r="DP53" s="107"/>
      <c r="DQ53" s="107"/>
      <c r="DR53" s="107"/>
      <c r="DS53" s="107"/>
      <c r="DT53" s="107"/>
      <c r="DU53" s="107"/>
      <c r="DV53" s="107"/>
      <c r="DW53" s="107"/>
      <c r="DX53" s="107"/>
      <c r="DY53" s="107"/>
      <c r="DZ53" s="107"/>
      <c r="EA53" s="107"/>
      <c r="EB53" s="107"/>
      <c r="EC53" s="107"/>
      <c r="ED53" s="107"/>
      <c r="EE53" s="107"/>
      <c r="EF53" s="107"/>
      <c r="EG53" s="107"/>
      <c r="EH53" s="107"/>
      <c r="EI53" s="107"/>
      <c r="EJ53" s="107"/>
      <c r="EK53" s="107"/>
      <c r="EL53" s="107"/>
      <c r="EM53" s="107"/>
      <c r="EN53" s="107"/>
      <c r="EO53" s="107"/>
    </row>
    <row r="54" spans="1:145" x14ac:dyDescent="0.25">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c r="BC54" s="107"/>
      <c r="BD54" s="107"/>
      <c r="BE54" s="107"/>
      <c r="BF54" s="107"/>
      <c r="BG54" s="107"/>
      <c r="BH54" s="107"/>
      <c r="BI54" s="107"/>
      <c r="BJ54" s="107"/>
      <c r="BK54" s="107"/>
      <c r="BL54" s="107"/>
      <c r="BM54" s="107"/>
      <c r="BN54" s="107"/>
      <c r="BO54" s="107"/>
      <c r="BP54" s="107"/>
      <c r="BQ54" s="107"/>
      <c r="BR54" s="107"/>
      <c r="BS54" s="107"/>
      <c r="BT54" s="107"/>
      <c r="BU54" s="107"/>
      <c r="BV54" s="107"/>
      <c r="BW54" s="107"/>
      <c r="BX54" s="107"/>
      <c r="BY54" s="107"/>
      <c r="BZ54" s="107"/>
      <c r="CA54" s="107"/>
      <c r="CB54" s="107"/>
      <c r="CC54" s="107"/>
      <c r="CD54" s="107"/>
      <c r="CE54" s="107"/>
      <c r="CF54" s="107"/>
      <c r="CG54" s="107"/>
      <c r="CH54" s="107"/>
      <c r="CI54" s="107"/>
      <c r="CJ54" s="107"/>
      <c r="CK54" s="107"/>
      <c r="CL54" s="107"/>
      <c r="CM54" s="107"/>
      <c r="CN54" s="107"/>
      <c r="CO54" s="107"/>
      <c r="CP54" s="107"/>
      <c r="CQ54" s="107"/>
      <c r="CR54" s="107"/>
      <c r="CS54" s="107"/>
      <c r="CT54" s="107"/>
      <c r="CU54" s="107"/>
      <c r="CV54" s="107"/>
      <c r="CW54" s="107"/>
      <c r="CX54" s="107"/>
      <c r="CY54" s="107"/>
      <c r="CZ54" s="107"/>
      <c r="DA54" s="107"/>
      <c r="DB54" s="107"/>
      <c r="DC54" s="107"/>
      <c r="DD54" s="107"/>
      <c r="DE54" s="107"/>
      <c r="DF54" s="107"/>
      <c r="DG54" s="107"/>
      <c r="DH54" s="107"/>
      <c r="DI54" s="107"/>
      <c r="DJ54" s="107"/>
      <c r="DK54" s="107"/>
      <c r="DL54" s="107"/>
      <c r="DM54" s="107"/>
      <c r="DN54" s="107"/>
      <c r="DO54" s="107"/>
      <c r="DP54" s="107"/>
      <c r="DQ54" s="107"/>
      <c r="DR54" s="107"/>
      <c r="DS54" s="107"/>
      <c r="DT54" s="107"/>
      <c r="DU54" s="107"/>
      <c r="DV54" s="107"/>
      <c r="DW54" s="107"/>
      <c r="DX54" s="107"/>
      <c r="DY54" s="107"/>
      <c r="DZ54" s="107"/>
      <c r="EA54" s="107"/>
      <c r="EB54" s="107"/>
      <c r="EC54" s="107"/>
      <c r="ED54" s="107"/>
      <c r="EE54" s="107"/>
      <c r="EF54" s="107"/>
      <c r="EG54" s="107"/>
      <c r="EH54" s="107"/>
      <c r="EI54" s="107"/>
      <c r="EJ54" s="107"/>
      <c r="EK54" s="107"/>
      <c r="EL54" s="107"/>
      <c r="EM54" s="107"/>
      <c r="EN54" s="107"/>
      <c r="EO54" s="107"/>
    </row>
    <row r="55" spans="1:145" x14ac:dyDescent="0.25">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c r="BS55" s="107"/>
      <c r="BT55" s="107"/>
      <c r="BU55" s="107"/>
      <c r="BV55" s="107"/>
      <c r="BW55" s="107"/>
      <c r="BX55" s="107"/>
      <c r="BY55" s="107"/>
      <c r="BZ55" s="107"/>
      <c r="CA55" s="107"/>
      <c r="CB55" s="107"/>
      <c r="CC55" s="107"/>
      <c r="CD55" s="107"/>
      <c r="CE55" s="107"/>
      <c r="CF55" s="107"/>
      <c r="CG55" s="107"/>
      <c r="CH55" s="107"/>
      <c r="CI55" s="107"/>
      <c r="CJ55" s="107"/>
      <c r="CK55" s="107"/>
      <c r="CL55" s="107"/>
      <c r="CM55" s="107"/>
      <c r="CN55" s="107"/>
      <c r="CO55" s="107"/>
      <c r="CP55" s="107"/>
      <c r="CQ55" s="107"/>
      <c r="CR55" s="107"/>
      <c r="CS55" s="107"/>
      <c r="CT55" s="107"/>
      <c r="CU55" s="107"/>
      <c r="CV55" s="107"/>
      <c r="CW55" s="107"/>
      <c r="CX55" s="107"/>
      <c r="CY55" s="107"/>
      <c r="CZ55" s="107"/>
      <c r="DA55" s="107"/>
      <c r="DB55" s="107"/>
      <c r="DC55" s="107"/>
      <c r="DD55" s="107"/>
      <c r="DE55" s="107"/>
      <c r="DF55" s="107"/>
      <c r="DG55" s="107"/>
      <c r="DH55" s="107"/>
      <c r="DI55" s="107"/>
      <c r="DJ55" s="107"/>
      <c r="DK55" s="107"/>
      <c r="DL55" s="107"/>
      <c r="DM55" s="107"/>
      <c r="DN55" s="107"/>
      <c r="DO55" s="107"/>
      <c r="DP55" s="107"/>
      <c r="DQ55" s="107"/>
      <c r="DR55" s="107"/>
      <c r="DS55" s="107"/>
      <c r="DT55" s="107"/>
      <c r="DU55" s="107"/>
      <c r="DV55" s="107"/>
      <c r="DW55" s="107"/>
      <c r="DX55" s="107"/>
      <c r="DY55" s="107"/>
      <c r="DZ55" s="107"/>
      <c r="EA55" s="107"/>
      <c r="EB55" s="107"/>
      <c r="EC55" s="107"/>
      <c r="ED55" s="107"/>
      <c r="EE55" s="107"/>
      <c r="EF55" s="107"/>
      <c r="EG55" s="107"/>
      <c r="EH55" s="107"/>
      <c r="EI55" s="107"/>
      <c r="EJ55" s="107"/>
      <c r="EK55" s="107"/>
      <c r="EL55" s="107"/>
      <c r="EM55" s="107"/>
      <c r="EN55" s="107"/>
      <c r="EO55" s="107"/>
    </row>
    <row r="56" spans="1:145" x14ac:dyDescent="0.25">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c r="BS56" s="107"/>
      <c r="BT56" s="107"/>
      <c r="BU56" s="107"/>
      <c r="BV56" s="107"/>
      <c r="BW56" s="107"/>
      <c r="BX56" s="107"/>
      <c r="BY56" s="107"/>
      <c r="BZ56" s="107"/>
      <c r="CA56" s="107"/>
      <c r="CB56" s="107"/>
      <c r="CC56" s="107"/>
      <c r="CD56" s="107"/>
      <c r="CE56" s="107"/>
      <c r="CF56" s="107"/>
      <c r="CG56" s="107"/>
      <c r="CH56" s="107"/>
      <c r="CI56" s="107"/>
      <c r="CJ56" s="107"/>
      <c r="CK56" s="107"/>
      <c r="CL56" s="107"/>
      <c r="CM56" s="107"/>
      <c r="CN56" s="107"/>
      <c r="CO56" s="107"/>
      <c r="CP56" s="107"/>
      <c r="CQ56" s="107"/>
      <c r="CR56" s="107"/>
      <c r="CS56" s="107"/>
      <c r="CT56" s="107"/>
      <c r="CU56" s="107"/>
      <c r="CV56" s="107"/>
      <c r="CW56" s="107"/>
      <c r="CX56" s="107"/>
      <c r="CY56" s="107"/>
      <c r="CZ56" s="107"/>
      <c r="DA56" s="107"/>
      <c r="DB56" s="107"/>
      <c r="DC56" s="107"/>
      <c r="DD56" s="107"/>
      <c r="DE56" s="107"/>
      <c r="DF56" s="107"/>
      <c r="DG56" s="107"/>
      <c r="DH56" s="107"/>
      <c r="DI56" s="107"/>
      <c r="DJ56" s="107"/>
      <c r="DK56" s="107"/>
      <c r="DL56" s="107"/>
      <c r="DM56" s="107"/>
      <c r="DN56" s="107"/>
      <c r="DO56" s="107"/>
      <c r="DP56" s="107"/>
      <c r="DQ56" s="107"/>
      <c r="DR56" s="107"/>
      <c r="DS56" s="107"/>
      <c r="DT56" s="107"/>
      <c r="DU56" s="107"/>
      <c r="DV56" s="107"/>
      <c r="DW56" s="107"/>
      <c r="DX56" s="107"/>
      <c r="DY56" s="107"/>
      <c r="DZ56" s="107"/>
      <c r="EA56" s="107"/>
      <c r="EB56" s="107"/>
      <c r="EC56" s="107"/>
      <c r="ED56" s="107"/>
      <c r="EE56" s="107"/>
      <c r="EF56" s="107"/>
      <c r="EG56" s="107"/>
      <c r="EH56" s="107"/>
      <c r="EI56" s="107"/>
      <c r="EJ56" s="107"/>
      <c r="EK56" s="107"/>
      <c r="EL56" s="107"/>
      <c r="EM56" s="107"/>
      <c r="EN56" s="107"/>
      <c r="EO56" s="107"/>
    </row>
    <row r="57" spans="1:145" x14ac:dyDescent="0.25">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c r="BC57" s="107"/>
      <c r="BD57" s="107"/>
      <c r="BE57" s="107"/>
      <c r="BF57" s="107"/>
      <c r="BG57" s="107"/>
      <c r="BH57" s="107"/>
      <c r="BI57" s="107"/>
      <c r="BJ57" s="107"/>
      <c r="BK57" s="107"/>
      <c r="BL57" s="107"/>
      <c r="BM57" s="107"/>
      <c r="BN57" s="107"/>
      <c r="BO57" s="107"/>
      <c r="BP57" s="107"/>
      <c r="BQ57" s="107"/>
      <c r="BR57" s="107"/>
      <c r="BS57" s="107"/>
      <c r="BT57" s="107"/>
      <c r="BU57" s="107"/>
      <c r="BV57" s="107"/>
      <c r="BW57" s="107"/>
      <c r="BX57" s="107"/>
      <c r="BY57" s="107"/>
      <c r="BZ57" s="107"/>
      <c r="CA57" s="107"/>
      <c r="CB57" s="107"/>
      <c r="CC57" s="107"/>
      <c r="CD57" s="107"/>
      <c r="CE57" s="107"/>
      <c r="CF57" s="107"/>
      <c r="CG57" s="107"/>
      <c r="CH57" s="107"/>
      <c r="CI57" s="107"/>
      <c r="CJ57" s="107"/>
      <c r="CK57" s="107"/>
      <c r="CL57" s="107"/>
      <c r="CM57" s="107"/>
      <c r="CN57" s="107"/>
      <c r="CO57" s="107"/>
      <c r="CP57" s="107"/>
      <c r="CQ57" s="107"/>
      <c r="CR57" s="107"/>
      <c r="CS57" s="107"/>
      <c r="CT57" s="107"/>
      <c r="CU57" s="107"/>
      <c r="CV57" s="107"/>
      <c r="CW57" s="107"/>
      <c r="CX57" s="107"/>
      <c r="CY57" s="107"/>
      <c r="CZ57" s="107"/>
      <c r="DA57" s="107"/>
      <c r="DB57" s="107"/>
      <c r="DC57" s="107"/>
      <c r="DD57" s="107"/>
      <c r="DE57" s="107"/>
      <c r="DF57" s="107"/>
      <c r="DG57" s="107"/>
      <c r="DH57" s="107"/>
      <c r="DI57" s="107"/>
      <c r="DJ57" s="107"/>
      <c r="DK57" s="107"/>
      <c r="DL57" s="107"/>
      <c r="DM57" s="107"/>
      <c r="DN57" s="107"/>
      <c r="DO57" s="107"/>
      <c r="DP57" s="107"/>
      <c r="DQ57" s="107"/>
      <c r="DR57" s="107"/>
      <c r="DS57" s="107"/>
      <c r="DT57" s="107"/>
      <c r="DU57" s="107"/>
      <c r="DV57" s="107"/>
      <c r="DW57" s="107"/>
      <c r="DX57" s="107"/>
      <c r="DY57" s="107"/>
      <c r="DZ57" s="107"/>
      <c r="EA57" s="107"/>
      <c r="EB57" s="107"/>
      <c r="EC57" s="107"/>
      <c r="ED57" s="107"/>
      <c r="EE57" s="107"/>
      <c r="EF57" s="107"/>
      <c r="EG57" s="107"/>
      <c r="EH57" s="107"/>
      <c r="EI57" s="107"/>
      <c r="EJ57" s="107"/>
      <c r="EK57" s="107"/>
      <c r="EL57" s="107"/>
      <c r="EM57" s="107"/>
      <c r="EN57" s="107"/>
      <c r="EO57" s="107"/>
    </row>
    <row r="58" spans="1:145" x14ac:dyDescent="0.25">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c r="BS58" s="107"/>
      <c r="BT58" s="107"/>
      <c r="BU58" s="107"/>
      <c r="BV58" s="107"/>
      <c r="BW58" s="107"/>
      <c r="BX58" s="107"/>
      <c r="BY58" s="107"/>
      <c r="BZ58" s="107"/>
      <c r="CA58" s="107"/>
      <c r="CB58" s="107"/>
      <c r="CC58" s="107"/>
      <c r="CD58" s="107"/>
      <c r="CE58" s="107"/>
      <c r="CF58" s="107"/>
      <c r="CG58" s="107"/>
      <c r="CH58" s="107"/>
      <c r="CI58" s="107"/>
      <c r="CJ58" s="107"/>
      <c r="CK58" s="107"/>
      <c r="CL58" s="107"/>
      <c r="CM58" s="107"/>
      <c r="CN58" s="107"/>
      <c r="CO58" s="107"/>
      <c r="CP58" s="107"/>
      <c r="CQ58" s="107"/>
      <c r="CR58" s="107"/>
      <c r="CS58" s="107"/>
      <c r="CT58" s="107"/>
      <c r="CU58" s="107"/>
      <c r="CV58" s="107"/>
      <c r="CW58" s="107"/>
      <c r="CX58" s="107"/>
      <c r="CY58" s="107"/>
      <c r="CZ58" s="107"/>
      <c r="DA58" s="107"/>
      <c r="DB58" s="107"/>
      <c r="DC58" s="107"/>
      <c r="DD58" s="107"/>
      <c r="DE58" s="107"/>
      <c r="DF58" s="107"/>
      <c r="DG58" s="107"/>
      <c r="DH58" s="107"/>
      <c r="DI58" s="107"/>
      <c r="DJ58" s="107"/>
      <c r="DK58" s="107"/>
      <c r="DL58" s="107"/>
      <c r="DM58" s="107"/>
      <c r="DN58" s="107"/>
      <c r="DO58" s="107"/>
      <c r="DP58" s="107"/>
      <c r="DQ58" s="107"/>
      <c r="DR58" s="107"/>
      <c r="DS58" s="107"/>
      <c r="DT58" s="107"/>
      <c r="DU58" s="107"/>
      <c r="DV58" s="107"/>
      <c r="DW58" s="107"/>
      <c r="DX58" s="107"/>
      <c r="DY58" s="107"/>
      <c r="DZ58" s="107"/>
      <c r="EA58" s="107"/>
      <c r="EB58" s="107"/>
      <c r="EC58" s="107"/>
      <c r="ED58" s="107"/>
      <c r="EE58" s="107"/>
      <c r="EF58" s="107"/>
      <c r="EG58" s="107"/>
      <c r="EH58" s="107"/>
      <c r="EI58" s="107"/>
      <c r="EJ58" s="107"/>
      <c r="EK58" s="107"/>
      <c r="EL58" s="107"/>
      <c r="EM58" s="107"/>
      <c r="EN58" s="107"/>
      <c r="EO58" s="107"/>
    </row>
    <row r="59" spans="1:145" x14ac:dyDescent="0.25">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c r="BS59" s="107"/>
      <c r="BT59" s="107"/>
      <c r="BU59" s="107"/>
      <c r="BV59" s="107"/>
      <c r="BW59" s="107"/>
      <c r="BX59" s="107"/>
      <c r="BY59" s="107"/>
      <c r="BZ59" s="107"/>
      <c r="CA59" s="107"/>
      <c r="CB59" s="107"/>
      <c r="CC59" s="107"/>
      <c r="CD59" s="107"/>
      <c r="CE59" s="107"/>
      <c r="CF59" s="107"/>
      <c r="CG59" s="107"/>
      <c r="CH59" s="107"/>
      <c r="CI59" s="107"/>
      <c r="CJ59" s="107"/>
      <c r="CK59" s="107"/>
      <c r="CL59" s="107"/>
      <c r="CM59" s="107"/>
      <c r="CN59" s="107"/>
      <c r="CO59" s="107"/>
      <c r="CP59" s="107"/>
      <c r="CQ59" s="107"/>
      <c r="CR59" s="107"/>
      <c r="CS59" s="107"/>
      <c r="CT59" s="107"/>
      <c r="CU59" s="107"/>
      <c r="CV59" s="107"/>
      <c r="CW59" s="107"/>
      <c r="CX59" s="107"/>
      <c r="CY59" s="107"/>
      <c r="CZ59" s="107"/>
      <c r="DA59" s="107"/>
      <c r="DB59" s="107"/>
      <c r="DC59" s="107"/>
      <c r="DD59" s="107"/>
      <c r="DE59" s="107"/>
      <c r="DF59" s="107"/>
      <c r="DG59" s="107"/>
      <c r="DH59" s="107"/>
      <c r="DI59" s="107"/>
      <c r="DJ59" s="107"/>
      <c r="DK59" s="107"/>
      <c r="DL59" s="107"/>
      <c r="DM59" s="107"/>
      <c r="DN59" s="107"/>
      <c r="DO59" s="107"/>
      <c r="DP59" s="107"/>
      <c r="DQ59" s="107"/>
      <c r="DR59" s="107"/>
      <c r="DS59" s="107"/>
      <c r="DT59" s="107"/>
      <c r="DU59" s="107"/>
      <c r="DV59" s="107"/>
      <c r="DW59" s="107"/>
      <c r="DX59" s="107"/>
      <c r="DY59" s="107"/>
      <c r="DZ59" s="107"/>
      <c r="EA59" s="107"/>
      <c r="EB59" s="107"/>
      <c r="EC59" s="107"/>
      <c r="ED59" s="107"/>
      <c r="EE59" s="107"/>
      <c r="EF59" s="107"/>
      <c r="EG59" s="107"/>
      <c r="EH59" s="107"/>
      <c r="EI59" s="107"/>
      <c r="EJ59" s="107"/>
      <c r="EK59" s="107"/>
      <c r="EL59" s="107"/>
      <c r="EM59" s="107"/>
      <c r="EN59" s="107"/>
      <c r="EO59" s="107"/>
    </row>
    <row r="60" spans="1:145" x14ac:dyDescent="0.25">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c r="DI60" s="107"/>
      <c r="DJ60" s="107"/>
      <c r="DK60" s="107"/>
      <c r="DL60" s="107"/>
      <c r="DM60" s="107"/>
      <c r="DN60" s="107"/>
      <c r="DO60" s="107"/>
      <c r="DP60" s="107"/>
      <c r="DQ60" s="107"/>
      <c r="DR60" s="107"/>
      <c r="DS60" s="107"/>
      <c r="DT60" s="107"/>
      <c r="DU60" s="107"/>
      <c r="DV60" s="107"/>
      <c r="DW60" s="107"/>
      <c r="DX60" s="107"/>
      <c r="DY60" s="107"/>
      <c r="DZ60" s="107"/>
      <c r="EA60" s="107"/>
      <c r="EB60" s="107"/>
      <c r="EC60" s="107"/>
      <c r="ED60" s="107"/>
      <c r="EE60" s="107"/>
      <c r="EF60" s="107"/>
      <c r="EG60" s="107"/>
      <c r="EH60" s="107"/>
      <c r="EI60" s="107"/>
      <c r="EJ60" s="107"/>
      <c r="EK60" s="107"/>
      <c r="EL60" s="107"/>
      <c r="EM60" s="107"/>
      <c r="EN60" s="107"/>
      <c r="EO60" s="107"/>
    </row>
    <row r="61" spans="1:145" x14ac:dyDescent="0.25">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c r="DI61" s="107"/>
      <c r="DJ61" s="107"/>
      <c r="DK61" s="107"/>
      <c r="DL61" s="107"/>
      <c r="DM61" s="107"/>
      <c r="DN61" s="107"/>
      <c r="DO61" s="107"/>
      <c r="DP61" s="107"/>
      <c r="DQ61" s="107"/>
      <c r="DR61" s="107"/>
      <c r="DS61" s="107"/>
      <c r="DT61" s="107"/>
      <c r="DU61" s="107"/>
      <c r="DV61" s="107"/>
      <c r="DW61" s="107"/>
      <c r="DX61" s="107"/>
      <c r="DY61" s="107"/>
      <c r="DZ61" s="107"/>
      <c r="EA61" s="107"/>
      <c r="EB61" s="107"/>
      <c r="EC61" s="107"/>
      <c r="ED61" s="107"/>
      <c r="EE61" s="107"/>
      <c r="EF61" s="107"/>
      <c r="EG61" s="107"/>
      <c r="EH61" s="107"/>
      <c r="EI61" s="107"/>
      <c r="EJ61" s="107"/>
      <c r="EK61" s="107"/>
      <c r="EL61" s="107"/>
      <c r="EM61" s="107"/>
      <c r="EN61" s="107"/>
      <c r="EO61" s="107"/>
    </row>
    <row r="62" spans="1:145" x14ac:dyDescent="0.25">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c r="DI62" s="107"/>
      <c r="DJ62" s="107"/>
      <c r="DK62" s="107"/>
      <c r="DL62" s="107"/>
      <c r="DM62" s="107"/>
      <c r="DN62" s="107"/>
      <c r="DO62" s="107"/>
      <c r="DP62" s="107"/>
      <c r="DQ62" s="107"/>
      <c r="DR62" s="107"/>
      <c r="DS62" s="107"/>
      <c r="DT62" s="107"/>
      <c r="DU62" s="107"/>
      <c r="DV62" s="107"/>
      <c r="DW62" s="107"/>
      <c r="DX62" s="107"/>
      <c r="DY62" s="107"/>
      <c r="DZ62" s="107"/>
      <c r="EA62" s="107"/>
      <c r="EB62" s="107"/>
      <c r="EC62" s="107"/>
      <c r="ED62" s="107"/>
      <c r="EE62" s="107"/>
      <c r="EF62" s="107"/>
      <c r="EG62" s="107"/>
      <c r="EH62" s="107"/>
      <c r="EI62" s="107"/>
      <c r="EJ62" s="107"/>
      <c r="EK62" s="107"/>
      <c r="EL62" s="107"/>
      <c r="EM62" s="107"/>
      <c r="EN62" s="107"/>
      <c r="EO62" s="107"/>
    </row>
    <row r="63" spans="1:145" x14ac:dyDescent="0.25">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c r="BS63" s="107"/>
      <c r="BT63" s="107"/>
      <c r="BU63" s="107"/>
      <c r="BV63" s="107"/>
      <c r="BW63" s="107"/>
      <c r="BX63" s="107"/>
      <c r="BY63" s="107"/>
      <c r="BZ63" s="107"/>
      <c r="CA63" s="107"/>
      <c r="CB63" s="107"/>
      <c r="CC63" s="107"/>
      <c r="CD63" s="107"/>
      <c r="CE63" s="107"/>
      <c r="CF63" s="107"/>
      <c r="CG63" s="107"/>
      <c r="CH63" s="107"/>
      <c r="CI63" s="107"/>
      <c r="CJ63" s="107"/>
      <c r="CK63" s="107"/>
      <c r="CL63" s="107"/>
      <c r="CM63" s="107"/>
      <c r="CN63" s="107"/>
      <c r="CO63" s="107"/>
      <c r="CP63" s="107"/>
      <c r="CQ63" s="107"/>
      <c r="CR63" s="107"/>
      <c r="CS63" s="107"/>
      <c r="CT63" s="107"/>
      <c r="CU63" s="107"/>
      <c r="CV63" s="107"/>
      <c r="CW63" s="107"/>
      <c r="CX63" s="107"/>
      <c r="CY63" s="107"/>
      <c r="CZ63" s="107"/>
      <c r="DA63" s="107"/>
      <c r="DB63" s="107"/>
      <c r="DC63" s="107"/>
      <c r="DD63" s="107"/>
      <c r="DE63" s="107"/>
      <c r="DF63" s="107"/>
      <c r="DG63" s="107"/>
      <c r="DH63" s="107"/>
      <c r="DI63" s="107"/>
      <c r="DJ63" s="107"/>
      <c r="DK63" s="107"/>
      <c r="DL63" s="107"/>
      <c r="DM63" s="107"/>
      <c r="DN63" s="107"/>
      <c r="DO63" s="107"/>
      <c r="DP63" s="107"/>
      <c r="DQ63" s="107"/>
      <c r="DR63" s="107"/>
      <c r="DS63" s="107"/>
      <c r="DT63" s="107"/>
      <c r="DU63" s="107"/>
      <c r="DV63" s="107"/>
      <c r="DW63" s="107"/>
      <c r="DX63" s="107"/>
      <c r="DY63" s="107"/>
      <c r="DZ63" s="107"/>
      <c r="EA63" s="107"/>
      <c r="EB63" s="107"/>
      <c r="EC63" s="107"/>
      <c r="ED63" s="107"/>
      <c r="EE63" s="107"/>
      <c r="EF63" s="107"/>
      <c r="EG63" s="107"/>
      <c r="EH63" s="107"/>
      <c r="EI63" s="107"/>
      <c r="EJ63" s="107"/>
      <c r="EK63" s="107"/>
      <c r="EL63" s="107"/>
      <c r="EM63" s="107"/>
      <c r="EN63" s="107"/>
      <c r="EO63" s="107"/>
    </row>
    <row r="64" spans="1:145" x14ac:dyDescent="0.25">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c r="BS64" s="107"/>
      <c r="BT64" s="107"/>
      <c r="BU64" s="107"/>
      <c r="BV64" s="107"/>
      <c r="BW64" s="107"/>
      <c r="BX64" s="107"/>
      <c r="BY64" s="107"/>
      <c r="BZ64" s="107"/>
      <c r="CA64" s="107"/>
      <c r="CB64" s="107"/>
      <c r="CC64" s="107"/>
      <c r="CD64" s="107"/>
      <c r="CE64" s="107"/>
      <c r="CF64" s="107"/>
      <c r="CG64" s="107"/>
      <c r="CH64" s="107"/>
      <c r="CI64" s="107"/>
      <c r="CJ64" s="107"/>
      <c r="CK64" s="107"/>
      <c r="CL64" s="107"/>
      <c r="CM64" s="107"/>
      <c r="CN64" s="107"/>
      <c r="CO64" s="107"/>
      <c r="CP64" s="107"/>
      <c r="CQ64" s="107"/>
      <c r="CR64" s="107"/>
      <c r="CS64" s="107"/>
      <c r="CT64" s="107"/>
      <c r="CU64" s="107"/>
      <c r="CV64" s="107"/>
      <c r="CW64" s="107"/>
      <c r="CX64" s="107"/>
      <c r="CY64" s="107"/>
      <c r="CZ64" s="107"/>
      <c r="DA64" s="107"/>
      <c r="DB64" s="107"/>
      <c r="DC64" s="107"/>
      <c r="DD64" s="107"/>
      <c r="DE64" s="107"/>
      <c r="DF64" s="107"/>
      <c r="DG64" s="107"/>
      <c r="DH64" s="107"/>
      <c r="DI64" s="107"/>
      <c r="DJ64" s="107"/>
      <c r="DK64" s="107"/>
      <c r="DL64" s="107"/>
      <c r="DM64" s="107"/>
      <c r="DN64" s="107"/>
      <c r="DO64" s="107"/>
      <c r="DP64" s="107"/>
      <c r="DQ64" s="107"/>
      <c r="DR64" s="107"/>
      <c r="DS64" s="107"/>
      <c r="DT64" s="107"/>
      <c r="DU64" s="107"/>
      <c r="DV64" s="107"/>
      <c r="DW64" s="107"/>
      <c r="DX64" s="107"/>
      <c r="DY64" s="107"/>
      <c r="DZ64" s="107"/>
      <c r="EA64" s="107"/>
      <c r="EB64" s="107"/>
      <c r="EC64" s="107"/>
      <c r="ED64" s="107"/>
      <c r="EE64" s="107"/>
      <c r="EF64" s="107"/>
      <c r="EG64" s="107"/>
      <c r="EH64" s="107"/>
      <c r="EI64" s="107"/>
      <c r="EJ64" s="107"/>
      <c r="EK64" s="107"/>
      <c r="EL64" s="107"/>
      <c r="EM64" s="107"/>
      <c r="EN64" s="107"/>
      <c r="EO64" s="107"/>
    </row>
    <row r="65" spans="1:145" x14ac:dyDescent="0.25">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c r="BS65" s="107"/>
      <c r="BT65" s="107"/>
      <c r="BU65" s="107"/>
      <c r="BV65" s="107"/>
      <c r="BW65" s="107"/>
      <c r="BX65" s="107"/>
      <c r="BY65" s="107"/>
      <c r="BZ65" s="107"/>
      <c r="CA65" s="107"/>
      <c r="CB65" s="107"/>
      <c r="CC65" s="107"/>
      <c r="CD65" s="107"/>
      <c r="CE65" s="107"/>
      <c r="CF65" s="107"/>
      <c r="CG65" s="107"/>
      <c r="CH65" s="107"/>
      <c r="CI65" s="107"/>
      <c r="CJ65" s="107"/>
      <c r="CK65" s="107"/>
      <c r="CL65" s="107"/>
      <c r="CM65" s="107"/>
      <c r="CN65" s="107"/>
      <c r="CO65" s="107"/>
      <c r="CP65" s="107"/>
      <c r="CQ65" s="107"/>
      <c r="CR65" s="107"/>
      <c r="CS65" s="107"/>
      <c r="CT65" s="107"/>
      <c r="CU65" s="107"/>
      <c r="CV65" s="107"/>
      <c r="CW65" s="107"/>
      <c r="CX65" s="107"/>
      <c r="CY65" s="107"/>
      <c r="CZ65" s="107"/>
      <c r="DA65" s="107"/>
      <c r="DB65" s="107"/>
      <c r="DC65" s="107"/>
      <c r="DD65" s="107"/>
      <c r="DE65" s="107"/>
      <c r="DF65" s="107"/>
      <c r="DG65" s="107"/>
      <c r="DH65" s="107"/>
      <c r="DI65" s="107"/>
      <c r="DJ65" s="107"/>
      <c r="DK65" s="107"/>
      <c r="DL65" s="107"/>
      <c r="DM65" s="107"/>
      <c r="DN65" s="107"/>
      <c r="DO65" s="107"/>
      <c r="DP65" s="107"/>
      <c r="DQ65" s="107"/>
      <c r="DR65" s="107"/>
      <c r="DS65" s="107"/>
      <c r="DT65" s="107"/>
      <c r="DU65" s="107"/>
      <c r="DV65" s="107"/>
      <c r="DW65" s="107"/>
      <c r="DX65" s="107"/>
      <c r="DY65" s="107"/>
      <c r="DZ65" s="107"/>
      <c r="EA65" s="107"/>
      <c r="EB65" s="107"/>
      <c r="EC65" s="107"/>
      <c r="ED65" s="107"/>
      <c r="EE65" s="107"/>
      <c r="EF65" s="107"/>
      <c r="EG65" s="107"/>
      <c r="EH65" s="107"/>
      <c r="EI65" s="107"/>
      <c r="EJ65" s="107"/>
      <c r="EK65" s="107"/>
      <c r="EL65" s="107"/>
      <c r="EM65" s="107"/>
      <c r="EN65" s="107"/>
      <c r="EO65" s="107"/>
    </row>
    <row r="66" spans="1:145" x14ac:dyDescent="0.25">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c r="BS66" s="107"/>
      <c r="BT66" s="107"/>
      <c r="BU66" s="107"/>
      <c r="BV66" s="107"/>
      <c r="BW66" s="107"/>
      <c r="BX66" s="107"/>
      <c r="BY66" s="107"/>
      <c r="BZ66" s="107"/>
      <c r="CA66" s="107"/>
      <c r="CB66" s="107"/>
      <c r="CC66" s="107"/>
      <c r="CD66" s="107"/>
      <c r="CE66" s="107"/>
      <c r="CF66" s="107"/>
      <c r="CG66" s="107"/>
      <c r="CH66" s="107"/>
      <c r="CI66" s="107"/>
      <c r="CJ66" s="107"/>
      <c r="CK66" s="107"/>
      <c r="CL66" s="107"/>
      <c r="CM66" s="107"/>
      <c r="CN66" s="107"/>
      <c r="CO66" s="107"/>
      <c r="CP66" s="107"/>
      <c r="CQ66" s="107"/>
      <c r="CR66" s="107"/>
      <c r="CS66" s="107"/>
      <c r="CT66" s="107"/>
      <c r="CU66" s="107"/>
      <c r="CV66" s="107"/>
      <c r="CW66" s="107"/>
      <c r="CX66" s="107"/>
      <c r="CY66" s="107"/>
      <c r="CZ66" s="107"/>
      <c r="DA66" s="107"/>
      <c r="DB66" s="107"/>
      <c r="DC66" s="107"/>
      <c r="DD66" s="107"/>
      <c r="DE66" s="107"/>
      <c r="DF66" s="107"/>
      <c r="DG66" s="107"/>
      <c r="DH66" s="107"/>
      <c r="DI66" s="107"/>
      <c r="DJ66" s="107"/>
      <c r="DK66" s="107"/>
      <c r="DL66" s="107"/>
      <c r="DM66" s="107"/>
      <c r="DN66" s="107"/>
      <c r="DO66" s="107"/>
      <c r="DP66" s="107"/>
      <c r="DQ66" s="107"/>
      <c r="DR66" s="107"/>
      <c r="DS66" s="107"/>
      <c r="DT66" s="107"/>
      <c r="DU66" s="107"/>
      <c r="DV66" s="107"/>
      <c r="DW66" s="107"/>
      <c r="DX66" s="107"/>
      <c r="DY66" s="107"/>
      <c r="DZ66" s="107"/>
      <c r="EA66" s="107"/>
      <c r="EB66" s="107"/>
      <c r="EC66" s="107"/>
      <c r="ED66" s="107"/>
      <c r="EE66" s="107"/>
      <c r="EF66" s="107"/>
      <c r="EG66" s="107"/>
      <c r="EH66" s="107"/>
      <c r="EI66" s="107"/>
      <c r="EJ66" s="107"/>
      <c r="EK66" s="107"/>
      <c r="EL66" s="107"/>
      <c r="EM66" s="107"/>
      <c r="EN66" s="107"/>
      <c r="EO66" s="107"/>
    </row>
    <row r="67" spans="1:145" x14ac:dyDescent="0.25">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c r="BS67" s="107"/>
      <c r="BT67" s="107"/>
      <c r="BU67" s="107"/>
      <c r="BV67" s="107"/>
      <c r="BW67" s="107"/>
      <c r="BX67" s="107"/>
      <c r="BY67" s="107"/>
      <c r="BZ67" s="107"/>
      <c r="CA67" s="107"/>
      <c r="CB67" s="107"/>
      <c r="CC67" s="107"/>
      <c r="CD67" s="107"/>
      <c r="CE67" s="107"/>
      <c r="CF67" s="107"/>
      <c r="CG67" s="107"/>
      <c r="CH67" s="107"/>
      <c r="CI67" s="107"/>
      <c r="CJ67" s="107"/>
      <c r="CK67" s="107"/>
      <c r="CL67" s="107"/>
      <c r="CM67" s="107"/>
      <c r="CN67" s="107"/>
      <c r="CO67" s="107"/>
      <c r="CP67" s="107"/>
      <c r="CQ67" s="107"/>
      <c r="CR67" s="107"/>
      <c r="CS67" s="107"/>
      <c r="CT67" s="107"/>
      <c r="CU67" s="107"/>
      <c r="CV67" s="107"/>
      <c r="CW67" s="107"/>
      <c r="CX67" s="107"/>
      <c r="CY67" s="107"/>
      <c r="CZ67" s="107"/>
      <c r="DA67" s="107"/>
      <c r="DB67" s="107"/>
      <c r="DC67" s="107"/>
      <c r="DD67" s="107"/>
      <c r="DE67" s="107"/>
      <c r="DF67" s="107"/>
      <c r="DG67" s="107"/>
      <c r="DH67" s="107"/>
      <c r="DI67" s="107"/>
      <c r="DJ67" s="107"/>
      <c r="DK67" s="107"/>
      <c r="DL67" s="107"/>
      <c r="DM67" s="107"/>
      <c r="DN67" s="107"/>
      <c r="DO67" s="107"/>
      <c r="DP67" s="107"/>
      <c r="DQ67" s="107"/>
      <c r="DR67" s="107"/>
      <c r="DS67" s="107"/>
      <c r="DT67" s="107"/>
      <c r="DU67" s="107"/>
      <c r="DV67" s="107"/>
      <c r="DW67" s="107"/>
      <c r="DX67" s="107"/>
      <c r="DY67" s="107"/>
      <c r="DZ67" s="107"/>
      <c r="EA67" s="107"/>
      <c r="EB67" s="107"/>
      <c r="EC67" s="107"/>
      <c r="ED67" s="107"/>
      <c r="EE67" s="107"/>
      <c r="EF67" s="107"/>
      <c r="EG67" s="107"/>
      <c r="EH67" s="107"/>
      <c r="EI67" s="107"/>
      <c r="EJ67" s="107"/>
      <c r="EK67" s="107"/>
      <c r="EL67" s="107"/>
      <c r="EM67" s="107"/>
      <c r="EN67" s="107"/>
      <c r="EO67" s="107"/>
    </row>
    <row r="68" spans="1:145" x14ac:dyDescent="0.25">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c r="BS68" s="107"/>
      <c r="BT68" s="107"/>
      <c r="BU68" s="107"/>
      <c r="BV68" s="107"/>
      <c r="BW68" s="107"/>
      <c r="BX68" s="107"/>
      <c r="BY68" s="107"/>
      <c r="BZ68" s="107"/>
      <c r="CA68" s="107"/>
      <c r="CB68" s="107"/>
      <c r="CC68" s="107"/>
      <c r="CD68" s="107"/>
      <c r="CE68" s="107"/>
      <c r="CF68" s="107"/>
      <c r="CG68" s="107"/>
      <c r="CH68" s="107"/>
      <c r="CI68" s="107"/>
      <c r="CJ68" s="107"/>
      <c r="CK68" s="107"/>
      <c r="CL68" s="107"/>
      <c r="CM68" s="107"/>
      <c r="CN68" s="107"/>
      <c r="CO68" s="107"/>
      <c r="CP68" s="107"/>
      <c r="CQ68" s="107"/>
      <c r="CR68" s="107"/>
      <c r="CS68" s="107"/>
      <c r="CT68" s="107"/>
      <c r="CU68" s="107"/>
      <c r="CV68" s="107"/>
      <c r="CW68" s="107"/>
      <c r="CX68" s="107"/>
      <c r="CY68" s="107"/>
      <c r="CZ68" s="107"/>
      <c r="DA68" s="107"/>
      <c r="DB68" s="107"/>
      <c r="DC68" s="107"/>
      <c r="DD68" s="107"/>
      <c r="DE68" s="107"/>
      <c r="DF68" s="107"/>
      <c r="DG68" s="107"/>
      <c r="DH68" s="107"/>
      <c r="DI68" s="107"/>
      <c r="DJ68" s="107"/>
      <c r="DK68" s="107"/>
      <c r="DL68" s="107"/>
      <c r="DM68" s="107"/>
      <c r="DN68" s="107"/>
      <c r="DO68" s="107"/>
      <c r="DP68" s="107"/>
      <c r="DQ68" s="107"/>
      <c r="DR68" s="107"/>
      <c r="DS68" s="107"/>
      <c r="DT68" s="107"/>
      <c r="DU68" s="107"/>
      <c r="DV68" s="107"/>
      <c r="DW68" s="107"/>
      <c r="DX68" s="107"/>
      <c r="DY68" s="107"/>
      <c r="DZ68" s="107"/>
      <c r="EA68" s="107"/>
      <c r="EB68" s="107"/>
      <c r="EC68" s="107"/>
      <c r="ED68" s="107"/>
      <c r="EE68" s="107"/>
      <c r="EF68" s="107"/>
      <c r="EG68" s="107"/>
      <c r="EH68" s="107"/>
      <c r="EI68" s="107"/>
      <c r="EJ68" s="107"/>
      <c r="EK68" s="107"/>
      <c r="EL68" s="107"/>
      <c r="EM68" s="107"/>
      <c r="EN68" s="107"/>
      <c r="EO68" s="107"/>
    </row>
    <row r="69" spans="1:145" x14ac:dyDescent="0.25">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c r="BS69" s="107"/>
      <c r="BT69" s="107"/>
      <c r="BU69" s="107"/>
      <c r="BV69" s="107"/>
      <c r="BW69" s="107"/>
      <c r="BX69" s="107"/>
      <c r="BY69" s="107"/>
      <c r="BZ69" s="107"/>
      <c r="CA69" s="107"/>
      <c r="CB69" s="107"/>
      <c r="CC69" s="107"/>
      <c r="CD69" s="107"/>
      <c r="CE69" s="107"/>
      <c r="CF69" s="107"/>
      <c r="CG69" s="107"/>
      <c r="CH69" s="107"/>
      <c r="CI69" s="107"/>
      <c r="CJ69" s="107"/>
      <c r="CK69" s="107"/>
      <c r="CL69" s="107"/>
      <c r="CM69" s="107"/>
      <c r="CN69" s="107"/>
      <c r="CO69" s="107"/>
      <c r="CP69" s="107"/>
      <c r="CQ69" s="107"/>
      <c r="CR69" s="107"/>
      <c r="CS69" s="107"/>
      <c r="CT69" s="107"/>
      <c r="CU69" s="107"/>
      <c r="CV69" s="107"/>
      <c r="CW69" s="107"/>
      <c r="CX69" s="107"/>
      <c r="CY69" s="107"/>
      <c r="CZ69" s="107"/>
      <c r="DA69" s="107"/>
      <c r="DB69" s="107"/>
      <c r="DC69" s="107"/>
      <c r="DD69" s="107"/>
      <c r="DE69" s="107"/>
      <c r="DF69" s="107"/>
      <c r="DG69" s="107"/>
      <c r="DH69" s="107"/>
      <c r="DI69" s="107"/>
      <c r="DJ69" s="107"/>
      <c r="DK69" s="107"/>
      <c r="DL69" s="107"/>
      <c r="DM69" s="107"/>
      <c r="DN69" s="107"/>
      <c r="DO69" s="107"/>
      <c r="DP69" s="107"/>
      <c r="DQ69" s="107"/>
      <c r="DR69" s="107"/>
      <c r="DS69" s="107"/>
      <c r="DT69" s="107"/>
      <c r="DU69" s="107"/>
      <c r="DV69" s="107"/>
      <c r="DW69" s="107"/>
      <c r="DX69" s="107"/>
      <c r="DY69" s="107"/>
      <c r="DZ69" s="107"/>
      <c r="EA69" s="107"/>
      <c r="EB69" s="107"/>
      <c r="EC69" s="107"/>
      <c r="ED69" s="107"/>
      <c r="EE69" s="107"/>
      <c r="EF69" s="107"/>
      <c r="EG69" s="107"/>
      <c r="EH69" s="107"/>
      <c r="EI69" s="107"/>
      <c r="EJ69" s="107"/>
      <c r="EK69" s="107"/>
      <c r="EL69" s="107"/>
      <c r="EM69" s="107"/>
      <c r="EN69" s="107"/>
      <c r="EO69" s="107"/>
    </row>
    <row r="70" spans="1:145" x14ac:dyDescent="0.25">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c r="BS70" s="107"/>
      <c r="BT70" s="107"/>
      <c r="BU70" s="107"/>
      <c r="BV70" s="107"/>
      <c r="BW70" s="107"/>
      <c r="BX70" s="107"/>
      <c r="BY70" s="107"/>
      <c r="BZ70" s="107"/>
      <c r="CA70" s="107"/>
      <c r="CB70" s="107"/>
      <c r="CC70" s="107"/>
      <c r="CD70" s="107"/>
      <c r="CE70" s="107"/>
      <c r="CF70" s="107"/>
      <c r="CG70" s="107"/>
      <c r="CH70" s="107"/>
      <c r="CI70" s="107"/>
      <c r="CJ70" s="107"/>
      <c r="CK70" s="107"/>
      <c r="CL70" s="107"/>
      <c r="CM70" s="107"/>
      <c r="CN70" s="107"/>
      <c r="CO70" s="107"/>
      <c r="CP70" s="107"/>
      <c r="CQ70" s="107"/>
      <c r="CR70" s="107"/>
      <c r="CS70" s="107"/>
      <c r="CT70" s="107"/>
      <c r="CU70" s="107"/>
      <c r="CV70" s="107"/>
      <c r="CW70" s="107"/>
      <c r="CX70" s="107"/>
      <c r="CY70" s="107"/>
      <c r="CZ70" s="107"/>
      <c r="DA70" s="107"/>
      <c r="DB70" s="107"/>
      <c r="DC70" s="107"/>
      <c r="DD70" s="107"/>
      <c r="DE70" s="107"/>
      <c r="DF70" s="107"/>
      <c r="DG70" s="107"/>
      <c r="DH70" s="107"/>
      <c r="DI70" s="107"/>
      <c r="DJ70" s="107"/>
      <c r="DK70" s="107"/>
      <c r="DL70" s="107"/>
      <c r="DM70" s="107"/>
      <c r="DN70" s="107"/>
      <c r="DO70" s="107"/>
      <c r="DP70" s="107"/>
      <c r="DQ70" s="107"/>
      <c r="DR70" s="107"/>
      <c r="DS70" s="107"/>
      <c r="DT70" s="107"/>
      <c r="DU70" s="107"/>
      <c r="DV70" s="107"/>
      <c r="DW70" s="107"/>
      <c r="DX70" s="107"/>
      <c r="DY70" s="107"/>
      <c r="DZ70" s="107"/>
      <c r="EA70" s="107"/>
      <c r="EB70" s="107"/>
      <c r="EC70" s="107"/>
      <c r="ED70" s="107"/>
      <c r="EE70" s="107"/>
      <c r="EF70" s="107"/>
      <c r="EG70" s="107"/>
      <c r="EH70" s="107"/>
      <c r="EI70" s="107"/>
      <c r="EJ70" s="107"/>
      <c r="EK70" s="107"/>
      <c r="EL70" s="107"/>
      <c r="EM70" s="107"/>
      <c r="EN70" s="107"/>
      <c r="EO70" s="107"/>
    </row>
    <row r="71" spans="1:145" x14ac:dyDescent="0.25">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c r="BC71" s="107"/>
      <c r="BD71" s="107"/>
      <c r="BE71" s="107"/>
      <c r="BF71" s="107"/>
      <c r="BG71" s="107"/>
      <c r="BH71" s="107"/>
      <c r="BI71" s="107"/>
      <c r="BJ71" s="107"/>
      <c r="BK71" s="107"/>
      <c r="BL71" s="107"/>
      <c r="BM71" s="107"/>
      <c r="BN71" s="107"/>
      <c r="BO71" s="107"/>
      <c r="BP71" s="107"/>
      <c r="BQ71" s="107"/>
      <c r="BR71" s="107"/>
      <c r="BS71" s="107"/>
      <c r="BT71" s="107"/>
      <c r="BU71" s="107"/>
      <c r="BV71" s="107"/>
      <c r="BW71" s="107"/>
      <c r="BX71" s="107"/>
      <c r="BY71" s="107"/>
      <c r="BZ71" s="107"/>
      <c r="CA71" s="107"/>
      <c r="CB71" s="107"/>
      <c r="CC71" s="107"/>
      <c r="CD71" s="107"/>
      <c r="CE71" s="107"/>
      <c r="CF71" s="107"/>
      <c r="CG71" s="107"/>
      <c r="CH71" s="107"/>
      <c r="CI71" s="107"/>
      <c r="CJ71" s="107"/>
      <c r="CK71" s="107"/>
      <c r="CL71" s="107"/>
      <c r="CM71" s="107"/>
      <c r="CN71" s="107"/>
      <c r="CO71" s="107"/>
      <c r="CP71" s="107"/>
      <c r="CQ71" s="107"/>
      <c r="CR71" s="107"/>
      <c r="CS71" s="107"/>
      <c r="CT71" s="107"/>
      <c r="CU71" s="107"/>
      <c r="CV71" s="107"/>
      <c r="CW71" s="107"/>
      <c r="CX71" s="107"/>
      <c r="CY71" s="107"/>
      <c r="CZ71" s="107"/>
      <c r="DA71" s="107"/>
      <c r="DB71" s="107"/>
      <c r="DC71" s="107"/>
      <c r="DD71" s="107"/>
      <c r="DE71" s="107"/>
      <c r="DF71" s="107"/>
      <c r="DG71" s="107"/>
      <c r="DH71" s="107"/>
      <c r="DI71" s="107"/>
      <c r="DJ71" s="107"/>
      <c r="DK71" s="107"/>
      <c r="DL71" s="107"/>
      <c r="DM71" s="107"/>
      <c r="DN71" s="107"/>
      <c r="DO71" s="107"/>
      <c r="DP71" s="107"/>
      <c r="DQ71" s="107"/>
      <c r="DR71" s="107"/>
      <c r="DS71" s="107"/>
      <c r="DT71" s="107"/>
      <c r="DU71" s="107"/>
      <c r="DV71" s="107"/>
      <c r="DW71" s="107"/>
      <c r="DX71" s="107"/>
      <c r="DY71" s="107"/>
      <c r="DZ71" s="107"/>
      <c r="EA71" s="107"/>
      <c r="EB71" s="107"/>
      <c r="EC71" s="107"/>
      <c r="ED71" s="107"/>
      <c r="EE71" s="107"/>
      <c r="EF71" s="107"/>
      <c r="EG71" s="107"/>
      <c r="EH71" s="107"/>
      <c r="EI71" s="107"/>
      <c r="EJ71" s="107"/>
      <c r="EK71" s="107"/>
      <c r="EL71" s="107"/>
      <c r="EM71" s="107"/>
      <c r="EN71" s="107"/>
      <c r="EO71" s="107"/>
    </row>
    <row r="72" spans="1:145" x14ac:dyDescent="0.25">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c r="BS72" s="107"/>
      <c r="BT72" s="107"/>
      <c r="BU72" s="107"/>
      <c r="BV72" s="107"/>
      <c r="BW72" s="107"/>
      <c r="BX72" s="107"/>
      <c r="BY72" s="107"/>
      <c r="BZ72" s="107"/>
      <c r="CA72" s="107"/>
      <c r="CB72" s="107"/>
      <c r="CC72" s="107"/>
      <c r="CD72" s="107"/>
      <c r="CE72" s="107"/>
      <c r="CF72" s="107"/>
      <c r="CG72" s="107"/>
      <c r="CH72" s="107"/>
      <c r="CI72" s="107"/>
      <c r="CJ72" s="107"/>
      <c r="CK72" s="107"/>
      <c r="CL72" s="107"/>
      <c r="CM72" s="107"/>
      <c r="CN72" s="107"/>
      <c r="CO72" s="107"/>
      <c r="CP72" s="107"/>
      <c r="CQ72" s="107"/>
      <c r="CR72" s="107"/>
      <c r="CS72" s="107"/>
      <c r="CT72" s="107"/>
      <c r="CU72" s="107"/>
      <c r="CV72" s="107"/>
      <c r="CW72" s="107"/>
      <c r="CX72" s="107"/>
      <c r="CY72" s="107"/>
      <c r="CZ72" s="107"/>
      <c r="DA72" s="107"/>
      <c r="DB72" s="107"/>
      <c r="DC72" s="107"/>
      <c r="DD72" s="107"/>
      <c r="DE72" s="107"/>
      <c r="DF72" s="107"/>
      <c r="DG72" s="107"/>
      <c r="DH72" s="107"/>
      <c r="DI72" s="107"/>
      <c r="DJ72" s="107"/>
      <c r="DK72" s="107"/>
      <c r="DL72" s="107"/>
      <c r="DM72" s="107"/>
      <c r="DN72" s="107"/>
      <c r="DO72" s="107"/>
      <c r="DP72" s="107"/>
      <c r="DQ72" s="107"/>
      <c r="DR72" s="107"/>
      <c r="DS72" s="107"/>
      <c r="DT72" s="107"/>
      <c r="DU72" s="107"/>
      <c r="DV72" s="107"/>
      <c r="DW72" s="107"/>
      <c r="DX72" s="107"/>
      <c r="DY72" s="107"/>
      <c r="DZ72" s="107"/>
      <c r="EA72" s="107"/>
      <c r="EB72" s="107"/>
      <c r="EC72" s="107"/>
      <c r="ED72" s="107"/>
      <c r="EE72" s="107"/>
      <c r="EF72" s="107"/>
      <c r="EG72" s="107"/>
      <c r="EH72" s="107"/>
      <c r="EI72" s="107"/>
      <c r="EJ72" s="107"/>
      <c r="EK72" s="107"/>
      <c r="EL72" s="107"/>
      <c r="EM72" s="107"/>
      <c r="EN72" s="107"/>
      <c r="EO72" s="107"/>
    </row>
    <row r="73" spans="1:145" x14ac:dyDescent="0.25">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c r="BS73" s="107"/>
      <c r="BT73" s="107"/>
      <c r="BU73" s="107"/>
      <c r="BV73" s="107"/>
      <c r="BW73" s="107"/>
      <c r="BX73" s="107"/>
      <c r="BY73" s="107"/>
      <c r="BZ73" s="107"/>
      <c r="CA73" s="107"/>
      <c r="CB73" s="107"/>
      <c r="CC73" s="107"/>
      <c r="CD73" s="107"/>
      <c r="CE73" s="107"/>
      <c r="CF73" s="107"/>
      <c r="CG73" s="107"/>
      <c r="CH73" s="107"/>
      <c r="CI73" s="107"/>
      <c r="CJ73" s="107"/>
      <c r="CK73" s="107"/>
      <c r="CL73" s="107"/>
      <c r="CM73" s="107"/>
      <c r="CN73" s="107"/>
      <c r="CO73" s="107"/>
      <c r="CP73" s="107"/>
      <c r="CQ73" s="107"/>
      <c r="CR73" s="107"/>
      <c r="CS73" s="107"/>
      <c r="CT73" s="107"/>
      <c r="CU73" s="107"/>
      <c r="CV73" s="107"/>
      <c r="CW73" s="107"/>
      <c r="CX73" s="107"/>
      <c r="CY73" s="107"/>
      <c r="CZ73" s="107"/>
      <c r="DA73" s="107"/>
      <c r="DB73" s="107"/>
      <c r="DC73" s="107"/>
      <c r="DD73" s="107"/>
      <c r="DE73" s="107"/>
      <c r="DF73" s="107"/>
      <c r="DG73" s="107"/>
      <c r="DH73" s="107"/>
      <c r="DI73" s="107"/>
      <c r="DJ73" s="107"/>
      <c r="DK73" s="107"/>
      <c r="DL73" s="107"/>
      <c r="DM73" s="107"/>
      <c r="DN73" s="107"/>
      <c r="DO73" s="107"/>
      <c r="DP73" s="107"/>
      <c r="DQ73" s="107"/>
      <c r="DR73" s="107"/>
      <c r="DS73" s="107"/>
      <c r="DT73" s="107"/>
      <c r="DU73" s="107"/>
      <c r="DV73" s="107"/>
      <c r="DW73" s="107"/>
      <c r="DX73" s="107"/>
      <c r="DY73" s="107"/>
      <c r="DZ73" s="107"/>
      <c r="EA73" s="107"/>
      <c r="EB73" s="107"/>
      <c r="EC73" s="107"/>
      <c r="ED73" s="107"/>
      <c r="EE73" s="107"/>
      <c r="EF73" s="107"/>
      <c r="EG73" s="107"/>
      <c r="EH73" s="107"/>
      <c r="EI73" s="107"/>
      <c r="EJ73" s="107"/>
      <c r="EK73" s="107"/>
      <c r="EL73" s="107"/>
      <c r="EM73" s="107"/>
      <c r="EN73" s="107"/>
      <c r="EO73" s="107"/>
    </row>
    <row r="74" spans="1:145" x14ac:dyDescent="0.25">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c r="BS74" s="107"/>
      <c r="BT74" s="107"/>
      <c r="BU74" s="107"/>
      <c r="BV74" s="107"/>
      <c r="BW74" s="107"/>
      <c r="BX74" s="107"/>
      <c r="BY74" s="107"/>
      <c r="BZ74" s="107"/>
      <c r="CA74" s="107"/>
      <c r="CB74" s="107"/>
      <c r="CC74" s="107"/>
      <c r="CD74" s="107"/>
      <c r="CE74" s="107"/>
      <c r="CF74" s="107"/>
      <c r="CG74" s="107"/>
      <c r="CH74" s="107"/>
      <c r="CI74" s="107"/>
      <c r="CJ74" s="107"/>
      <c r="CK74" s="107"/>
      <c r="CL74" s="107"/>
      <c r="CM74" s="107"/>
      <c r="CN74" s="107"/>
      <c r="CO74" s="107"/>
      <c r="CP74" s="107"/>
      <c r="CQ74" s="107"/>
      <c r="CR74" s="107"/>
      <c r="CS74" s="107"/>
      <c r="CT74" s="107"/>
      <c r="CU74" s="107"/>
      <c r="CV74" s="107"/>
      <c r="CW74" s="107"/>
      <c r="CX74" s="107"/>
      <c r="CY74" s="107"/>
      <c r="CZ74" s="107"/>
      <c r="DA74" s="107"/>
      <c r="DB74" s="107"/>
      <c r="DC74" s="107"/>
      <c r="DD74" s="107"/>
      <c r="DE74" s="107"/>
      <c r="DF74" s="107"/>
      <c r="DG74" s="107"/>
      <c r="DH74" s="107"/>
      <c r="DI74" s="107"/>
      <c r="DJ74" s="107"/>
      <c r="DK74" s="107"/>
      <c r="DL74" s="107"/>
      <c r="DM74" s="107"/>
      <c r="DN74" s="107"/>
      <c r="DO74" s="107"/>
      <c r="DP74" s="107"/>
      <c r="DQ74" s="107"/>
      <c r="DR74" s="107"/>
      <c r="DS74" s="107"/>
      <c r="DT74" s="107"/>
      <c r="DU74" s="107"/>
      <c r="DV74" s="107"/>
      <c r="DW74" s="107"/>
      <c r="DX74" s="107"/>
      <c r="DY74" s="107"/>
      <c r="DZ74" s="107"/>
      <c r="EA74" s="107"/>
      <c r="EB74" s="107"/>
      <c r="EC74" s="107"/>
      <c r="ED74" s="107"/>
      <c r="EE74" s="107"/>
      <c r="EF74" s="107"/>
      <c r="EG74" s="107"/>
      <c r="EH74" s="107"/>
      <c r="EI74" s="107"/>
      <c r="EJ74" s="107"/>
      <c r="EK74" s="107"/>
      <c r="EL74" s="107"/>
      <c r="EM74" s="107"/>
      <c r="EN74" s="107"/>
      <c r="EO74" s="107"/>
    </row>
    <row r="75" spans="1:145" x14ac:dyDescent="0.25">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c r="BS75" s="107"/>
      <c r="BT75" s="107"/>
      <c r="BU75" s="107"/>
      <c r="BV75" s="107"/>
      <c r="BW75" s="107"/>
      <c r="BX75" s="107"/>
      <c r="BY75" s="107"/>
      <c r="BZ75" s="107"/>
      <c r="CA75" s="107"/>
      <c r="CB75" s="107"/>
      <c r="CC75" s="107"/>
      <c r="CD75" s="107"/>
      <c r="CE75" s="107"/>
      <c r="CF75" s="107"/>
      <c r="CG75" s="107"/>
      <c r="CH75" s="107"/>
      <c r="CI75" s="107"/>
      <c r="CJ75" s="107"/>
      <c r="CK75" s="107"/>
      <c r="CL75" s="107"/>
      <c r="CM75" s="107"/>
      <c r="CN75" s="107"/>
      <c r="CO75" s="107"/>
      <c r="CP75" s="107"/>
      <c r="CQ75" s="107"/>
      <c r="CR75" s="107"/>
      <c r="CS75" s="107"/>
      <c r="CT75" s="107"/>
      <c r="CU75" s="107"/>
      <c r="CV75" s="107"/>
      <c r="CW75" s="107"/>
      <c r="CX75" s="107"/>
      <c r="CY75" s="107"/>
      <c r="CZ75" s="107"/>
      <c r="DA75" s="107"/>
      <c r="DB75" s="107"/>
      <c r="DC75" s="107"/>
      <c r="DD75" s="107"/>
      <c r="DE75" s="107"/>
      <c r="DF75" s="107"/>
      <c r="DG75" s="107"/>
      <c r="DH75" s="107"/>
      <c r="DI75" s="107"/>
      <c r="DJ75" s="107"/>
      <c r="DK75" s="107"/>
      <c r="DL75" s="107"/>
      <c r="DM75" s="107"/>
      <c r="DN75" s="107"/>
      <c r="DO75" s="107"/>
      <c r="DP75" s="107"/>
      <c r="DQ75" s="107"/>
      <c r="DR75" s="107"/>
      <c r="DS75" s="107"/>
      <c r="DT75" s="107"/>
      <c r="DU75" s="107"/>
      <c r="DV75" s="107"/>
      <c r="DW75" s="107"/>
      <c r="DX75" s="107"/>
      <c r="DY75" s="107"/>
      <c r="DZ75" s="107"/>
      <c r="EA75" s="107"/>
      <c r="EB75" s="107"/>
      <c r="EC75" s="107"/>
      <c r="ED75" s="107"/>
      <c r="EE75" s="107"/>
      <c r="EF75" s="107"/>
      <c r="EG75" s="107"/>
      <c r="EH75" s="107"/>
      <c r="EI75" s="107"/>
      <c r="EJ75" s="107"/>
      <c r="EK75" s="107"/>
      <c r="EL75" s="107"/>
      <c r="EM75" s="107"/>
      <c r="EN75" s="107"/>
      <c r="EO75" s="107"/>
    </row>
    <row r="76" spans="1:145" x14ac:dyDescent="0.25">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c r="BS76" s="107"/>
      <c r="BT76" s="107"/>
      <c r="BU76" s="107"/>
      <c r="BV76" s="107"/>
      <c r="BW76" s="107"/>
      <c r="BX76" s="107"/>
      <c r="BY76" s="107"/>
      <c r="BZ76" s="107"/>
      <c r="CA76" s="107"/>
      <c r="CB76" s="107"/>
      <c r="CC76" s="107"/>
      <c r="CD76" s="107"/>
      <c r="CE76" s="107"/>
      <c r="CF76" s="107"/>
      <c r="CG76" s="107"/>
      <c r="CH76" s="107"/>
      <c r="CI76" s="107"/>
      <c r="CJ76" s="107"/>
      <c r="CK76" s="107"/>
      <c r="CL76" s="107"/>
      <c r="CM76" s="107"/>
      <c r="CN76" s="107"/>
      <c r="CO76" s="107"/>
      <c r="CP76" s="107"/>
      <c r="CQ76" s="107"/>
      <c r="CR76" s="107"/>
      <c r="CS76" s="107"/>
      <c r="CT76" s="107"/>
      <c r="CU76" s="107"/>
      <c r="CV76" s="107"/>
      <c r="CW76" s="107"/>
      <c r="CX76" s="107"/>
      <c r="CY76" s="107"/>
      <c r="CZ76" s="107"/>
      <c r="DA76" s="107"/>
      <c r="DB76" s="107"/>
      <c r="DC76" s="107"/>
      <c r="DD76" s="107"/>
      <c r="DE76" s="107"/>
      <c r="DF76" s="107"/>
      <c r="DG76" s="107"/>
      <c r="DH76" s="107"/>
      <c r="DI76" s="107"/>
      <c r="DJ76" s="107"/>
      <c r="DK76" s="107"/>
      <c r="DL76" s="107"/>
      <c r="DM76" s="107"/>
      <c r="DN76" s="107"/>
      <c r="DO76" s="107"/>
      <c r="DP76" s="107"/>
      <c r="DQ76" s="107"/>
      <c r="DR76" s="107"/>
      <c r="DS76" s="107"/>
      <c r="DT76" s="107"/>
      <c r="DU76" s="107"/>
      <c r="DV76" s="107"/>
      <c r="DW76" s="107"/>
      <c r="DX76" s="107"/>
      <c r="DY76" s="107"/>
      <c r="DZ76" s="107"/>
      <c r="EA76" s="107"/>
      <c r="EB76" s="107"/>
      <c r="EC76" s="107"/>
      <c r="ED76" s="107"/>
      <c r="EE76" s="107"/>
      <c r="EF76" s="107"/>
      <c r="EG76" s="107"/>
      <c r="EH76" s="107"/>
      <c r="EI76" s="107"/>
      <c r="EJ76" s="107"/>
      <c r="EK76" s="107"/>
      <c r="EL76" s="107"/>
      <c r="EM76" s="107"/>
      <c r="EN76" s="107"/>
      <c r="EO76" s="107"/>
    </row>
    <row r="77" spans="1:145" x14ac:dyDescent="0.25">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c r="BS77" s="107"/>
      <c r="BT77" s="107"/>
      <c r="BU77" s="107"/>
      <c r="BV77" s="107"/>
      <c r="BW77" s="107"/>
      <c r="BX77" s="107"/>
      <c r="BY77" s="107"/>
      <c r="BZ77" s="107"/>
      <c r="CA77" s="107"/>
      <c r="CB77" s="107"/>
      <c r="CC77" s="107"/>
      <c r="CD77" s="107"/>
      <c r="CE77" s="107"/>
      <c r="CF77" s="107"/>
      <c r="CG77" s="107"/>
      <c r="CH77" s="107"/>
      <c r="CI77" s="107"/>
      <c r="CJ77" s="107"/>
      <c r="CK77" s="107"/>
      <c r="CL77" s="107"/>
      <c r="CM77" s="107"/>
      <c r="CN77" s="107"/>
      <c r="CO77" s="107"/>
      <c r="CP77" s="107"/>
      <c r="CQ77" s="107"/>
      <c r="CR77" s="107"/>
      <c r="CS77" s="107"/>
      <c r="CT77" s="107"/>
      <c r="CU77" s="107"/>
      <c r="CV77" s="107"/>
      <c r="CW77" s="107"/>
      <c r="CX77" s="107"/>
      <c r="CY77" s="107"/>
      <c r="CZ77" s="107"/>
      <c r="DA77" s="107"/>
      <c r="DB77" s="107"/>
      <c r="DC77" s="107"/>
      <c r="DD77" s="107"/>
      <c r="DE77" s="107"/>
      <c r="DF77" s="107"/>
      <c r="DG77" s="107"/>
      <c r="DH77" s="107"/>
      <c r="DI77" s="107"/>
      <c r="DJ77" s="107"/>
      <c r="DK77" s="107"/>
      <c r="DL77" s="107"/>
      <c r="DM77" s="107"/>
      <c r="DN77" s="107"/>
      <c r="DO77" s="107"/>
      <c r="DP77" s="107"/>
      <c r="DQ77" s="107"/>
      <c r="DR77" s="107"/>
      <c r="DS77" s="107"/>
      <c r="DT77" s="107"/>
      <c r="DU77" s="107"/>
      <c r="DV77" s="107"/>
      <c r="DW77" s="107"/>
      <c r="DX77" s="107"/>
      <c r="DY77" s="107"/>
      <c r="DZ77" s="107"/>
      <c r="EA77" s="107"/>
      <c r="EB77" s="107"/>
      <c r="EC77" s="107"/>
      <c r="ED77" s="107"/>
      <c r="EE77" s="107"/>
      <c r="EF77" s="107"/>
      <c r="EG77" s="107"/>
      <c r="EH77" s="107"/>
      <c r="EI77" s="107"/>
      <c r="EJ77" s="107"/>
      <c r="EK77" s="107"/>
      <c r="EL77" s="107"/>
      <c r="EM77" s="107"/>
      <c r="EN77" s="107"/>
      <c r="EO77" s="107"/>
    </row>
    <row r="78" spans="1:145" x14ac:dyDescent="0.25">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c r="BO78" s="107"/>
      <c r="BP78" s="107"/>
      <c r="BQ78" s="107"/>
      <c r="BR78" s="107"/>
      <c r="BS78" s="107"/>
      <c r="BT78" s="107"/>
      <c r="BU78" s="107"/>
      <c r="BV78" s="107"/>
      <c r="BW78" s="107"/>
      <c r="BX78" s="107"/>
      <c r="BY78" s="107"/>
      <c r="BZ78" s="107"/>
      <c r="CA78" s="107"/>
      <c r="CB78" s="107"/>
      <c r="CC78" s="107"/>
      <c r="CD78" s="107"/>
      <c r="CE78" s="107"/>
      <c r="CF78" s="107"/>
      <c r="CG78" s="107"/>
      <c r="CH78" s="107"/>
      <c r="CI78" s="107"/>
      <c r="CJ78" s="107"/>
      <c r="CK78" s="107"/>
      <c r="CL78" s="107"/>
      <c r="CM78" s="107"/>
      <c r="CN78" s="107"/>
      <c r="CO78" s="107"/>
      <c r="CP78" s="107"/>
      <c r="CQ78" s="107"/>
      <c r="CR78" s="107"/>
      <c r="CS78" s="107"/>
      <c r="CT78" s="107"/>
      <c r="CU78" s="107"/>
      <c r="CV78" s="107"/>
      <c r="CW78" s="107"/>
      <c r="CX78" s="107"/>
      <c r="CY78" s="107"/>
      <c r="CZ78" s="107"/>
      <c r="DA78" s="107"/>
      <c r="DB78" s="107"/>
      <c r="DC78" s="107"/>
      <c r="DD78" s="107"/>
      <c r="DE78" s="107"/>
      <c r="DF78" s="107"/>
      <c r="DG78" s="107"/>
      <c r="DH78" s="107"/>
      <c r="DI78" s="107"/>
      <c r="DJ78" s="107"/>
      <c r="DK78" s="107"/>
      <c r="DL78" s="107"/>
      <c r="DM78" s="107"/>
      <c r="DN78" s="107"/>
      <c r="DO78" s="107"/>
      <c r="DP78" s="107"/>
      <c r="DQ78" s="107"/>
      <c r="DR78" s="107"/>
      <c r="DS78" s="107"/>
      <c r="DT78" s="107"/>
      <c r="DU78" s="107"/>
      <c r="DV78" s="107"/>
      <c r="DW78" s="107"/>
      <c r="DX78" s="107"/>
      <c r="DY78" s="107"/>
      <c r="DZ78" s="107"/>
      <c r="EA78" s="107"/>
      <c r="EB78" s="107"/>
      <c r="EC78" s="107"/>
      <c r="ED78" s="107"/>
      <c r="EE78" s="107"/>
      <c r="EF78" s="107"/>
      <c r="EG78" s="107"/>
      <c r="EH78" s="107"/>
      <c r="EI78" s="107"/>
      <c r="EJ78" s="107"/>
      <c r="EK78" s="107"/>
      <c r="EL78" s="107"/>
      <c r="EM78" s="107"/>
      <c r="EN78" s="107"/>
      <c r="EO78" s="107"/>
    </row>
    <row r="79" spans="1:145" x14ac:dyDescent="0.25">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c r="BS79" s="107"/>
      <c r="BT79" s="107"/>
      <c r="BU79" s="107"/>
      <c r="BV79" s="107"/>
      <c r="BW79" s="107"/>
      <c r="BX79" s="107"/>
      <c r="BY79" s="107"/>
      <c r="BZ79" s="107"/>
      <c r="CA79" s="107"/>
      <c r="CB79" s="107"/>
      <c r="CC79" s="107"/>
      <c r="CD79" s="107"/>
      <c r="CE79" s="107"/>
      <c r="CF79" s="107"/>
      <c r="CG79" s="107"/>
      <c r="CH79" s="107"/>
      <c r="CI79" s="107"/>
      <c r="CJ79" s="107"/>
      <c r="CK79" s="107"/>
      <c r="CL79" s="107"/>
      <c r="CM79" s="107"/>
      <c r="CN79" s="107"/>
      <c r="CO79" s="107"/>
      <c r="CP79" s="107"/>
      <c r="CQ79" s="107"/>
      <c r="CR79" s="107"/>
      <c r="CS79" s="107"/>
      <c r="CT79" s="107"/>
      <c r="CU79" s="107"/>
      <c r="CV79" s="107"/>
      <c r="CW79" s="107"/>
      <c r="CX79" s="107"/>
      <c r="CY79" s="107"/>
      <c r="CZ79" s="107"/>
      <c r="DA79" s="107"/>
      <c r="DB79" s="107"/>
      <c r="DC79" s="107"/>
      <c r="DD79" s="107"/>
      <c r="DE79" s="107"/>
      <c r="DF79" s="107"/>
      <c r="DG79" s="107"/>
      <c r="DH79" s="107"/>
      <c r="DI79" s="107"/>
      <c r="DJ79" s="107"/>
      <c r="DK79" s="107"/>
      <c r="DL79" s="107"/>
      <c r="DM79" s="107"/>
      <c r="DN79" s="107"/>
      <c r="DO79" s="107"/>
      <c r="DP79" s="107"/>
      <c r="DQ79" s="107"/>
      <c r="DR79" s="107"/>
      <c r="DS79" s="107"/>
      <c r="DT79" s="107"/>
      <c r="DU79" s="107"/>
      <c r="DV79" s="107"/>
      <c r="DW79" s="107"/>
      <c r="DX79" s="107"/>
      <c r="DY79" s="107"/>
      <c r="DZ79" s="107"/>
      <c r="EA79" s="107"/>
      <c r="EB79" s="107"/>
      <c r="EC79" s="107"/>
      <c r="ED79" s="107"/>
      <c r="EE79" s="107"/>
      <c r="EF79" s="107"/>
      <c r="EG79" s="107"/>
      <c r="EH79" s="107"/>
      <c r="EI79" s="107"/>
      <c r="EJ79" s="107"/>
      <c r="EK79" s="107"/>
      <c r="EL79" s="107"/>
      <c r="EM79" s="107"/>
      <c r="EN79" s="107"/>
      <c r="EO79" s="107"/>
    </row>
    <row r="80" spans="1:145" x14ac:dyDescent="0.25">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c r="BS80" s="107"/>
      <c r="BT80" s="107"/>
      <c r="BU80" s="107"/>
      <c r="BV80" s="107"/>
      <c r="BW80" s="107"/>
      <c r="BX80" s="107"/>
      <c r="BY80" s="107"/>
      <c r="BZ80" s="107"/>
      <c r="CA80" s="107"/>
      <c r="CB80" s="107"/>
      <c r="CC80" s="107"/>
      <c r="CD80" s="107"/>
      <c r="CE80" s="107"/>
      <c r="CF80" s="107"/>
      <c r="CG80" s="107"/>
      <c r="CH80" s="107"/>
      <c r="CI80" s="107"/>
      <c r="CJ80" s="107"/>
      <c r="CK80" s="107"/>
      <c r="CL80" s="107"/>
      <c r="CM80" s="107"/>
      <c r="CN80" s="107"/>
      <c r="CO80" s="107"/>
      <c r="CP80" s="107"/>
      <c r="CQ80" s="107"/>
      <c r="CR80" s="107"/>
      <c r="CS80" s="107"/>
      <c r="CT80" s="107"/>
      <c r="CU80" s="107"/>
      <c r="CV80" s="107"/>
      <c r="CW80" s="107"/>
      <c r="CX80" s="107"/>
      <c r="CY80" s="107"/>
      <c r="CZ80" s="107"/>
      <c r="DA80" s="107"/>
      <c r="DB80" s="107"/>
      <c r="DC80" s="107"/>
      <c r="DD80" s="107"/>
      <c r="DE80" s="107"/>
      <c r="DF80" s="107"/>
      <c r="DG80" s="107"/>
      <c r="DH80" s="107"/>
      <c r="DI80" s="107"/>
      <c r="DJ80" s="107"/>
      <c r="DK80" s="107"/>
      <c r="DL80" s="107"/>
      <c r="DM80" s="107"/>
      <c r="DN80" s="107"/>
      <c r="DO80" s="107"/>
      <c r="DP80" s="107"/>
      <c r="DQ80" s="107"/>
      <c r="DR80" s="107"/>
      <c r="DS80" s="107"/>
      <c r="DT80" s="107"/>
      <c r="DU80" s="107"/>
      <c r="DV80" s="107"/>
      <c r="DW80" s="107"/>
      <c r="DX80" s="107"/>
      <c r="DY80" s="107"/>
      <c r="DZ80" s="107"/>
      <c r="EA80" s="107"/>
      <c r="EB80" s="107"/>
      <c r="EC80" s="107"/>
      <c r="ED80" s="107"/>
      <c r="EE80" s="107"/>
      <c r="EF80" s="107"/>
      <c r="EG80" s="107"/>
      <c r="EH80" s="107"/>
      <c r="EI80" s="107"/>
      <c r="EJ80" s="107"/>
      <c r="EK80" s="107"/>
      <c r="EL80" s="107"/>
      <c r="EM80" s="107"/>
      <c r="EN80" s="107"/>
      <c r="EO80" s="107"/>
    </row>
    <row r="81" spans="1:145" x14ac:dyDescent="0.25">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c r="BS81" s="107"/>
      <c r="BT81" s="107"/>
      <c r="BU81" s="107"/>
      <c r="BV81" s="107"/>
      <c r="BW81" s="107"/>
      <c r="BX81" s="107"/>
      <c r="BY81" s="107"/>
      <c r="BZ81" s="107"/>
      <c r="CA81" s="107"/>
      <c r="CB81" s="107"/>
      <c r="CC81" s="107"/>
      <c r="CD81" s="107"/>
      <c r="CE81" s="107"/>
      <c r="CF81" s="107"/>
      <c r="CG81" s="107"/>
      <c r="CH81" s="107"/>
      <c r="CI81" s="107"/>
      <c r="CJ81" s="107"/>
      <c r="CK81" s="107"/>
      <c r="CL81" s="107"/>
      <c r="CM81" s="107"/>
      <c r="CN81" s="107"/>
      <c r="CO81" s="107"/>
      <c r="CP81" s="107"/>
      <c r="CQ81" s="107"/>
      <c r="CR81" s="107"/>
      <c r="CS81" s="107"/>
      <c r="CT81" s="107"/>
      <c r="CU81" s="107"/>
      <c r="CV81" s="107"/>
      <c r="CW81" s="107"/>
      <c r="CX81" s="107"/>
      <c r="CY81" s="107"/>
      <c r="CZ81" s="107"/>
      <c r="DA81" s="107"/>
      <c r="DB81" s="107"/>
      <c r="DC81" s="107"/>
      <c r="DD81" s="107"/>
      <c r="DE81" s="107"/>
      <c r="DF81" s="107"/>
      <c r="DG81" s="107"/>
      <c r="DH81" s="107"/>
      <c r="DI81" s="107"/>
      <c r="DJ81" s="107"/>
      <c r="DK81" s="107"/>
      <c r="DL81" s="107"/>
      <c r="DM81" s="107"/>
      <c r="DN81" s="107"/>
      <c r="DO81" s="107"/>
      <c r="DP81" s="107"/>
      <c r="DQ81" s="107"/>
      <c r="DR81" s="107"/>
      <c r="DS81" s="107"/>
      <c r="DT81" s="107"/>
      <c r="DU81" s="107"/>
      <c r="DV81" s="107"/>
      <c r="DW81" s="107"/>
      <c r="DX81" s="107"/>
      <c r="DY81" s="107"/>
      <c r="DZ81" s="107"/>
      <c r="EA81" s="107"/>
      <c r="EB81" s="107"/>
      <c r="EC81" s="107"/>
      <c r="ED81" s="107"/>
      <c r="EE81" s="107"/>
      <c r="EF81" s="107"/>
      <c r="EG81" s="107"/>
      <c r="EH81" s="107"/>
      <c r="EI81" s="107"/>
      <c r="EJ81" s="107"/>
      <c r="EK81" s="107"/>
      <c r="EL81" s="107"/>
      <c r="EM81" s="107"/>
      <c r="EN81" s="107"/>
      <c r="EO81" s="107"/>
    </row>
    <row r="82" spans="1:145" x14ac:dyDescent="0.25">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c r="BS82" s="107"/>
      <c r="BT82" s="107"/>
      <c r="BU82" s="107"/>
      <c r="BV82" s="107"/>
      <c r="BW82" s="107"/>
      <c r="BX82" s="107"/>
      <c r="BY82" s="107"/>
      <c r="BZ82" s="107"/>
      <c r="CA82" s="107"/>
      <c r="CB82" s="107"/>
      <c r="CC82" s="107"/>
      <c r="CD82" s="107"/>
      <c r="CE82" s="107"/>
      <c r="CF82" s="107"/>
      <c r="CG82" s="107"/>
      <c r="CH82" s="107"/>
      <c r="CI82" s="107"/>
      <c r="CJ82" s="107"/>
      <c r="CK82" s="107"/>
      <c r="CL82" s="107"/>
      <c r="CM82" s="107"/>
      <c r="CN82" s="107"/>
      <c r="CO82" s="107"/>
      <c r="CP82" s="107"/>
      <c r="CQ82" s="107"/>
      <c r="CR82" s="107"/>
      <c r="CS82" s="107"/>
      <c r="CT82" s="107"/>
      <c r="CU82" s="107"/>
      <c r="CV82" s="107"/>
      <c r="CW82" s="107"/>
      <c r="CX82" s="107"/>
      <c r="CY82" s="107"/>
      <c r="CZ82" s="107"/>
      <c r="DA82" s="107"/>
      <c r="DB82" s="107"/>
      <c r="DC82" s="107"/>
      <c r="DD82" s="107"/>
      <c r="DE82" s="107"/>
      <c r="DF82" s="107"/>
      <c r="DG82" s="107"/>
      <c r="DH82" s="107"/>
      <c r="DI82" s="107"/>
      <c r="DJ82" s="107"/>
      <c r="DK82" s="107"/>
      <c r="DL82" s="107"/>
      <c r="DM82" s="107"/>
      <c r="DN82" s="107"/>
      <c r="DO82" s="107"/>
      <c r="DP82" s="107"/>
      <c r="DQ82" s="107"/>
      <c r="DR82" s="107"/>
      <c r="DS82" s="107"/>
      <c r="DT82" s="107"/>
      <c r="DU82" s="107"/>
      <c r="DV82" s="107"/>
      <c r="DW82" s="107"/>
      <c r="DX82" s="107"/>
      <c r="DY82" s="107"/>
      <c r="DZ82" s="107"/>
      <c r="EA82" s="107"/>
      <c r="EB82" s="107"/>
      <c r="EC82" s="107"/>
      <c r="ED82" s="107"/>
      <c r="EE82" s="107"/>
      <c r="EF82" s="107"/>
      <c r="EG82" s="107"/>
      <c r="EH82" s="107"/>
      <c r="EI82" s="107"/>
      <c r="EJ82" s="107"/>
      <c r="EK82" s="107"/>
      <c r="EL82" s="107"/>
      <c r="EM82" s="107"/>
      <c r="EN82" s="107"/>
      <c r="EO82" s="107"/>
    </row>
    <row r="83" spans="1:145" x14ac:dyDescent="0.25">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c r="BS83" s="107"/>
      <c r="BT83" s="107"/>
      <c r="BU83" s="107"/>
      <c r="BV83" s="107"/>
      <c r="BW83" s="107"/>
      <c r="BX83" s="107"/>
      <c r="BY83" s="107"/>
      <c r="BZ83" s="107"/>
      <c r="CA83" s="107"/>
      <c r="CB83" s="107"/>
      <c r="CC83" s="107"/>
      <c r="CD83" s="107"/>
      <c r="CE83" s="107"/>
      <c r="CF83" s="107"/>
      <c r="CG83" s="107"/>
      <c r="CH83" s="107"/>
      <c r="CI83" s="107"/>
      <c r="CJ83" s="107"/>
      <c r="CK83" s="107"/>
      <c r="CL83" s="107"/>
      <c r="CM83" s="107"/>
      <c r="CN83" s="107"/>
      <c r="CO83" s="107"/>
      <c r="CP83" s="107"/>
      <c r="CQ83" s="107"/>
      <c r="CR83" s="107"/>
      <c r="CS83" s="107"/>
      <c r="CT83" s="107"/>
      <c r="CU83" s="107"/>
      <c r="CV83" s="107"/>
      <c r="CW83" s="107"/>
      <c r="CX83" s="107"/>
      <c r="CY83" s="107"/>
      <c r="CZ83" s="107"/>
      <c r="DA83" s="107"/>
      <c r="DB83" s="107"/>
      <c r="DC83" s="107"/>
      <c r="DD83" s="107"/>
      <c r="DE83" s="107"/>
      <c r="DF83" s="107"/>
      <c r="DG83" s="107"/>
      <c r="DH83" s="107"/>
      <c r="DI83" s="107"/>
      <c r="DJ83" s="107"/>
      <c r="DK83" s="107"/>
      <c r="DL83" s="107"/>
      <c r="DM83" s="107"/>
      <c r="DN83" s="107"/>
      <c r="DO83" s="107"/>
      <c r="DP83" s="107"/>
      <c r="DQ83" s="107"/>
      <c r="DR83" s="107"/>
      <c r="DS83" s="107"/>
      <c r="DT83" s="107"/>
      <c r="DU83" s="107"/>
      <c r="DV83" s="107"/>
      <c r="DW83" s="107"/>
      <c r="DX83" s="107"/>
      <c r="DY83" s="107"/>
      <c r="DZ83" s="107"/>
      <c r="EA83" s="107"/>
      <c r="EB83" s="107"/>
      <c r="EC83" s="107"/>
      <c r="ED83" s="107"/>
      <c r="EE83" s="107"/>
      <c r="EF83" s="107"/>
      <c r="EG83" s="107"/>
      <c r="EH83" s="107"/>
      <c r="EI83" s="107"/>
      <c r="EJ83" s="107"/>
      <c r="EK83" s="107"/>
      <c r="EL83" s="107"/>
      <c r="EM83" s="107"/>
      <c r="EN83" s="107"/>
      <c r="EO83" s="107"/>
    </row>
    <row r="84" spans="1:145" x14ac:dyDescent="0.25">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c r="BS84" s="107"/>
      <c r="BT84" s="107"/>
      <c r="BU84" s="107"/>
      <c r="BV84" s="107"/>
      <c r="BW84" s="107"/>
      <c r="BX84" s="107"/>
      <c r="BY84" s="107"/>
      <c r="BZ84" s="107"/>
      <c r="CA84" s="107"/>
      <c r="CB84" s="107"/>
      <c r="CC84" s="107"/>
      <c r="CD84" s="107"/>
      <c r="CE84" s="107"/>
      <c r="CF84" s="107"/>
      <c r="CG84" s="107"/>
      <c r="CH84" s="107"/>
      <c r="CI84" s="107"/>
      <c r="CJ84" s="107"/>
      <c r="CK84" s="107"/>
      <c r="CL84" s="107"/>
      <c r="CM84" s="107"/>
      <c r="CN84" s="107"/>
      <c r="CO84" s="107"/>
      <c r="CP84" s="107"/>
      <c r="CQ84" s="107"/>
      <c r="CR84" s="107"/>
      <c r="CS84" s="107"/>
      <c r="CT84" s="107"/>
      <c r="CU84" s="107"/>
      <c r="CV84" s="107"/>
      <c r="CW84" s="107"/>
      <c r="CX84" s="107"/>
      <c r="CY84" s="107"/>
      <c r="CZ84" s="107"/>
      <c r="DA84" s="107"/>
      <c r="DB84" s="107"/>
      <c r="DC84" s="107"/>
      <c r="DD84" s="107"/>
      <c r="DE84" s="107"/>
      <c r="DF84" s="107"/>
      <c r="DG84" s="107"/>
      <c r="DH84" s="107"/>
      <c r="DI84" s="107"/>
      <c r="DJ84" s="107"/>
      <c r="DK84" s="107"/>
      <c r="DL84" s="107"/>
      <c r="DM84" s="107"/>
      <c r="DN84" s="107"/>
      <c r="DO84" s="107"/>
      <c r="DP84" s="107"/>
      <c r="DQ84" s="107"/>
      <c r="DR84" s="107"/>
      <c r="DS84" s="107"/>
      <c r="DT84" s="107"/>
      <c r="DU84" s="107"/>
      <c r="DV84" s="107"/>
      <c r="DW84" s="107"/>
      <c r="DX84" s="107"/>
      <c r="DY84" s="107"/>
      <c r="DZ84" s="107"/>
      <c r="EA84" s="107"/>
      <c r="EB84" s="107"/>
      <c r="EC84" s="107"/>
      <c r="ED84" s="107"/>
      <c r="EE84" s="107"/>
      <c r="EF84" s="107"/>
      <c r="EG84" s="107"/>
      <c r="EH84" s="107"/>
      <c r="EI84" s="107"/>
      <c r="EJ84" s="107"/>
      <c r="EK84" s="107"/>
      <c r="EL84" s="107"/>
      <c r="EM84" s="107"/>
      <c r="EN84" s="107"/>
      <c r="EO84" s="107"/>
    </row>
    <row r="85" spans="1:145" x14ac:dyDescent="0.25">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c r="BS85" s="107"/>
      <c r="BT85" s="107"/>
      <c r="BU85" s="107"/>
      <c r="BV85" s="107"/>
      <c r="BW85" s="107"/>
      <c r="BX85" s="107"/>
      <c r="BY85" s="107"/>
      <c r="BZ85" s="107"/>
      <c r="CA85" s="107"/>
      <c r="CB85" s="107"/>
      <c r="CC85" s="107"/>
      <c r="CD85" s="107"/>
      <c r="CE85" s="107"/>
      <c r="CF85" s="107"/>
      <c r="CG85" s="107"/>
      <c r="CH85" s="107"/>
      <c r="CI85" s="107"/>
      <c r="CJ85" s="107"/>
      <c r="CK85" s="107"/>
      <c r="CL85" s="107"/>
      <c r="CM85" s="107"/>
      <c r="CN85" s="107"/>
      <c r="CO85" s="107"/>
      <c r="CP85" s="107"/>
      <c r="CQ85" s="107"/>
      <c r="CR85" s="107"/>
      <c r="CS85" s="107"/>
      <c r="CT85" s="107"/>
      <c r="CU85" s="107"/>
      <c r="CV85" s="107"/>
      <c r="CW85" s="107"/>
      <c r="CX85" s="107"/>
      <c r="CY85" s="107"/>
      <c r="CZ85" s="107"/>
      <c r="DA85" s="107"/>
      <c r="DB85" s="107"/>
      <c r="DC85" s="107"/>
      <c r="DD85" s="107"/>
      <c r="DE85" s="107"/>
      <c r="DF85" s="107"/>
      <c r="DG85" s="107"/>
      <c r="DH85" s="107"/>
      <c r="DI85" s="107"/>
      <c r="DJ85" s="107"/>
      <c r="DK85" s="107"/>
      <c r="DL85" s="107"/>
      <c r="DM85" s="107"/>
      <c r="DN85" s="107"/>
      <c r="DO85" s="107"/>
      <c r="DP85" s="107"/>
      <c r="DQ85" s="107"/>
      <c r="DR85" s="107"/>
      <c r="DS85" s="107"/>
      <c r="DT85" s="107"/>
      <c r="DU85" s="107"/>
      <c r="DV85" s="107"/>
      <c r="DW85" s="107"/>
      <c r="DX85" s="107"/>
      <c r="DY85" s="107"/>
      <c r="DZ85" s="107"/>
      <c r="EA85" s="107"/>
      <c r="EB85" s="107"/>
      <c r="EC85" s="107"/>
      <c r="ED85" s="107"/>
      <c r="EE85" s="107"/>
      <c r="EF85" s="107"/>
      <c r="EG85" s="107"/>
      <c r="EH85" s="107"/>
      <c r="EI85" s="107"/>
      <c r="EJ85" s="107"/>
      <c r="EK85" s="107"/>
      <c r="EL85" s="107"/>
      <c r="EM85" s="107"/>
      <c r="EN85" s="107"/>
      <c r="EO85" s="107"/>
    </row>
    <row r="86" spans="1:145" x14ac:dyDescent="0.25">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c r="BS86" s="107"/>
      <c r="BT86" s="107"/>
      <c r="BU86" s="107"/>
      <c r="BV86" s="107"/>
      <c r="BW86" s="107"/>
      <c r="BX86" s="107"/>
      <c r="BY86" s="107"/>
      <c r="BZ86" s="107"/>
      <c r="CA86" s="107"/>
      <c r="CB86" s="107"/>
      <c r="CC86" s="107"/>
      <c r="CD86" s="107"/>
      <c r="CE86" s="107"/>
      <c r="CF86" s="107"/>
      <c r="CG86" s="107"/>
      <c r="CH86" s="107"/>
      <c r="CI86" s="107"/>
      <c r="CJ86" s="107"/>
      <c r="CK86" s="107"/>
      <c r="CL86" s="107"/>
      <c r="CM86" s="107"/>
      <c r="CN86" s="107"/>
      <c r="CO86" s="107"/>
      <c r="CP86" s="107"/>
      <c r="CQ86" s="107"/>
      <c r="CR86" s="107"/>
      <c r="CS86" s="107"/>
      <c r="CT86" s="107"/>
      <c r="CU86" s="107"/>
      <c r="CV86" s="107"/>
      <c r="CW86" s="107"/>
      <c r="CX86" s="107"/>
      <c r="CY86" s="107"/>
      <c r="CZ86" s="107"/>
      <c r="DA86" s="107"/>
      <c r="DB86" s="107"/>
      <c r="DC86" s="107"/>
      <c r="DD86" s="107"/>
      <c r="DE86" s="107"/>
      <c r="DF86" s="107"/>
      <c r="DG86" s="107"/>
      <c r="DH86" s="107"/>
      <c r="DI86" s="107"/>
      <c r="DJ86" s="107"/>
      <c r="DK86" s="107"/>
      <c r="DL86" s="107"/>
      <c r="DM86" s="107"/>
      <c r="DN86" s="107"/>
      <c r="DO86" s="107"/>
      <c r="DP86" s="107"/>
      <c r="DQ86" s="107"/>
      <c r="DR86" s="107"/>
      <c r="DS86" s="107"/>
      <c r="DT86" s="107"/>
      <c r="DU86" s="107"/>
      <c r="DV86" s="107"/>
      <c r="DW86" s="107"/>
      <c r="DX86" s="107"/>
      <c r="DY86" s="107"/>
      <c r="DZ86" s="107"/>
      <c r="EA86" s="107"/>
      <c r="EB86" s="107"/>
      <c r="EC86" s="107"/>
      <c r="ED86" s="107"/>
      <c r="EE86" s="107"/>
      <c r="EF86" s="107"/>
      <c r="EG86" s="107"/>
      <c r="EH86" s="107"/>
      <c r="EI86" s="107"/>
      <c r="EJ86" s="107"/>
      <c r="EK86" s="107"/>
      <c r="EL86" s="107"/>
      <c r="EM86" s="107"/>
      <c r="EN86" s="107"/>
      <c r="EO86" s="107"/>
    </row>
    <row r="87" spans="1:145" x14ac:dyDescent="0.25">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c r="BS87" s="107"/>
      <c r="BT87" s="107"/>
      <c r="BU87" s="107"/>
      <c r="BV87" s="107"/>
      <c r="BW87" s="107"/>
      <c r="BX87" s="107"/>
      <c r="BY87" s="107"/>
      <c r="BZ87" s="107"/>
      <c r="CA87" s="107"/>
      <c r="CB87" s="107"/>
      <c r="CC87" s="107"/>
      <c r="CD87" s="107"/>
      <c r="CE87" s="107"/>
      <c r="CF87" s="107"/>
      <c r="CG87" s="107"/>
      <c r="CH87" s="107"/>
      <c r="CI87" s="107"/>
      <c r="CJ87" s="107"/>
      <c r="CK87" s="107"/>
      <c r="CL87" s="107"/>
      <c r="CM87" s="107"/>
      <c r="CN87" s="107"/>
      <c r="CO87" s="107"/>
      <c r="CP87" s="107"/>
      <c r="CQ87" s="107"/>
      <c r="CR87" s="107"/>
      <c r="CS87" s="107"/>
      <c r="CT87" s="107"/>
      <c r="CU87" s="107"/>
      <c r="CV87" s="107"/>
      <c r="CW87" s="107"/>
      <c r="CX87" s="107"/>
      <c r="CY87" s="107"/>
      <c r="CZ87" s="107"/>
      <c r="DA87" s="107"/>
      <c r="DB87" s="107"/>
      <c r="DC87" s="107"/>
      <c r="DD87" s="107"/>
      <c r="DE87" s="107"/>
      <c r="DF87" s="107"/>
      <c r="DG87" s="107"/>
      <c r="DH87" s="107"/>
      <c r="DI87" s="107"/>
      <c r="DJ87" s="107"/>
      <c r="DK87" s="107"/>
      <c r="DL87" s="107"/>
      <c r="DM87" s="107"/>
      <c r="DN87" s="107"/>
      <c r="DO87" s="107"/>
      <c r="DP87" s="107"/>
      <c r="DQ87" s="107"/>
      <c r="DR87" s="107"/>
      <c r="DS87" s="107"/>
      <c r="DT87" s="107"/>
      <c r="DU87" s="107"/>
      <c r="DV87" s="107"/>
      <c r="DW87" s="107"/>
      <c r="DX87" s="107"/>
      <c r="DY87" s="107"/>
      <c r="DZ87" s="107"/>
      <c r="EA87" s="107"/>
      <c r="EB87" s="107"/>
      <c r="EC87" s="107"/>
      <c r="ED87" s="107"/>
      <c r="EE87" s="107"/>
      <c r="EF87" s="107"/>
      <c r="EG87" s="107"/>
      <c r="EH87" s="107"/>
      <c r="EI87" s="107"/>
      <c r="EJ87" s="107"/>
      <c r="EK87" s="107"/>
      <c r="EL87" s="107"/>
      <c r="EM87" s="107"/>
      <c r="EN87" s="107"/>
      <c r="EO87" s="107"/>
    </row>
    <row r="88" spans="1:145" x14ac:dyDescent="0.25">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c r="BC88" s="107"/>
      <c r="BD88" s="107"/>
      <c r="BE88" s="107"/>
      <c r="BF88" s="107"/>
      <c r="BG88" s="107"/>
      <c r="BH88" s="107"/>
      <c r="BI88" s="107"/>
      <c r="BJ88" s="107"/>
      <c r="BK88" s="107"/>
      <c r="BL88" s="107"/>
      <c r="BM88" s="107"/>
      <c r="BN88" s="107"/>
      <c r="BO88" s="107"/>
      <c r="BP88" s="107"/>
      <c r="BQ88" s="107"/>
      <c r="BR88" s="107"/>
      <c r="BS88" s="107"/>
      <c r="BT88" s="107"/>
      <c r="BU88" s="107"/>
      <c r="BV88" s="107"/>
      <c r="BW88" s="107"/>
      <c r="BX88" s="107"/>
      <c r="BY88" s="107"/>
      <c r="BZ88" s="107"/>
      <c r="CA88" s="107"/>
      <c r="CB88" s="107"/>
      <c r="CC88" s="107"/>
      <c r="CD88" s="107"/>
      <c r="CE88" s="107"/>
      <c r="CF88" s="107"/>
      <c r="CG88" s="107"/>
      <c r="CH88" s="107"/>
      <c r="CI88" s="107"/>
      <c r="CJ88" s="107"/>
      <c r="CK88" s="107"/>
      <c r="CL88" s="107"/>
      <c r="CM88" s="107"/>
      <c r="CN88" s="107"/>
      <c r="CO88" s="107"/>
      <c r="CP88" s="107"/>
      <c r="CQ88" s="107"/>
      <c r="CR88" s="107"/>
      <c r="CS88" s="107"/>
      <c r="CT88" s="107"/>
      <c r="CU88" s="107"/>
      <c r="CV88" s="107"/>
      <c r="CW88" s="107"/>
      <c r="CX88" s="107"/>
      <c r="CY88" s="107"/>
      <c r="CZ88" s="107"/>
      <c r="DA88" s="107"/>
      <c r="DB88" s="107"/>
      <c r="DC88" s="107"/>
      <c r="DD88" s="107"/>
      <c r="DE88" s="107"/>
      <c r="DF88" s="107"/>
      <c r="DG88" s="107"/>
      <c r="DH88" s="107"/>
      <c r="DI88" s="107"/>
      <c r="DJ88" s="107"/>
      <c r="DK88" s="107"/>
      <c r="DL88" s="107"/>
      <c r="DM88" s="107"/>
      <c r="DN88" s="107"/>
      <c r="DO88" s="107"/>
      <c r="DP88" s="107"/>
      <c r="DQ88" s="107"/>
      <c r="DR88" s="107"/>
      <c r="DS88" s="107"/>
      <c r="DT88" s="107"/>
      <c r="DU88" s="107"/>
      <c r="DV88" s="107"/>
      <c r="DW88" s="107"/>
      <c r="DX88" s="107"/>
      <c r="DY88" s="107"/>
      <c r="DZ88" s="107"/>
      <c r="EA88" s="107"/>
      <c r="EB88" s="107"/>
      <c r="EC88" s="107"/>
      <c r="ED88" s="107"/>
      <c r="EE88" s="107"/>
      <c r="EF88" s="107"/>
      <c r="EG88" s="107"/>
      <c r="EH88" s="107"/>
      <c r="EI88" s="107"/>
      <c r="EJ88" s="107"/>
      <c r="EK88" s="107"/>
      <c r="EL88" s="107"/>
      <c r="EM88" s="107"/>
      <c r="EN88" s="107"/>
      <c r="EO88" s="107"/>
    </row>
    <row r="89" spans="1:145" x14ac:dyDescent="0.25">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c r="BS89" s="107"/>
      <c r="BT89" s="107"/>
      <c r="BU89" s="107"/>
      <c r="BV89" s="107"/>
      <c r="BW89" s="107"/>
      <c r="BX89" s="107"/>
      <c r="BY89" s="107"/>
      <c r="BZ89" s="107"/>
      <c r="CA89" s="107"/>
      <c r="CB89" s="107"/>
      <c r="CC89" s="107"/>
      <c r="CD89" s="107"/>
      <c r="CE89" s="107"/>
      <c r="CF89" s="107"/>
      <c r="CG89" s="107"/>
      <c r="CH89" s="107"/>
      <c r="CI89" s="107"/>
      <c r="CJ89" s="107"/>
      <c r="CK89" s="107"/>
      <c r="CL89" s="107"/>
      <c r="CM89" s="107"/>
      <c r="CN89" s="107"/>
      <c r="CO89" s="107"/>
      <c r="CP89" s="107"/>
      <c r="CQ89" s="107"/>
      <c r="CR89" s="107"/>
      <c r="CS89" s="107"/>
      <c r="CT89" s="107"/>
      <c r="CU89" s="107"/>
      <c r="CV89" s="107"/>
      <c r="CW89" s="107"/>
      <c r="CX89" s="107"/>
      <c r="CY89" s="107"/>
      <c r="CZ89" s="107"/>
      <c r="DA89" s="107"/>
      <c r="DB89" s="107"/>
      <c r="DC89" s="107"/>
      <c r="DD89" s="107"/>
      <c r="DE89" s="107"/>
      <c r="DF89" s="107"/>
      <c r="DG89" s="107"/>
      <c r="DH89" s="107"/>
      <c r="DI89" s="107"/>
      <c r="DJ89" s="107"/>
      <c r="DK89" s="107"/>
      <c r="DL89" s="107"/>
      <c r="DM89" s="107"/>
      <c r="DN89" s="107"/>
      <c r="DO89" s="107"/>
      <c r="DP89" s="107"/>
      <c r="DQ89" s="107"/>
      <c r="DR89" s="107"/>
      <c r="DS89" s="107"/>
      <c r="DT89" s="107"/>
      <c r="DU89" s="107"/>
      <c r="DV89" s="107"/>
      <c r="DW89" s="107"/>
      <c r="DX89" s="107"/>
      <c r="DY89" s="107"/>
      <c r="DZ89" s="107"/>
      <c r="EA89" s="107"/>
      <c r="EB89" s="107"/>
      <c r="EC89" s="107"/>
      <c r="ED89" s="107"/>
      <c r="EE89" s="107"/>
      <c r="EF89" s="107"/>
      <c r="EG89" s="107"/>
      <c r="EH89" s="107"/>
      <c r="EI89" s="107"/>
      <c r="EJ89" s="107"/>
      <c r="EK89" s="107"/>
      <c r="EL89" s="107"/>
      <c r="EM89" s="107"/>
      <c r="EN89" s="107"/>
      <c r="EO89" s="107"/>
    </row>
  </sheetData>
  <sheetProtection algorithmName="SHA-512" hashValue="XzSa6FO+l81oM6yJkZYei1VF7lr+LDIaoPQqPJ+wK06WpQZIbSb4MV3AikOENncX5X8ik9vfIIECeODtBr3TDQ==" saltValue="m54U2NqBvW+z+K+Oras37A==" spinCount="100000" sheet="1" scenarios="1" formatColumns="0" formatRows="0" autoFilter="0"/>
  <autoFilter ref="G5:K38" xr:uid="{EF146C59-0687-46DB-81A5-026BA3E9DE70}"/>
  <mergeCells count="7">
    <mergeCell ref="A4:J4"/>
    <mergeCell ref="H1:J1"/>
    <mergeCell ref="K1:P1"/>
    <mergeCell ref="Q1:V1"/>
    <mergeCell ref="H2:J2"/>
    <mergeCell ref="H3:J3"/>
    <mergeCell ref="K3:V3"/>
  </mergeCells>
  <pageMargins left="0.7" right="0.7" top="0.75" bottom="0.75" header="0.3" footer="0.3"/>
  <pageSetup orientation="portrait" horizontalDpi="300" r:id="rId1"/>
  <customProperties>
    <customPr name="FPMExcelClientRefreshTime" r:id="rId2"/>
  </customProperties>
  <drawing r:id="rId3"/>
  <legacyDrawing r:id="rId4"/>
  <picture r:id="rId5"/>
  <controls>
    <mc:AlternateContent xmlns:mc="http://schemas.openxmlformats.org/markup-compatibility/2006">
      <mc:Choice Requires="x14">
        <control shapeId="3276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32769" r:id="rId6" name="FPMExcelClientSheetOptionstb1"/>
      </mc:Fallback>
    </mc:AlternateContent>
    <mc:AlternateContent xmlns:mc="http://schemas.openxmlformats.org/markup-compatibility/2006">
      <mc:Choice Requires="x14">
        <control shapeId="32770" r:id="rId8" name="CommandButton1">
          <controlPr defaultSize="0" autoLine="0" autoPict="0" altText="Refresh Chart" r:id="rId9">
            <anchor>
              <from>
                <xdr:col>0</xdr:col>
                <xdr:colOff>57150</xdr:colOff>
                <xdr:row>4</xdr:row>
                <xdr:rowOff>95250</xdr:rowOff>
              </from>
              <to>
                <xdr:col>3</xdr:col>
                <xdr:colOff>0</xdr:colOff>
                <xdr:row>5</xdr:row>
                <xdr:rowOff>152400</xdr:rowOff>
              </to>
            </anchor>
          </controlPr>
        </control>
      </mc:Choice>
      <mc:Fallback>
        <control shapeId="32770" r:id="rId8" name="CommandButton1"/>
      </mc:Fallback>
    </mc:AlternateContent>
    <mc:AlternateContent xmlns:mc="http://schemas.openxmlformats.org/markup-compatibility/2006">
      <mc:Choice Requires="x14">
        <control shapeId="32771" r:id="rId10" name="Label1">
          <controlPr defaultSize="0" autoLine="0" autoPict="0" r:id="rId11">
            <anchor>
              <from>
                <xdr:col>3</xdr:col>
                <xdr:colOff>9525</xdr:colOff>
                <xdr:row>4</xdr:row>
                <xdr:rowOff>95250</xdr:rowOff>
              </from>
              <to>
                <xdr:col>6</xdr:col>
                <xdr:colOff>371475</xdr:colOff>
                <xdr:row>5</xdr:row>
                <xdr:rowOff>152400</xdr:rowOff>
              </to>
            </anchor>
          </controlPr>
        </control>
      </mc:Choice>
      <mc:Fallback>
        <control shapeId="32771" r:id="rId10" name="Label1"/>
      </mc:Fallback>
    </mc:AlternateContent>
    <mc:AlternateContent xmlns:mc="http://schemas.openxmlformats.org/markup-compatibility/2006">
      <mc:Choice Requires="x14">
        <control shapeId="32772" r:id="rId12" name="CommandButton2">
          <controlPr defaultSize="0" autoLine="0" autoPict="0" r:id="rId13">
            <anchor>
              <from>
                <xdr:col>0</xdr:col>
                <xdr:colOff>57150</xdr:colOff>
                <xdr:row>7</xdr:row>
                <xdr:rowOff>0</xdr:rowOff>
              </from>
              <to>
                <xdr:col>3</xdr:col>
                <xdr:colOff>0</xdr:colOff>
                <xdr:row>8</xdr:row>
                <xdr:rowOff>57150</xdr:rowOff>
              </to>
            </anchor>
          </controlPr>
        </control>
      </mc:Choice>
      <mc:Fallback>
        <control shapeId="32772" r:id="rId12" name="CommandButton2"/>
      </mc:Fallback>
    </mc:AlternateContent>
    <mc:AlternateContent xmlns:mc="http://schemas.openxmlformats.org/markup-compatibility/2006">
      <mc:Choice Requires="x14">
        <control shapeId="32773" r:id="rId14" name="CommandButton3">
          <controlPr defaultSize="0" autoLine="0" autoPict="0" r:id="rId15">
            <anchor>
              <from>
                <xdr:col>3</xdr:col>
                <xdr:colOff>9525</xdr:colOff>
                <xdr:row>7</xdr:row>
                <xdr:rowOff>0</xdr:rowOff>
              </from>
              <to>
                <xdr:col>5</xdr:col>
                <xdr:colOff>66675</xdr:colOff>
                <xdr:row>8</xdr:row>
                <xdr:rowOff>57150</xdr:rowOff>
              </to>
            </anchor>
          </controlPr>
        </control>
      </mc:Choice>
      <mc:Fallback>
        <control shapeId="32773" r:id="rId14" name="CommandButton3"/>
      </mc:Fallback>
    </mc:AlternateContent>
    <mc:AlternateContent xmlns:mc="http://schemas.openxmlformats.org/markup-compatibility/2006">
      <mc:Choice Requires="x14">
        <control shapeId="32774" r:id="rId16" name="Label2">
          <controlPr defaultSize="0" autoLine="0" autoPict="0" r:id="rId17">
            <anchor>
              <from>
                <xdr:col>6</xdr:col>
                <xdr:colOff>9525</xdr:colOff>
                <xdr:row>7</xdr:row>
                <xdr:rowOff>9525</xdr:rowOff>
              </from>
              <to>
                <xdr:col>6</xdr:col>
                <xdr:colOff>676275</xdr:colOff>
                <xdr:row>8</xdr:row>
                <xdr:rowOff>0</xdr:rowOff>
              </to>
            </anchor>
          </controlPr>
        </control>
      </mc:Choice>
      <mc:Fallback>
        <control shapeId="32774" r:id="rId16" name="Label2"/>
      </mc:Fallback>
    </mc:AlternateContent>
    <mc:AlternateContent xmlns:mc="http://schemas.openxmlformats.org/markup-compatibility/2006">
      <mc:Choice Requires="x14">
        <control shapeId="32775" r:id="rId18" name="CommandButton4">
          <controlPr defaultSize="0" autoLine="0" autoPict="0" r:id="rId19">
            <anchor>
              <from>
                <xdr:col>6</xdr:col>
                <xdr:colOff>752475</xdr:colOff>
                <xdr:row>7</xdr:row>
                <xdr:rowOff>0</xdr:rowOff>
              </from>
              <to>
                <xdr:col>6</xdr:col>
                <xdr:colOff>942975</xdr:colOff>
                <xdr:row>8</xdr:row>
                <xdr:rowOff>57150</xdr:rowOff>
              </to>
            </anchor>
          </controlPr>
        </control>
      </mc:Choice>
      <mc:Fallback>
        <control shapeId="32775" r:id="rId18" name="CommandButton4"/>
      </mc:Fallback>
    </mc:AlternateContent>
    <mc:AlternateContent xmlns:mc="http://schemas.openxmlformats.org/markup-compatibility/2006">
      <mc:Choice Requires="x14">
        <control shapeId="32776" r:id="rId20" name="CommandButton5">
          <controlPr defaultSize="0" autoLine="0" autoPict="0" r:id="rId21">
            <anchor>
              <from>
                <xdr:col>6</xdr:col>
                <xdr:colOff>1038225</xdr:colOff>
                <xdr:row>7</xdr:row>
                <xdr:rowOff>0</xdr:rowOff>
              </from>
              <to>
                <xdr:col>6</xdr:col>
                <xdr:colOff>1276350</xdr:colOff>
                <xdr:row>8</xdr:row>
                <xdr:rowOff>57150</xdr:rowOff>
              </to>
            </anchor>
          </controlPr>
        </control>
      </mc:Choice>
      <mc:Fallback>
        <control shapeId="32776" r:id="rId20" name="CommandButton5"/>
      </mc:Fallback>
    </mc:AlternateContent>
    <mc:AlternateContent xmlns:mc="http://schemas.openxmlformats.org/markup-compatibility/2006">
      <mc:Choice Requires="x14">
        <control shapeId="32777" r:id="rId22" name="Label3">
          <controlPr defaultSize="0" autoLine="0" autoPict="0" r:id="rId23">
            <anchor>
              <from>
                <xdr:col>6</xdr:col>
                <xdr:colOff>1343025</xdr:colOff>
                <xdr:row>7</xdr:row>
                <xdr:rowOff>9525</xdr:rowOff>
              </from>
              <to>
                <xdr:col>7</xdr:col>
                <xdr:colOff>247650</xdr:colOff>
                <xdr:row>8</xdr:row>
                <xdr:rowOff>0</xdr:rowOff>
              </to>
            </anchor>
          </controlPr>
        </control>
      </mc:Choice>
      <mc:Fallback>
        <control shapeId="32777" r:id="rId22" name="Label3"/>
      </mc:Fallback>
    </mc:AlternateContent>
    <mc:AlternateContent xmlns:mc="http://schemas.openxmlformats.org/markup-compatibility/2006">
      <mc:Choice Requires="x14">
        <control shapeId="32778" r:id="rId24" name="CommandButton7">
          <controlPr defaultSize="0" autoLine="0" autoPict="0" r:id="rId25">
            <anchor>
              <from>
                <xdr:col>0</xdr:col>
                <xdr:colOff>38100</xdr:colOff>
                <xdr:row>2</xdr:row>
                <xdr:rowOff>95250</xdr:rowOff>
              </from>
              <to>
                <xdr:col>3</xdr:col>
                <xdr:colOff>0</xdr:colOff>
                <xdr:row>3</xdr:row>
                <xdr:rowOff>0</xdr:rowOff>
              </to>
            </anchor>
          </controlPr>
        </control>
      </mc:Choice>
      <mc:Fallback>
        <control shapeId="32778" r:id="rId24" name="CommandButton7"/>
      </mc:Fallback>
    </mc:AlternateContent>
    <mc:AlternateContent xmlns:mc="http://schemas.openxmlformats.org/markup-compatibility/2006">
      <mc:Choice Requires="x14">
        <control shapeId="32779" r:id="rId26" name="CommandButton6">
          <controlPr defaultSize="0" autoLine="0" autoPict="0" r:id="rId27">
            <anchor>
              <from>
                <xdr:col>0</xdr:col>
                <xdr:colOff>19050</xdr:colOff>
                <xdr:row>2</xdr:row>
                <xdr:rowOff>95250</xdr:rowOff>
              </from>
              <to>
                <xdr:col>2</xdr:col>
                <xdr:colOff>57150</xdr:colOff>
                <xdr:row>3</xdr:row>
                <xdr:rowOff>0</xdr:rowOff>
              </to>
            </anchor>
          </controlPr>
        </control>
      </mc:Choice>
      <mc:Fallback>
        <control shapeId="32779" r:id="rId26" name="CommandButton6"/>
      </mc:Fallback>
    </mc:AlternateContent>
    <mc:AlternateContent xmlns:mc="http://schemas.openxmlformats.org/markup-compatibility/2006">
      <mc:Choice Requires="x14">
        <control shapeId="32780" r:id="rId28" name="ListBox1">
          <controlPr defaultSize="0" autoLine="0" autoPict="0" r:id="rId29">
            <anchor>
              <from>
                <xdr:col>0</xdr:col>
                <xdr:colOff>57150</xdr:colOff>
                <xdr:row>8</xdr:row>
                <xdr:rowOff>95250</xdr:rowOff>
              </from>
              <to>
                <xdr:col>2</xdr:col>
                <xdr:colOff>0</xdr:colOff>
                <xdr:row>8</xdr:row>
                <xdr:rowOff>152400</xdr:rowOff>
              </to>
            </anchor>
          </controlPr>
        </control>
      </mc:Choice>
      <mc:Fallback>
        <control shapeId="32780" r:id="rId28" name="ListBox1"/>
      </mc:Fallback>
    </mc:AlternateContent>
    <mc:AlternateContent xmlns:mc="http://schemas.openxmlformats.org/markup-compatibility/2006">
      <mc:Choice Requires="x14">
        <control shapeId="32781" r:id="rId30" name="ListBox2">
          <controlPr defaultSize="0" autoLine="0" autoPict="0" r:id="rId29">
            <anchor>
              <from>
                <xdr:col>6</xdr:col>
                <xdr:colOff>752475</xdr:colOff>
                <xdr:row>8</xdr:row>
                <xdr:rowOff>95250</xdr:rowOff>
              </from>
              <to>
                <xdr:col>6</xdr:col>
                <xdr:colOff>885825</xdr:colOff>
                <xdr:row>8</xdr:row>
                <xdr:rowOff>152400</xdr:rowOff>
              </to>
            </anchor>
          </controlPr>
        </control>
      </mc:Choice>
      <mc:Fallback>
        <control shapeId="32781" r:id="rId30" name="ListBox2"/>
      </mc:Fallback>
    </mc:AlternateContent>
    <mc:AlternateContent xmlns:mc="http://schemas.openxmlformats.org/markup-compatibility/2006">
      <mc:Choice Requires="x14">
        <control shapeId="32782" r:id="rId31" name="CheckBox1">
          <controlPr defaultSize="0" autoLine="0" autoPict="0" r:id="rId32">
            <anchor>
              <from>
                <xdr:col>7</xdr:col>
                <xdr:colOff>133350</xdr:colOff>
                <xdr:row>4</xdr:row>
                <xdr:rowOff>95250</xdr:rowOff>
              </from>
              <to>
                <xdr:col>7</xdr:col>
                <xdr:colOff>847725</xdr:colOff>
                <xdr:row>6</xdr:row>
                <xdr:rowOff>0</xdr:rowOff>
              </to>
            </anchor>
          </controlPr>
        </control>
      </mc:Choice>
      <mc:Fallback>
        <control shapeId="32782" r:id="rId31" name="CheckBox1"/>
      </mc:Fallback>
    </mc:AlternateContent>
    <mc:AlternateContent xmlns:mc="http://schemas.openxmlformats.org/markup-compatibility/2006">
      <mc:Choice Requires="x14">
        <control shapeId="32783" r:id="rId33" name="CheckBox2">
          <controlPr defaultSize="0" autoLine="0" autoPict="0" r:id="rId34">
            <anchor>
              <from>
                <xdr:col>6</xdr:col>
                <xdr:colOff>352425</xdr:colOff>
                <xdr:row>4</xdr:row>
                <xdr:rowOff>95250</xdr:rowOff>
              </from>
              <to>
                <xdr:col>7</xdr:col>
                <xdr:colOff>38100</xdr:colOff>
                <xdr:row>6</xdr:row>
                <xdr:rowOff>0</xdr:rowOff>
              </to>
            </anchor>
          </controlPr>
        </control>
      </mc:Choice>
      <mc:Fallback>
        <control shapeId="32783" r:id="rId33" name="CheckBox2"/>
      </mc:Fallback>
    </mc:AlternateContent>
    <mc:AlternateContent xmlns:mc="http://schemas.openxmlformats.org/markup-compatibility/2006">
      <mc:Choice Requires="x14">
        <control shapeId="32784" r:id="rId35" name="CheckBox3">
          <controlPr defaultSize="0" autoLine="0" autoPict="0" r:id="rId36">
            <anchor>
              <from>
                <xdr:col>6</xdr:col>
                <xdr:colOff>352425</xdr:colOff>
                <xdr:row>5</xdr:row>
                <xdr:rowOff>95250</xdr:rowOff>
              </from>
              <to>
                <xdr:col>7</xdr:col>
                <xdr:colOff>38100</xdr:colOff>
                <xdr:row>7</xdr:row>
                <xdr:rowOff>0</xdr:rowOff>
              </to>
            </anchor>
          </controlPr>
        </control>
      </mc:Choice>
      <mc:Fallback>
        <control shapeId="32784" r:id="rId35" name="CheckBox3"/>
      </mc:Fallback>
    </mc:AlternateContent>
    <mc:AlternateContent xmlns:mc="http://schemas.openxmlformats.org/markup-compatibility/2006">
      <mc:Choice Requires="x14">
        <control shapeId="32785" r:id="rId37" name="MultipleReportManagerInfotb1">
          <controlPr defaultSize="0" autoLine="0" autoPict="0" r:id="rId38">
            <anchor moveWithCells="1" sizeWithCells="1">
              <from>
                <xdr:col>0</xdr:col>
                <xdr:colOff>0</xdr:colOff>
                <xdr:row>0</xdr:row>
                <xdr:rowOff>0</xdr:rowOff>
              </from>
              <to>
                <xdr:col>7</xdr:col>
                <xdr:colOff>66675</xdr:colOff>
                <xdr:row>0</xdr:row>
                <xdr:rowOff>0</xdr:rowOff>
              </to>
            </anchor>
          </controlPr>
        </control>
      </mc:Choice>
      <mc:Fallback>
        <control shapeId="32785" r:id="rId37" name="MultipleReportManagerInfotb1"/>
      </mc:Fallback>
    </mc:AlternateContent>
    <mc:AlternateContent xmlns:mc="http://schemas.openxmlformats.org/markup-compatibility/2006">
      <mc:Choice Requires="x14">
        <control shapeId="32786" r:id="rId39" name="ReportSubmitManagerControltb1">
          <controlPr defaultSize="0" autoLine="0" autoPict="0" r:id="rId38">
            <anchor moveWithCells="1" sizeWithCells="1">
              <from>
                <xdr:col>0</xdr:col>
                <xdr:colOff>0</xdr:colOff>
                <xdr:row>0</xdr:row>
                <xdr:rowOff>0</xdr:rowOff>
              </from>
              <to>
                <xdr:col>7</xdr:col>
                <xdr:colOff>66675</xdr:colOff>
                <xdr:row>0</xdr:row>
                <xdr:rowOff>0</xdr:rowOff>
              </to>
            </anchor>
          </controlPr>
        </control>
      </mc:Choice>
      <mc:Fallback>
        <control shapeId="32786" r:id="rId39" name="ReportSubmitManagerControltb1"/>
      </mc:Fallback>
    </mc:AlternateContent>
    <mc:AlternateContent xmlns:mc="http://schemas.openxmlformats.org/markup-compatibility/2006">
      <mc:Choice Requires="x14">
        <control shapeId="32787" r:id="rId40" name="ConnectionDescriptorsInfoDCtb1">
          <controlPr defaultSize="0" autoLine="0" autoPict="0" r:id="rId41">
            <anchor moveWithCells="1">
              <from>
                <xdr:col>0</xdr:col>
                <xdr:colOff>0</xdr:colOff>
                <xdr:row>0</xdr:row>
                <xdr:rowOff>0</xdr:rowOff>
              </from>
              <to>
                <xdr:col>6</xdr:col>
                <xdr:colOff>285750</xdr:colOff>
                <xdr:row>0</xdr:row>
                <xdr:rowOff>0</xdr:rowOff>
              </to>
            </anchor>
          </controlPr>
        </control>
      </mc:Choice>
      <mc:Fallback>
        <control shapeId="32787" r:id="rId40" name="ConnectionDescriptorsInfoDCtb1"/>
      </mc:Fallback>
    </mc:AlternateContent>
    <mc:AlternateContent xmlns:mc="http://schemas.openxmlformats.org/markup-compatibility/2006">
      <mc:Choice Requires="x14">
        <control shapeId="32788" r:id="rId42" name="MultipleReportManagerInfoHCtb1">
          <controlPr defaultSize="0" autoLine="0" autoPict="0" r:id="rId41">
            <anchor moveWithCells="1">
              <from>
                <xdr:col>0</xdr:col>
                <xdr:colOff>0</xdr:colOff>
                <xdr:row>0</xdr:row>
                <xdr:rowOff>0</xdr:rowOff>
              </from>
              <to>
                <xdr:col>6</xdr:col>
                <xdr:colOff>285750</xdr:colOff>
                <xdr:row>0</xdr:row>
                <xdr:rowOff>0</xdr:rowOff>
              </to>
            </anchor>
          </controlPr>
        </control>
      </mc:Choice>
      <mc:Fallback>
        <control shapeId="32788" r:id="rId42" name="MultipleReportManagerInfoHCtb1"/>
      </mc:Fallback>
    </mc:AlternateContent>
    <mc:AlternateContent xmlns:mc="http://schemas.openxmlformats.org/markup-compatibility/2006">
      <mc:Choice Requires="x14">
        <control shapeId="32789" r:id="rId43" name="MultipleReportManagerInfoDCtb1">
          <controlPr defaultSize="0" autoLine="0" autoPict="0" r:id="rId41">
            <anchor moveWithCells="1">
              <from>
                <xdr:col>0</xdr:col>
                <xdr:colOff>0</xdr:colOff>
                <xdr:row>0</xdr:row>
                <xdr:rowOff>0</xdr:rowOff>
              </from>
              <to>
                <xdr:col>6</xdr:col>
                <xdr:colOff>285750</xdr:colOff>
                <xdr:row>0</xdr:row>
                <xdr:rowOff>0</xdr:rowOff>
              </to>
            </anchor>
          </controlPr>
        </control>
      </mc:Choice>
      <mc:Fallback>
        <control shapeId="32789" r:id="rId43" name="MultipleReportManagerInfoDCtb1"/>
      </mc:Fallback>
    </mc:AlternateContent>
    <mc:AlternateContent xmlns:mc="http://schemas.openxmlformats.org/markup-compatibility/2006">
      <mc:Choice Requires="x14">
        <control shapeId="32790" r:id="rId44" name="ReportSubmitManagerControlHCtb1">
          <controlPr defaultSize="0" autoLine="0" autoPict="0" r:id="rId45">
            <anchor moveWithCells="1">
              <from>
                <xdr:col>0</xdr:col>
                <xdr:colOff>0</xdr:colOff>
                <xdr:row>0</xdr:row>
                <xdr:rowOff>0</xdr:rowOff>
              </from>
              <to>
                <xdr:col>6</xdr:col>
                <xdr:colOff>285750</xdr:colOff>
                <xdr:row>0</xdr:row>
                <xdr:rowOff>0</xdr:rowOff>
              </to>
            </anchor>
          </controlPr>
        </control>
      </mc:Choice>
      <mc:Fallback>
        <control shapeId="32790" r:id="rId44" name="ReportSubmitManagerControlHCtb1"/>
      </mc:Fallback>
    </mc:AlternateContent>
    <mc:AlternateContent xmlns:mc="http://schemas.openxmlformats.org/markup-compatibility/2006">
      <mc:Choice Requires="x14">
        <control shapeId="32791" r:id="rId46" name="ReportSubmitManagerControlDCtb1">
          <controlPr defaultSize="0" autoLine="0" autoPict="0" r:id="rId41">
            <anchor moveWithCells="1">
              <from>
                <xdr:col>0</xdr:col>
                <xdr:colOff>0</xdr:colOff>
                <xdr:row>0</xdr:row>
                <xdr:rowOff>0</xdr:rowOff>
              </from>
              <to>
                <xdr:col>6</xdr:col>
                <xdr:colOff>285750</xdr:colOff>
                <xdr:row>0</xdr:row>
                <xdr:rowOff>0</xdr:rowOff>
              </to>
            </anchor>
          </controlPr>
        </control>
      </mc:Choice>
      <mc:Fallback>
        <control shapeId="32791" r:id="rId46" name="ReportSubmitManagerControlDCtb1"/>
      </mc:Fallback>
    </mc:AlternateContent>
    <mc:AlternateContent xmlns:mc="http://schemas.openxmlformats.org/markup-compatibility/2006">
      <mc:Choice Requires="x14">
        <control shapeId="32792" r:id="rId47" name="ReportSubmitControl_1DCtb1">
          <controlPr defaultSize="0" autoLine="0" autoPict="0" r:id="rId41">
            <anchor moveWithCells="1">
              <from>
                <xdr:col>0</xdr:col>
                <xdr:colOff>0</xdr:colOff>
                <xdr:row>0</xdr:row>
                <xdr:rowOff>0</xdr:rowOff>
              </from>
              <to>
                <xdr:col>6</xdr:col>
                <xdr:colOff>285750</xdr:colOff>
                <xdr:row>0</xdr:row>
                <xdr:rowOff>0</xdr:rowOff>
              </to>
            </anchor>
          </controlPr>
        </control>
      </mc:Choice>
      <mc:Fallback>
        <control shapeId="32792" r:id="rId47" name="ReportSubmitControl_1DCtb1"/>
      </mc:Fallback>
    </mc:AlternateContent>
    <mc:AlternateContent xmlns:mc="http://schemas.openxmlformats.org/markup-compatibility/2006">
      <mc:Choice Requires="x14">
        <control shapeId="32793" r:id="rId48" name="AnalyzerDynReportDC000tb1">
          <controlPr defaultSize="0" autoLine="0" autoPict="0" r:id="rId49">
            <anchor moveWithCells="1">
              <from>
                <xdr:col>0</xdr:col>
                <xdr:colOff>0</xdr:colOff>
                <xdr:row>0</xdr:row>
                <xdr:rowOff>0</xdr:rowOff>
              </from>
              <to>
                <xdr:col>6</xdr:col>
                <xdr:colOff>342900</xdr:colOff>
                <xdr:row>0</xdr:row>
                <xdr:rowOff>0</xdr:rowOff>
              </to>
            </anchor>
          </controlPr>
        </control>
      </mc:Choice>
      <mc:Fallback>
        <control shapeId="32793" r:id="rId48"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onfig xmlns="http://com.sap.sop/sopconfig">
  <template xmlns="">2-Supply Planning</template>
  <favorite xmlns="">DDMRP Project Data</favorite>
  <bookSettings xmlns="">
    <scenarios>
      <value>__BASELINE</value>
    </scenarios>
    <simulations>
      <value>__PLAN</value>
    </simulations>
    <planningUnits>
      <planningVersion>__BASELINE</planningVersion>
      <planningScenario>__PLAN</planningScenario>
      <timeRelativeFrom>0</timeRelativeFrom>
      <timeRelativeTo>130</timeRelativeTo>
    </planningUnits>
    <dimsDispOptnId/>
    <dimsDispOptnBoth>
      <value>LOCID</value>
    </dimsDispOptnBoth>
    <dimsTmpltFltrMandatory/>
    <dimsTmpltFltrOptional/>
    <planningScopeSopV2>
      <timeRelativeFrom>0</timeRelativeFrom>
      <timeRelativeTo>104</timeRelativeTo>
      <planningVersion>__BASELINE</planningVersion>
      <planningScenario>__PLAN</planningScenario>
      <networkSubnetwork>SUBNETWORK_BY_SUBNETWORK</networkSubnetwork>
      <timeLevel>PERIODID4</timeLevel>
      <filterEnvironmentPolicy/>
    </planningScopeSopV2>
    <workbookFilter>
      <name/>
      <id>0</id>
      <conditions>
        <condition>
          <dimension>BMILOCPRDADD2</dimension>
          <operator>EQ</operator>
          <values>
            <value>FGR-PLUS15680001</value>
          </values>
          <relations/>
        </condition>
        <condition>
          <dimension>LOCID</dimension>
          <operator>EQ</operator>
          <values>
            <value>1568</value>
          </values>
          <relations/>
        </condition>
      </conditions>
    </workbookFilter>
  </bookSettings>
  <report_Sheet2 xmlns="">
    <settings>
      <flexibleTime>
        <time>
          <dimension>PERIODID4</dimension>
          <rolling>1</rolling>
          <mode>0</mode>
          <totalName/>
          <realTime>false</realTime>
          <fromAbsolute>0</fromAbsolute>
          <toAbsolute>0</toAbsolute>
          <fromRelative>0</fromRelative>
          <toRelative>64</toRelative>
          <fromTimeAbsolute>2026-02-03T12:00:00+01:00</fromTimeAbsolute>
          <toTimeAbsolute>2026-02-03T12:00:00+01:00</toTimeAbsolute>
          <fromTimeRelativeInDays>0</fromTimeRelativeInDays>
          <toTimeRelativeInDays>0</toTimeRelativeInDays>
        </time>
      </flexibleTime>
      <planningLevels>
        <value>PRDID</value>
        <value>PRDDESCR</value>
        <value>MRPTYPE</value>
      </planningLevels>
      <keyFigures>
        <value>ZFIRMEDPRODUCTIONPLT</value>
        <value>ZOPENPRODUCTIONORDERPLT</value>
        <value>ZTOTALOPENPRODUCTIONPLT</value>
        <value>ZPRODUCTIONSUPPLY</value>
      </keyFigures>
      <conversions>
        <conversion>
          <dimension>CURRTOID</dimension>
          <member>EUR</member>
        </conversion>
        <conversion>
          <dimension>UOMTOID</dimension>
          <member>ZUM</member>
        </conversion>
      </conversions>
      <rowAxis>
        <value>PRDID</value>
        <value>PRDDESCR</value>
        <value>MRPTYPE</value>
        <value>KEY_FIGURES</value>
      </rowAxis>
      <columnAxis>
        <value>PERIODID4</value>
      </columnAxis>
      <alerts/>
      <dimsDispOptnId/>
      <dimsDispOptnBoth>
        <value>LOCID</value>
      </dimsDispOptnBoth>
      <dimsTmpltFltrMandatory/>
      <dimsTmpltFltrOptional/>
      <attributeSortings>
        <attributeSorting>
          <sortOrder>
            <sortOrderItem>__AZ</sortOrderItem>
          </sortOrder>
          <dimensionId>MRPTYPE</dimensionId>
          <description>Ascending</description>
          <name>A-Z</name>
          <id>-11</id>
        </attributeSorting>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s>
      <isWorkbookFilterExcluded>false</isWorkbookFilterExcluded>
    </settings>
    <valueBasedFilter>
      <name/>
      <id>0</id>
      <conditions>
        <condition>
          <dimension>ZPRODUCTIONSUPPLY</dimension>
          <operator>GT</operator>
          <timeType>PeriodExists</timeType>
          <values>
            <value>0</value>
          </values>
          <time>
            <dimension>PERIODID4</dimension>
            <rolling>1</rolling>
            <mode>0</mode>
            <totalName/>
            <realTime>false</realTime>
            <fromAbsolute>0</fromAbsolute>
            <toAbsolute>0</toAbsolute>
            <fromRelative>0</fromRelative>
            <toRelative>79</toRelative>
            <fromTimeAbsolute>2026-02-03T12:00:00+01:00</fromTimeAbsolute>
            <toTimeAbsolute>2026-02-03T12:00:00+01:00</toTimeAbsolute>
            <fromTimeRelativeInDays>0</fromTimeRelativeInDays>
            <toTimeRelativeInDays>0</toTimeRelativeInDays>
          </time>
        </condition>
      </conditions>
    </valueBasedFilter>
  </report_Sheet2>
  <report_Sheet10 xmlns="">
    <settings>
      <flexibleTime>
        <time>
          <dimension>PERIODID4</dimension>
          <rolling>3</rolling>
          <mode>0</mode>
          <totalName/>
          <realTime>false</realTime>
          <fromAbsolute>62824</fromAbsolute>
          <toAbsolute>0</toAbsolute>
          <fromRelative>0</fromRelative>
          <toRelative>-1</toRelative>
          <fromTimeAbsolute>2026-02-03T12:00:00+01:00</fromTimeAbsolute>
          <toTimeAbsolute>2026-02-03T12:00:00+01:00</toTimeAbsolute>
          <fromTimeRelativeInDays>0</fromTimeRelativeInDays>
          <toTimeRelativeInDays>0</toTimeRelativeInDays>
        </time>
      </flexibleTime>
      <planningLevels>
        <value>PRDID</value>
        <value>PRDDESCR</value>
        <value>MRPTYPE</value>
      </planningLevels>
      <keyFigures>
        <value>ZGSCRMACTUALUNCONSDEMAND</value>
        <value>ZGSCRMACTUALSPRODUCTION</value>
        <value>ZGSCRMUNCONSINVENTORY</value>
      </keyFigures>
      <conversions>
        <conversion>
          <dimension>CURRTOID</dimension>
          <member>EUR</member>
        </conversion>
        <conversion>
          <dimension>UOMTOID</dimension>
          <member>ZUM</member>
        </conversion>
      </conversions>
      <rowAxis>
        <value>PRDID</value>
        <value>PRDDESCR</value>
        <value>MRPTYPE</value>
        <value>KEY_FIGURES</value>
      </rowAxis>
      <columnAxis>
        <value>PERIODID4</value>
      </columnAxis>
      <alerts/>
      <dimsDispOptnId/>
      <dimsDispOptnBoth>
        <value>LOCID</value>
      </dimsDispOptnBoth>
      <dimsTmpltFltrMandatory/>
      <dimsTmpltFltrOptional/>
      <attributeSortings>
        <attributeSorting>
          <sortOrder>
            <sortOrderItem>__AZ</sortOrderItem>
          </sortOrder>
          <dimensionId>MRPTYPE</dimensionId>
          <description>Ascending</description>
          <name>A-Z</name>
          <id>-11</id>
        </attributeSorting>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s>
      <isWorkbookFilterExcluded>false</isWorkbookFilterExcluded>
    </settings>
  </report_Sheet10>
  <report_Sheet11 xmlns="">
    <settings>
      <flexibleTime>
        <time>
          <dimension>PERIODID4</dimension>
          <rolling>1</rolling>
          <mode>0</mode>
          <totalName/>
          <realTime>false</realTime>
          <fromAbsolute>0</fromAbsolute>
          <toAbsolute>0</toAbsolute>
          <fromRelative>0</fromRelative>
          <toRelative>0</toRelative>
          <fromTimeAbsolute>2026-02-03T12:00:00+01:00</fromTimeAbsolute>
          <toTimeAbsolute>2026-02-03T12:00:00+01:00</toTimeAbsolute>
          <fromTimeRelativeInDays>0</fromTimeRelativeInDays>
          <toTimeRelativeInDays>0</toTimeRelativeInDays>
        </time>
      </flexibleTime>
      <planningLevels>
        <value>PRDID</value>
        <value>PRDDESCR</value>
        <value>MRPTYPE</value>
      </planningLevels>
      <keyFigures>
        <value>INITIALINVENTORY</value>
      </keyFigures>
      <conversions>
        <conversion>
          <dimension>CURRTOID</dimension>
          <member>EUR</member>
        </conversion>
        <conversion>
          <dimension>UOMTOID</dimension>
          <member>ZUM</member>
        </conversion>
      </conversions>
      <rowAxis>
        <value>PRDID</value>
        <value>PRDDESCR</value>
        <value>MRPTYPE</value>
        <value>KEY_FIGURES</value>
      </rowAxis>
      <columnAxis>
        <value>PERIODID4</value>
      </columnAxis>
      <alerts/>
      <dimsDispOptnId/>
      <dimsDispOptnBoth>
        <value>LOCID</value>
      </dimsDispOptnBoth>
      <dimsTmpltFltrMandatory/>
      <dimsTmpltFltrOptional/>
      <attributeSortings>
        <attributeSorting>
          <sortOrder>
            <sortOrderItem>__AZ</sortOrderItem>
          </sortOrder>
          <dimensionId>MRPTYPE</dimensionId>
          <description>Ascending</description>
          <name>A-Z</name>
          <id>-11</id>
        </attributeSorting>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s>
      <isWorkbookFilterExcluded>false</isWorkbookFilterExcluded>
    </settings>
  </report_Sheet11>
</config>
</file>

<file path=customXml/item2.xml><?xml version="1.0" encoding="utf-8"?>
<config xmlns="http://com.sap.sop/sopconfigpv">
  <favoriteName xmlns="">DDMRP Project Data</favoriteName>
  <templateName xmlns="">2-Supply Planning</templateName>
  <IBPReportBookSettings xmlns="">{"isHistoryBook":false,"planningScope":{"versions":["__BASELINE"],"scenarios":["__PLAN"],"subnetworks":[],"fromRelative":"0","toRelative":"130"},"planningScopeSopV2":{"version":"__BASELINE","scenario":"__PLAN","timeLevel":"PERIODID4","networkSubnetwork":"SUBNETWORK_BY_SUBNETWORK","filterEnvironmentPolicy":"","filter":null,"subnetworks":[],"fromRelative":"0","toRelative":"104"},"scenarios":["__PLAN"],"versions":["__BASELINE"],"attributeBasedFilter":{"name":"","id":0,"conditions":[{"dimensionId":"BMILOCPRDADD2","operatorCode":"EQ","values":["FGR-PLUS15680001"]},{"dimensionId":"LOCID","operatorCode":"EQ","values":["1568"]}]},"attributesDisplayId":[],"attributesDisplayBoth":["LOCID"],"attributesTemplateFilterMan":null,"attributesTemplateFilterOpt":null}</IBPReportBookSettings>
</config>
</file>

<file path=customXml/itemProps1.xml><?xml version="1.0" encoding="utf-8"?>
<ds:datastoreItem xmlns:ds="http://schemas.openxmlformats.org/officeDocument/2006/customXml" ds:itemID="{D8046A1E-F35E-4EEC-954E-96E3C33F8EEF}">
  <ds:schemaRefs>
    <ds:schemaRef ds:uri="http://com.sap.sop/sopconfig"/>
    <ds:schemaRef ds:uri=""/>
  </ds:schemaRefs>
</ds:datastoreItem>
</file>

<file path=customXml/itemProps2.xml><?xml version="1.0" encoding="utf-8"?>
<ds:datastoreItem xmlns:ds="http://schemas.openxmlformats.org/officeDocument/2006/customXml" ds:itemID="{86DA2795-5470-4AC2-857A-297FC7C6A725}">
  <ds:schemaRefs>
    <ds:schemaRef ds:uri="http://com.sap.sop/sopconfigpv"/>
    <ds:schemaRef ds:uri=""/>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Production Plan</vt:lpstr>
      <vt:lpstr>Historical Data</vt:lpstr>
      <vt:lpstr>Stock On Hand</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Efren Almansa</dc:creator>
  <cp:lastModifiedBy>Selma Zukić-Jarrar</cp:lastModifiedBy>
  <dcterms:created xsi:type="dcterms:W3CDTF">2012-11-19T20:56:01Z</dcterms:created>
  <dcterms:modified xsi:type="dcterms:W3CDTF">2026-02-03T07:35:15Z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MSIP_Label_a0819fa7-4367-4500-ba88-dd630d977609_Enabled">
    <vt:lpwstr>true</vt:lpwstr>
  </property>
  <property fmtid="{D5CDD505-2E9C-101B-9397-08002B2CF9AE}" pid="4" name="MSIP_Label_a0819fa7-4367-4500-ba88-dd630d977609_SetDate">
    <vt:lpwstr>2021-12-01T06:52:49Z</vt:lpwstr>
  </property>
  <property fmtid="{D5CDD505-2E9C-101B-9397-08002B2CF9AE}" pid="5" name="MSIP_Label_a0819fa7-4367-4500-ba88-dd630d977609_Method">
    <vt:lpwstr>Standard</vt:lpwstr>
  </property>
  <property fmtid="{D5CDD505-2E9C-101B-9397-08002B2CF9AE}" pid="6" name="MSIP_Label_a0819fa7-4367-4500-ba88-dd630d977609_Name">
    <vt:lpwstr>a0819fa7-4367-4500-ba88-dd630d977609</vt:lpwstr>
  </property>
  <property fmtid="{D5CDD505-2E9C-101B-9397-08002B2CF9AE}" pid="7" name="MSIP_Label_a0819fa7-4367-4500-ba88-dd630d977609_SiteId">
    <vt:lpwstr>63ce7d59-2f3e-42cd-a8cc-be764cff5eb6</vt:lpwstr>
  </property>
  <property fmtid="{D5CDD505-2E9C-101B-9397-08002B2CF9AE}" pid="8" name="MSIP_Label_a0819fa7-4367-4500-ba88-dd630d977609_ActionId">
    <vt:lpwstr>2d698b33-4745-4d6e-88ae-8821aa3437e0</vt:lpwstr>
  </property>
  <property fmtid="{D5CDD505-2E9C-101B-9397-08002B2CF9AE}" pid="9" name="MSIP_Label_a0819fa7-4367-4500-ba88-dd630d977609_ContentBits">
    <vt:lpwstr>0</vt:lpwstr>
  </property>
</Properties>
</file>